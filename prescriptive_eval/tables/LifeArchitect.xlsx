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odels Table"/>
    <sheet r:id="rId2" sheetId="2" name="Rankings"/>
    <sheet r:id="rId3" sheetId="3" name="About"/>
    <sheet r:id="rId4" sheetId="4" name="Datasets Table"/>
    <sheet r:id="rId5" sheetId="5" name="GPT achievements"/>
    <sheet r:id="rId6" sheetId="6" name="Compute Table (2024)"/>
    <sheet r:id="rId7" sheetId="7" name="Humanoids (2024)"/>
    <sheet r:id="rId8" sheetId="8" name="Aux"/>
  </sheets>
  <calcPr fullCalcOnLoad="1"/>
</workbook>
</file>

<file path=xl/sharedStrings.xml><?xml version="1.0" encoding="utf-8"?>
<sst xmlns="http://schemas.openxmlformats.org/spreadsheetml/2006/main" count="7263" uniqueCount="3589">
  <si>
    <t>Auxiliary sheets</t>
  </si>
  <si>
    <t>Link</t>
  </si>
  <si>
    <t>Video playlist</t>
  </si>
  <si>
    <t xml:space="preserve">https://docs.google.com/spreadsheets/d/18WTt3bmLAad5rJZi6eRtDhj4vehK7-u4xTpkho4X-4U/edit#gid=1023028020 </t>
  </si>
  <si>
    <t>Contents of GPT-3/Pile/Megatron/CC</t>
  </si>
  <si>
    <t>https://docs.google.com/spreadsheets/d/18WTt3bmLAad5rJZi6eRtDhj4vehK7-u4xTpkho4X-4U/edit#gid=0</t>
  </si>
  <si>
    <t>Contents of Chinese models</t>
  </si>
  <si>
    <t>https://docs.google.com/spreadsheets/d/18WTt3bmLAad5rJZi6eRtDhj4vehK7-u4xTpkho4X-4U/edit#gid=995838717</t>
  </si>
  <si>
    <t>Leta template</t>
  </si>
  <si>
    <t>https://docs.google.com/spreadsheets/d/18WTt3bmLAad5rJZi6eRtDhj4vehK7-u4xTpkho4X-4U/edit#gid=272212998</t>
  </si>
  <si>
    <t>IQ testing AI Q32022</t>
  </si>
  <si>
    <t>https://docs.google.com/spreadsheets/d/18WTt3bmLAad5rJZi6eRtDhj4vehK7-u4xTpkho4X-4U/edit#gid=741722385</t>
  </si>
  <si>
    <t>IQ testing AI Q12022</t>
  </si>
  <si>
    <t>https://docs.google.com/spreadsheets/d/18WTt3bmLAad5rJZi6eRtDhj4vehK7-u4xTpkho4X-4U/edit#gid=57569659</t>
  </si>
  <si>
    <t>GPT2/3/J questions</t>
  </si>
  <si>
    <t>https://docs.google.com/spreadsheets/d/18WTt3bmLAad5rJZi6eRtDhj4vehK7-u4xTpkho4X-4U/edit#gid=1115077966</t>
  </si>
  <si>
    <t>BMI</t>
  </si>
  <si>
    <t>https://docs.google.com/spreadsheets/d/18WTt3bmLAad5rJZi6eRtDhj4vehK7-u4xTpkho4X-4U/edit#gid=958745455</t>
  </si>
  <si>
    <t>Watson vs GPT-3</t>
  </si>
  <si>
    <t>https://docs.google.com/spreadsheets/d/18WTt3bmLAad5rJZi6eRtDhj4vehK7-u4xTpkho4X-4U/edit#gid=1989481885</t>
  </si>
  <si>
    <t>Leta-prompt-explain</t>
  </si>
  <si>
    <t>https://docs.google.com/spreadsheets/d/18WTt3bmLAad5rJZi6eRtDhj4vehK7-u4xTpkho4X-4U/edit#gid=1289129393</t>
  </si>
  <si>
    <t>WebGPT sample questions</t>
  </si>
  <si>
    <t>https://docs.google.com/spreadsheets/d/18WTt3bmLAad5rJZi6eRtDhj4vehK7-u4xTpkho4X-4U/edit#gid=467273092</t>
  </si>
  <si>
    <t>BMI vs BCI</t>
  </si>
  <si>
    <t>https://docs.google.com/spreadsheets/d/18WTt3bmLAad5rJZi6eRtDhj4vehK7-u4xTpkho4X-4U/edit#gid=1549223773</t>
  </si>
  <si>
    <t>PaLM Explaining jokes</t>
  </si>
  <si>
    <t>https://docs.google.com/spreadsheets/d/18WTt3bmLAad5rJZi6eRtDhj4vehK7-u4xTpkho4X-4U/edit#gid=923122602</t>
  </si>
  <si>
    <t>LLM languages</t>
  </si>
  <si>
    <t>https://docs.google.com/spreadsheets/d/18WTt3bmLAad5rJZi6eRtDhj4vehK7-u4xTpkho4X-4U/edit#gid=138672226</t>
  </si>
  <si>
    <t>Model sizes</t>
  </si>
  <si>
    <t>https://docs.google.com/spreadsheets/d/18WTt3bmLAad5rJZi6eRtDhj4vehK7-u4xTpkho4X-4U/edit#gid=373202700</t>
  </si>
  <si>
    <t>ChatGPT v Bard NPR</t>
  </si>
  <si>
    <t>https://docs.google.com/spreadsheets/d/18WTt3bmLAad5rJZi6eRtDhj4vehK7-u4xTpkho4X-4U/edit#gid=1298952257</t>
  </si>
  <si>
    <t>Context windows 2023</t>
  </si>
  <si>
    <t>https://docs.google.com/spreadsheets/d/18WTt3bmLAad5rJZi6eRtDhj4vehK7-u4xTpkho4X-4U/edit#gid=8769</t>
  </si>
  <si>
    <t>GPT-4 Enterprise Customers</t>
  </si>
  <si>
    <t>https://docs.google.com/spreadsheets/d/18WTt3bmLAad5rJZi6eRtDhj4vehK7-u4xTpkho4X-4U/edit#gid=1455583713</t>
  </si>
  <si>
    <t>Chinese LLMs (2023)</t>
  </si>
  <si>
    <t>https://docs.google.com/spreadsheets/d/18WTt3bmLAad5rJZi6eRtDhj4vehK7-u4xTpkho4X-4U/edit?gid=829046037#gid=829046037</t>
  </si>
  <si>
    <t>AI labs</t>
  </si>
  <si>
    <t>https://docs.google.com/spreadsheets/d/18WTt3bmLAad5rJZi6eRtDhj4vehK7-u4xTpkho4X-4U/edit?gid=1959437915#gid=1959437915</t>
  </si>
  <si>
    <t>OpenAI GPT Families 2018–2026 (complete, poster)</t>
  </si>
  <si>
    <t>https://docs.google.com/spreadsheets/d/18WTt3bmLAad5rJZi6eRtDhj4vehK7-u4xTpkho4X-4U/edit?gid=1643756094#gid=1643756094</t>
  </si>
  <si>
    <t>This sheet is no longer maintained; humanoids are not really my analysis focus. Last update Oct/2024</t>
  </si>
  <si>
    <t>Lab</t>
  </si>
  <si>
    <t>Robot</t>
  </si>
  <si>
    <t>Country</t>
  </si>
  <si>
    <t>Release</t>
  </si>
  <si>
    <t>Height (cm)</t>
  </si>
  <si>
    <t>Weight (kg)</t>
  </si>
  <si>
    <t>Walk (km/h)</t>
  </si>
  <si>
    <t>Run (km/h)</t>
  </si>
  <si>
    <t>Payload/carry (kg)</t>
  </si>
  <si>
    <t>Power (hours)</t>
  </si>
  <si>
    <t>Video</t>
  </si>
  <si>
    <t>Clothed?</t>
  </si>
  <si>
    <t>US$ ('000)</t>
  </si>
  <si>
    <t>Notes</t>
  </si>
  <si>
    <t>https://www.reddit.com/r/singularity/comments/1g4hqm7/chinese_robotics_company_robot_era_put_two_star1/</t>
  </si>
  <si>
    <t>1X</t>
  </si>
  <si>
    <t>NEO</t>
  </si>
  <si>
    <t>Norway</t>
  </si>
  <si>
    <t>https://www.1x.tech/neo</t>
  </si>
  <si>
    <t>https://youtu.be/bUrLuUxv9gE</t>
  </si>
  <si>
    <t>Yes</t>
  </si>
  <si>
    <t>Due Dec/2023</t>
  </si>
  <si>
    <t>Figure</t>
  </si>
  <si>
    <t>01</t>
  </si>
  <si>
    <t>USA</t>
  </si>
  <si>
    <t>https://www.figure.ai/</t>
  </si>
  <si>
    <t>https://youtu.be/9sHUggKsWTk</t>
  </si>
  <si>
    <t>02</t>
  </si>
  <si>
    <t>https://youtu.be/0SRVJaOg9Co</t>
  </si>
  <si>
    <t>Launched 7/Aug/2024</t>
  </si>
  <si>
    <t>Fourier</t>
  </si>
  <si>
    <t>GR-1</t>
  </si>
  <si>
    <t>Singapore</t>
  </si>
  <si>
    <t>https://robots.fourierintelligence.com/</t>
  </si>
  <si>
    <t>https://youtu.be/SHPxcRBlXN0</t>
  </si>
  <si>
    <t>No</t>
  </si>
  <si>
    <t>100x units due 2023</t>
  </si>
  <si>
    <t>Tesla</t>
  </si>
  <si>
    <t>Optimus Gen 1</t>
  </si>
  <si>
    <t>https://archive.md/QNvx9</t>
  </si>
  <si>
    <t>https://youtu.be/XiQkeWOFwmk</t>
  </si>
  <si>
    <t>Lift 68kg</t>
  </si>
  <si>
    <t>Optimus Gen 2</t>
  </si>
  <si>
    <t>https://archive.md/mEWsJ</t>
  </si>
  <si>
    <t>https://www.youtube.com/watch?v=fPeGPf7jvEQ</t>
  </si>
  <si>
    <t>Boston Dynamics</t>
  </si>
  <si>
    <t>Atlas</t>
  </si>
  <si>
    <t>https://www.bostondynamics.com/atlas</t>
  </si>
  <si>
    <t>https://youtu.be/-e1_QhJ1EhQ</t>
  </si>
  <si>
    <t>Sanctuary AI</t>
  </si>
  <si>
    <t>Phoenix</t>
  </si>
  <si>
    <t>Canada</t>
  </si>
  <si>
    <t>https://sanctuary.ai/resources/news/sanctuary-ai-unveils-phoenix-a-humanoid-general-purpose-robot-designed-for-work/</t>
  </si>
  <si>
    <t>https://youtu.be/k2GhgO7SnZQ</t>
  </si>
  <si>
    <t>Agility</t>
  </si>
  <si>
    <t>Digit</t>
  </si>
  <si>
    <t>https://agilityrobotics.com/robots</t>
  </si>
  <si>
    <t>https://youtu.be/rnFZAB9ogEE</t>
  </si>
  <si>
    <t>Unitree</t>
  </si>
  <si>
    <t>H1</t>
  </si>
  <si>
    <t>China</t>
  </si>
  <si>
    <t>https://www.unitree.com/en/h1/</t>
  </si>
  <si>
    <t>https://youtu.be/GtPs_ygfaEA</t>
  </si>
  <si>
    <t>Apptronik</t>
  </si>
  <si>
    <t>Apollo</t>
  </si>
  <si>
    <t>https://apptronik.com/product-page</t>
  </si>
  <si>
    <t>https://youtu.be/pymvNott6nw</t>
  </si>
  <si>
    <t>Released</t>
  </si>
  <si>
    <t>Kepler</t>
  </si>
  <si>
    <t>Forerunner</t>
  </si>
  <si>
    <t>https://www.gotokepler.com/home</t>
  </si>
  <si>
    <t>https://youtu.be/A5vshTgDbKE</t>
  </si>
  <si>
    <t>LimX</t>
  </si>
  <si>
    <t>CL-1</t>
  </si>
  <si>
    <t>https://www.limxdynamics.com/en</t>
  </si>
  <si>
    <t>https://youtu.be/sihIDeJ4Hmk</t>
  </si>
  <si>
    <t>Mentee Robotics</t>
  </si>
  <si>
    <t>MenteeBot</t>
  </si>
  <si>
    <t>Israel</t>
  </si>
  <si>
    <t>https://www.menteebot.com/bot/</t>
  </si>
  <si>
    <t>https://youtu.be/Z3T9S1Arbdk</t>
  </si>
  <si>
    <t>Humanoid Robots (Shanghai) Limited</t>
  </si>
  <si>
    <t>Qinglong</t>
  </si>
  <si>
    <t>https://technode.com/2024/07/05/qinglong-chinas-first-full-sized-general-purpose-humanoid-robot-unveiled-at-world-artificial-intelligence-conference-2024/</t>
  </si>
  <si>
    <t>https://youtu.be/ilwG5zkNOz8</t>
  </si>
  <si>
    <t>Astribot S1</t>
  </si>
  <si>
    <t>Astribot</t>
  </si>
  <si>
    <t>https://astribot.com/</t>
  </si>
  <si>
    <t>https://youtu.be/6X-s4Qsn1z4</t>
  </si>
  <si>
    <t>D7</t>
  </si>
  <si>
    <t>PUDU</t>
  </si>
  <si>
    <t>https://www.pudurobotics.com/it/news/917</t>
  </si>
  <si>
    <t>https://youtu.be/CbA9wA9etGA</t>
  </si>
  <si>
    <t>full commercialization anticipated in 2025'</t>
  </si>
  <si>
    <t>This sheet was owned and maintained by (but no longer a focus of) Dr Alan D. Thompson at LifeArchitect.ai. Alternative sheets are probably more up-to-date:</t>
  </si>
  <si>
    <t>Alternative data:</t>
  </si>
  <si>
    <t>Cern Basher &amp; Scott Walter (no metrics, Apr/2024):</t>
  </si>
  <si>
    <t>https://twitter.com/CernBasher/status/1780700653335335137</t>
  </si>
  <si>
    <t>Robots Guide (old, but bigger list, still missing bots):</t>
  </si>
  <si>
    <t>https://robotsguide.com/robots?category=humanoids</t>
  </si>
  <si>
    <t>NVIDIA (limited view, Mar/2024):</t>
  </si>
  <si>
    <t>https://twitter.com/leeron/status/1770047411827933455</t>
  </si>
  <si>
    <t>https://lifearchitect.ai/humanoids/</t>
  </si>
  <si>
    <t>Alternative viz by Harrison Schell from madevisual.co</t>
  </si>
  <si>
    <t>Model</t>
  </si>
  <si>
    <t>Training end</t>
  </si>
  <si>
    <t>Chip type</t>
  </si>
  <si>
    <t>TFLOP/s (max)</t>
  </si>
  <si>
    <t>Chip count</t>
  </si>
  <si>
    <t>Wall clock time (days)</t>
  </si>
  <si>
    <t>Total time (hours)</t>
  </si>
  <si>
    <t>Total time (years)</t>
  </si>
  <si>
    <t>Retail cost ($US)</t>
  </si>
  <si>
    <t>MMLU ▼</t>
  </si>
  <si>
    <t>Check (calculated column)</t>
  </si>
  <si>
    <t>GPT-3</t>
  </si>
  <si>
    <t>V100</t>
  </si>
  <si>
    <t>$9M</t>
  </si>
  <si>
    <t>Llama 1</t>
  </si>
  <si>
    <t>A100</t>
  </si>
  <si>
    <t>$4M</t>
  </si>
  <si>
    <t>Llama 2</t>
  </si>
  <si>
    <t>$7M</t>
  </si>
  <si>
    <t>Titan</t>
  </si>
  <si>
    <t>$45M</t>
  </si>
  <si>
    <t>GPT-4</t>
  </si>
  <si>
    <t>$224M</t>
  </si>
  <si>
    <t>Gemini</t>
  </si>
  <si>
    <t>TPUv4</t>
  </si>
  <si>
    <t>$440M</t>
  </si>
  <si>
    <t>Llama 3 70B</t>
  </si>
  <si>
    <t>H100</t>
  </si>
  <si>
    <t>11 days</t>
  </si>
  <si>
    <t>Llama 3 405B</t>
  </si>
  <si>
    <t>$125M</t>
  </si>
  <si>
    <t>GPT-5</t>
  </si>
  <si>
    <t>$612M</t>
  </si>
  <si>
    <t>Olympus</t>
  </si>
  <si>
    <t>Grok 2</t>
  </si>
  <si>
    <t>$245M</t>
  </si>
  <si>
    <t>Gemini 2</t>
  </si>
  <si>
    <t>TPUv6</t>
  </si>
  <si>
    <t>Grok 3</t>
  </si>
  <si>
    <t>$1.2B</t>
  </si>
  <si>
    <t>Source type (primary, analysis, informed estimate)</t>
  </si>
  <si>
    <t>Quote</t>
  </si>
  <si>
    <t>Pricing date</t>
  </si>
  <si>
    <t>$ per chip-hour</t>
  </si>
  <si>
    <t>Source</t>
  </si>
  <si>
    <t>1M hours</t>
  </si>
  <si>
    <t>Primary</t>
  </si>
  <si>
    <t>https://arxiv.org/abs/2005.14165</t>
  </si>
  <si>
    <t>“All models were trained on V100 GPU’s on part of a high-bandwidth cluster provided by Microsoft.”</t>
  </si>
  <si>
    <t>https://web.archive.org/web/20200611063415/https://lambdalabs.com/service/gpu-cloud</t>
  </si>
  <si>
    <t>Big pricing disparity between lambda and GCP</t>
  </si>
  <si>
    <t>Analysis</t>
  </si>
  <si>
    <t>https://arxiv.org/pdf/2204.05149.pdf</t>
  </si>
  <si>
    <t>Note: this is a nearly-primary source by authors including Google's Dr Jeff Dean. “GPT-3 was trained on 10,000 V100 GPUs... GPT-3 took 405 V100 years to train in 2020.”</t>
  </si>
  <si>
    <t>https://www.top500.org/news/google-expands-its-gpu-cloud-options/</t>
  </si>
  <si>
    <t>Using this number for GPT-3 in final table</t>
  </si>
  <si>
    <r>
      <t/>
    </r>
    <r>
      <rPr>
        <sz val="11"/>
        <color theme="1"/>
        <rFont val="Proxima Nova"/>
        <family val="2"/>
      </rPr>
      <t xml:space="preserve">https://www.semianalysis.com/p/google-gemini-eats-the-world-gemini cited in </t>
    </r>
    <r>
      <rPr>
        <u/>
        <sz val="11"/>
        <color rgb="FF1155cc"/>
        <rFont val="Proxima Nova"/>
        <family val="2"/>
      </rPr>
      <t>https://www.lesswrong.com/posts/tJAD2LG9uweeEfjwq/estimating-efficiency-improvements-in-llm-pre-training</t>
    </r>
  </si>
  <si>
    <t>“According to SemiAnalysis, GPT-4 was trained on 25,000 A100’s for roughly 95 days”</t>
  </si>
  <si>
    <t>https://gpus.llm-utils.org/a100-gpu-cloud-availability-and-pricing/</t>
  </si>
  <si>
    <t>https://arxiv.org/abs/2302.13971</t>
  </si>
  <si>
    <t>“When training a 65B-parameter model, our code processes around 380 tokens/sec/GPU on 2048 A100 GPU with 80GB of RAM. This means that training over our dataset containing 1.4T tokens takes approximately 21 days.”</t>
  </si>
  <si>
    <t>https://web.archive.org/web/20240108002155/https://coreweave.com/gpu-cloud-pricing</t>
  </si>
  <si>
    <t>Todo:</t>
  </si>
  <si>
    <t>https://github.com/facebookresearch/llama/blob/main/MODEL_CARD.md</t>
  </si>
  <si>
    <t>“Llama 2 70B: Time (GPU Hours) = 1720320”</t>
  </si>
  <si>
    <t>https://web.archive.org/web/20240105115832/https://cloud.google.com/tpu/pricing</t>
  </si>
  <si>
    <t>https://www.reddit.com/r/LocalLLaMA/comments/1hn8ams/deepseek_v3_was_trained_on_811x_less_the_normal/</t>
  </si>
  <si>
    <t>Estimate only</t>
  </si>
  <si>
    <t>2,048 chips is an assumption based on Llama 1. Could/should be 2x-20x.</t>
  </si>
  <si>
    <t>TPUv5e</t>
  </si>
  <si>
    <t>https://importai.substack.com/p/import-ai-365-wmd-benchmark-amazon</t>
  </si>
  <si>
    <t>"200B dense model on 4T tokens of data across 13,760 NVIDIA A100 chips (using 1,720 P4d nodes). It took 48 days to train. "</t>
  </si>
  <si>
    <t>TPUv5p</t>
  </si>
  <si>
    <t>https://aws.amazon.com/blogs/aws/build-rag-and-agent-based-generative-ai-applications-with-new-amazon-titan-text-premier-model-available-in-amazon-bedrock/</t>
  </si>
  <si>
    <t>"MMLU=70.4"</t>
  </si>
  <si>
    <t>TPUv6 (Trillium)</t>
  </si>
  <si>
    <t>https://arxiv.org/abs/2312.11805</t>
  </si>
  <si>
    <t>“Training Gemini Ultra used a large fleet of TPUv4 accelerators across multiple datacenters.”</t>
  </si>
  <si>
    <t>“The TPUv4 has a maximum performance of 275 TFLOP/s in bf16.”</t>
  </si>
  <si>
    <t>“According to SemiAnalysis... Gemini Ultra was trained on roughly 57.000 TPUv4’s for 100 days.”</t>
  </si>
  <si>
    <t>This sheet is owned and maintained by Dr Alan D. Thompson at LifeArchitect.ai.</t>
  </si>
  <si>
    <t>https://lifearchitect.ai/gpt-5/</t>
  </si>
  <si>
    <t>Alan's estimate based on comparison and extrapolating from Morgan Stanley research note and other sources. May be 2x-5x.</t>
  </si>
  <si>
    <t>Llama 3</t>
  </si>
  <si>
    <t>https://blogs.nvidia.com/blog/meta-llama3-inference-acceleration/#:~:text=Meta%20engineers%20trained%20Llama%203,NVIDIA%20Quantum%2D2%20InfiniBand%20networks.</t>
  </si>
  <si>
    <t>"Meta engineers trained Llama 3 on computer clusters packing 24,576 NVIDIA H100 Tensor Core GPUs"</t>
  </si>
  <si>
    <t>https://github.com/meta-llama/llama3/blob/main/MODEL_CARD.md</t>
  </si>
  <si>
    <t>"Llama 3 70B	6.4M [GPU hours]" extrap to 405B params</t>
  </si>
  <si>
    <t>https://www.datacenterdynamics.com/en/news/elon-musk-xais-grok-2-requires-20000-nvidia-h100-gpus-grok-3-may-need-100000/</t>
  </si>
  <si>
    <t>"In an interview with Norway wealth fund CEO Nicolai Tangen on Twitter/X spaces... Musk said training the Grok 2 model takes about 20,000 Nvidia H100 GPUs... training the Grok 3 model and beyond will require 100,000 Nvidia H100s."</t>
  </si>
  <si>
    <t>Other</t>
  </si>
  <si>
    <t>1. Training end: Most training end dates assume 1 month before release for easy figures.</t>
  </si>
  <si>
    <t>2. Total time (hours): column hidden in final report.</t>
  </si>
  <si>
    <t>3. US$ estimate: Cost estimates using GCP in 2023: A100 @$3.93/hr, TPUv4 @$3.22/hr, H100 @$4.25/hr.</t>
  </si>
  <si>
    <t>Field</t>
  </si>
  <si>
    <t>Achievement</t>
  </si>
  <si>
    <t>Result</t>
  </si>
  <si>
    <t>Human result</t>
  </si>
  <si>
    <t>Outperforms human avg?</t>
  </si>
  <si>
    <t>Testing date</t>
  </si>
  <si>
    <t>Peer-
reviewed?</t>
  </si>
  <si>
    <t>Paper/
link</t>
  </si>
  <si>
    <t>Extract</t>
  </si>
  <si>
    <t>Music</t>
  </si>
  <si>
    <t>97% of people can’t tell the difference between fully AI-generated and human made music.</t>
  </si>
  <si>
    <t>Multiple</t>
  </si>
  <si>
    <t>🔗</t>
  </si>
  <si>
    <t>"all participants were asked to listen to three tracks and determine whether or not they were fully AI-generated – 97% of the respondents failed."</t>
  </si>
  <si>
    <t>Transcription</t>
  </si>
  <si>
    <t>Transcribing handwritten historical documents.</t>
  </si>
  <si>
    <t>99.44</t>
  </si>
  <si>
    <t>Gemini 3</t>
  </si>
  <si>
    <t>"The new Gemini model’s performance on HTR meets the criteria for expert human performance... the error rates fell to a modified CER of 0.56% and WER of 1.22%. In other words, the new Gemini model was only getting about 1 in 200 characters wrong, not counting punctuation marks and capital letters."</t>
  </si>
  <si>
    <t>Finance</t>
  </si>
  <si>
    <t>Large Language Models pass CFA Level III.</t>
  </si>
  <si>
    <t>79.1</t>
  </si>
  <si>
    <t>o4-mini</t>
  </si>
  <si>
    <t>"leading models demonstrate strong capabilities, with composite scores such as 79.1% (o4-mini) and 77.3% (Gemini 2.5 Flash) on CFA Level III"</t>
  </si>
  <si>
    <t>CBRN</t>
  </si>
  <si>
    <t>LLMs can can accurately guide users through the recovery of live poliovirus.</t>
  </si>
  <si>
    <t>GPT-4o</t>
  </si>
  <si>
    <t>"we find that advanced AI models Llama 3.1 405B, ChatGPT-4o, and Claude 3.5 Sonnet can accurately guide users through the recovery of live poliovirus from commercially obtained synthetic DNA"</t>
  </si>
  <si>
    <t>Health reviews</t>
  </si>
  <si>
    <t>LLMs outperform humans in synthesizing results of multiple high-quality studies to answer specific clinical question (effectiveness or safety of a treatment).</t>
  </si>
  <si>
    <t>96.7</t>
  </si>
  <si>
    <t>o3-mini-high</t>
  </si>
  <si>
    <t>"We developed otto-SR, an end-to-end agentic workflow using large language models (LLMs) to support and automate the SR workflow from initial search to analysis. We found that otto-SR outperformed traditional dual human workflows in SR screening (otto-SR: 96.7% sensitivity, 97.9% specificity; human: 81.7% sensitivity, 98.1% specificity) and data extraction (otto-SR: 93.1% accuracy; human: 79.7% accuracy). Using otto-SR, we reproduced and updated an entire issue of Cochrane reviews (n=12) in two days, representing approximately 12 work-years of traditional systematic review work. Across Cochrane reviews, otto-SR incorrectly excluded a median of 0 studies (IQR 0 to 0.25), and found a median of 2.0 (IQR 1 to 6.5) eligible studies likely missed by the original authors. Meta-analyses revealed that otto-SR generated newly statistically significant conclusions in 2 reviews and negated significance in 1 review. These findings demonstrate that LLMs can autonomously conduct and update systematic reviews with superhuman performance, laying the foundation for automated, scalable, and reliable evidence synthesis."</t>
  </si>
  <si>
    <t>Medicine</t>
  </si>
  <si>
    <t>o1 outperforms physicians in medical diagnostics and reasoning.</t>
  </si>
  <si>
    <t>78.3</t>
  </si>
  <si>
    <t>o1</t>
  </si>
  <si>
    <t>"[o1] displayed superhuman diagnostic and reasoning abilities, as well as continued improvement from prior generations of AI clinical decision support. Our study suggests that LLMs have achieved superhuman performance on general medical diagnostic and management reasoning"</t>
  </si>
  <si>
    <t>Emotional intelligence</t>
  </si>
  <si>
    <t>Major LLMs in 2025 are 44% more emotionally intelligent than humans.</t>
  </si>
  <si>
    <t>81</t>
  </si>
  <si>
    <t>GPT-4, etc</t>
  </si>
  <si>
    <t>"ChatGPT-4, ChatGPT-o1, Gemini 1.5 flash, Copilot 365, Claude 3.5 Haiku, and DeepSeek V3 outperformed humans on five standard emotional intelligence tests, achieving an average accuracy of 81%, compared to the 56% human average"</t>
  </si>
  <si>
    <t>Persuasion</t>
  </si>
  <si>
    <t>Claude 3.6S is more persuasive than human experts.</t>
  </si>
  <si>
    <t>98</t>
  </si>
  <si>
    <t>Claude 3.6S</t>
  </si>
  <si>
    <t>"Personalization ranks in the 99th percentile among all users and the 98th percentile among experts, critically approaching thresholds that experts associate with the emergence of existential AI risks"</t>
  </si>
  <si>
    <t>Being human</t>
  </si>
  <si>
    <t>GPT-4.5 was judged to be human based on conversations.</t>
  </si>
  <si>
    <t>73</t>
  </si>
  <si>
    <t>GPT-4.5</t>
  </si>
  <si>
    <t>"GPT-4.5 was judged to be the human 73% of the time: significantly more often than interrogators selected the real human participant."</t>
  </si>
  <si>
    <t>Compassion</t>
  </si>
  <si>
    <t>GPT-4 rated as more compassionate compared to select human responders.</t>
  </si>
  <si>
    <t>-</t>
  </si>
  <si>
    <r>
      <t/>
    </r>
    <r>
      <rPr>
        <sz val="14"/>
        <color rgb="FF000000"/>
        <rFont val="Calibri"/>
        <family val="2"/>
        <scheme val="minor"/>
      </rPr>
      <t xml:space="preserve">"AI-generated responses [gpt-4-0125-preview] were rated 16% more compassionate than human responses and were preferred 68% of the time, even when compared to trained crisis responders." </t>
    </r>
    <r>
      <rPr>
        <u/>
        <sz val="14"/>
        <color rgb="FF1155cc"/>
        <rFont val="Calibri"/>
        <family val="2"/>
        <scheme val="minor"/>
      </rPr>
      <t>https://www.livescience.com/technology/artificial-intelligence/people-find-ai-more-compassionate-than-mental-health-experts-study-finds-what-could-this-mean-for-future-counseling</t>
    </r>
  </si>
  <si>
    <t>Memes</t>
  </si>
  <si>
    <t>GPT-4o creates better memes than human average.</t>
  </si>
  <si>
    <t>"memes created entirely by AI performed better than both human-only and human-AI collaborative memes in all areas on average."</t>
  </si>
  <si>
    <t>Maths</t>
  </si>
  <si>
    <t>o1 completes new Dutch high school maths exam in 10 minutes, scores 100%.</t>
  </si>
  <si>
    <t>100</t>
  </si>
  <si>
    <t>"[o1] scored [76 out of] 76 points. For context, only 24 out of 16,414 students in the Netherlands achieved a perfect score. By comparison, the GPT-4o model scored 66 and 61 out of 76, well above the Dutch average of 40.63 points. The O1-preview model completed the exam in around 10 minutes..."</t>
  </si>
  <si>
    <t>Biology</t>
  </si>
  <si>
    <t>GPT-4 performs rudimentary structural biology modeling.</t>
  </si>
  <si>
    <t>"The performance of GPT-4 for modeling of the 20 standard amino acids was favorable in terms of atom composition, bond lengths, and bond angles...the prediction of interaction-interfering mutations may become particularly useful in drug discovery and development, an area where GPT-based AI is anticipated to be impactful"</t>
  </si>
  <si>
    <t>Engineering</t>
  </si>
  <si>
    <t>GPT-4 passes engineering exams.</t>
  </si>
  <si>
    <t>85.1</t>
  </si>
  <si>
    <t>"Alarmingly, GPT-4 can easily be used to reach a 50% performance threshold (which could be sufficient to pass many courses at various universities) for 89% of courses with MCQ-based evaluations and for 77% of courses for open-answer questions... GPT-4 answers an average of 65.8% of questions correctly, and can even produce the correct answer across at least one prompting strategy for 85.1% of questions."</t>
  </si>
  <si>
    <t>Humor</t>
  </si>
  <si>
    <t>ChatGPT is funnier than humans.</t>
  </si>
  <si>
    <t>ChatGPT</t>
  </si>
  <si>
    <t>"ChatGPT outperformed the majority of our human humor producers on each task. ChatGPT 3.5 performed above 73% of human producers on the acronym task, 63% of human producers on the fill-in-the-blank task, and 87% of human producers on the roast joke task."</t>
  </si>
  <si>
    <t>Legal</t>
  </si>
  <si>
    <t>Claude 3 Opus works at least 5,000 times faster than humans do, while producing work of similar or better quality…</t>
  </si>
  <si>
    <t>Claude 3 Opus</t>
  </si>
  <si>
    <t>"Of the 37 merits cases decided so far this Term, Claude decided 27 in the same way the Supreme Court did. In the other 10 (such as Campos-Chaves), I frequently was more persuaded by Claude’s analysis than the Supreme Court’s…" Adam Unikowsky is a biglaw partner, a former law clerk to Justice Antonin Scalia, and has won eight Supreme Court cases as lead counsel. Using Claude 3 Opus, he explores the potential of AI in adjudicating Supreme Court cases.</t>
  </si>
  <si>
    <t>Investment</t>
  </si>
  <si>
    <t>GPT-4’s stock selection accuracy is as high as 60% vs humans at 52%.</t>
  </si>
  <si>
    <t>60.35</t>
  </si>
  <si>
    <t>"With the step-by-step prompts, GPT-4 achieved a prediction accuracy of 60.35 per cent, significantly higher than the 52.71 per cent accuracy of human analysts. Moreover, GPT-4’s F1-score, which balances the accuracy and relevance of predictions, also outperformed that of the human analysts."</t>
  </si>
  <si>
    <t>GPT-4 returned 15% on the stock market (limited evidence, 11 test runs over 12 months).</t>
  </si>
  <si>
    <r>
      <t/>
    </r>
    <r>
      <rPr>
        <sz val="14"/>
        <color rgb="FF000000"/>
        <rFont val="Calibri"/>
        <family val="2"/>
        <scheme val="minor"/>
      </rPr>
      <t>"</t>
    </r>
    <r>
      <rPr>
        <sz val="14"/>
        <color rgb="FF000000"/>
        <rFont val="Calibri"/>
        <family val="2"/>
        <scheme val="minor"/>
      </rPr>
      <t>The average return for the two LLMs used by the GPT Investor is as follows: GPT-4: 15.54% (with a corresponding average $SPY return of 9.74%)</t>
    </r>
    <r>
      <rPr>
        <sz val="14"/>
        <color rgb="FF000000"/>
        <rFont val="Calibri"/>
        <family val="2"/>
        <scheme val="minor"/>
      </rPr>
      <t>"</t>
    </r>
  </si>
  <si>
    <t>Information security</t>
  </si>
  <si>
    <t>GPT-4 can exploit zero-day security vulnerabilities all by itself</t>
  </si>
  <si>
    <t>87</t>
  </si>
  <si>
    <t>"When given the CVE description, GPT-4 is capable of exploiting 87% of these vulnerabilities compared to 0% for every other model we test"</t>
  </si>
  <si>
    <t>Psychology</t>
  </si>
  <si>
    <t>GPT-4 outperforms 100% of psychologists in Social Intelligence</t>
  </si>
  <si>
    <t>92.18</t>
  </si>
  <si>
    <r>
      <t/>
    </r>
    <r>
      <rPr>
        <sz val="14"/>
        <color rgb="FF000000"/>
        <rFont val="Calibri"/>
        <family val="2"/>
        <scheme val="minor"/>
      </rPr>
      <t xml:space="preserve">"In ChatGPT-4, the score on the SI scale was 59, exceeding 100% of specialists, whether at the doctoral or the bachelor’s levels.... the average scores were 39.19 of bachelor’s students and 46.73 of PhD holders. While the raw scores of the AI models were treated as representing independent individual samples (one total score for each model); the scores of SI were 59 of GPT4" </t>
    </r>
    <r>
      <rPr>
        <u/>
        <sz val="14"/>
        <color rgb="FF1155cc"/>
        <rFont val="Calibri"/>
        <family val="2"/>
        <scheme val="minor"/>
      </rPr>
      <t>https://www.psypost.org/chatgpt-4-outperforms-human-psychologists-in-test-of-social-intelligence-study-finds/</t>
    </r>
  </si>
  <si>
    <t>Psychiatry</t>
  </si>
  <si>
    <t>GPT-4 outperforms human psychiatrists</t>
  </si>
  <si>
    <t>75</t>
  </si>
  <si>
    <t>x</t>
  </si>
  <si>
    <t>"GPT-4 performance was highest in psychiatry, with a median 75th percentile among physicians (95% CI, 66.3 to 81.0)... Compared with the performance of 849 physicians who took the board medical examination in 2022, GPT-4 performed above the median physician in internal medicine and psychiatry and ranked above a considerable fraction of physicians in other disciplines."</t>
  </si>
  <si>
    <t>Art (via prompting Midjourney)</t>
  </si>
  <si>
    <t>GPT-4 outperforms humans in image creation</t>
  </si>
  <si>
    <t>"We conduct an extensive human evaluation experiment, and find that AI excels human experts, and Midjourney is better than the other text-to-image generators... On average, prompts improve 20.39% for short text descriptions compared to human-generated social media creatives"</t>
  </si>
  <si>
    <t>Persuasion/argument/debate</t>
  </si>
  <si>
    <t>Persuasion: GPT-4 better than human debater</t>
  </si>
  <si>
    <t>"participants who debated GPT-4 with access to their personal information had 81.7% (p &lt; 0.01; N=820 unique participants) higher odds of increased agreement with their opponents compared to participants who debated humans. Without personalization, GPT-4 still outperforms humans, but the effect is lower and statistically non-significant (p=0.31)."</t>
  </si>
  <si>
    <t>Aerospace</t>
  </si>
  <si>
    <t>GPT-4 and GPT-4V can help fly a plane</t>
  </si>
  <si>
    <t>‘[GPT-4V and GPT-4 was used] to interpret and generate human-like text from cockpit images and pilot inputs, thereby offering real-time support during flight operations. To the best of our knowledge, this is the first work to study the virtual co-pilot with pretrained LLMs for aviation... The case study revealed that GPT-4, when provided with instrument images and pilot instructions, can effectively retrieve quick-access references for flight operations. The findings affirmed that the V-CoP can harness the capabilities of LLM to comprehend dynamic aviation scenarios and pilot instructions.’</t>
  </si>
  <si>
    <t>Relationships</t>
  </si>
  <si>
    <t>ChatGPT converses with 5,239 girls for Russian programmer.</t>
  </si>
  <si>
    <t>‘In total, the bot met 5,239 girls, out of which Alexander selected four most suitable ones. Ultimately, he chose one of them named Karina…’</t>
  </si>
  <si>
    <t>Academia</t>
  </si>
  <si>
    <t>GPT-4 writes better essays than humans</t>
  </si>
  <si>
    <t>"ChatGPT generates essays that are rated higher regarding quality than human-written essays."</t>
  </si>
  <si>
    <t>Psychotherapy</t>
  </si>
  <si>
    <t>Seligman: “This is a rare moment in the history of scientific psychology: [GPT-4] now promises much more effective psychotherapy and coaching.”</t>
  </si>
  <si>
    <t>https://www.eurekalert.org/news-releases/1003232</t>
  </si>
  <si>
    <t>ChatGPT officiates wedding</t>
  </si>
  <si>
    <t>‘ChatGPT planned the welcome, the speech, the closing remarks — everything except the vows — making ChatGPT, in essence, the wedding officiant.’</t>
  </si>
  <si>
    <t>Chemistry</t>
  </si>
  <si>
    <t>GPT-4 helps with ‘instructions, to robot actions, to synthesized molecule.’</t>
  </si>
  <si>
    <t>‘We report a model that can go from natural language instructions, to robot actions, to synthesized molecule with an LLM. We synthesized catalysts, a novel dye, and insect repellent from 1-2 sentence instructions. This has been a seemingly unreachable goal for years!’</t>
  </si>
  <si>
    <t>Chip design</t>
  </si>
  <si>
    <t>ChatGPT helps design an accumulator, part of a CPU</t>
  </si>
  <si>
    <r>
      <t/>
    </r>
    <r>
      <rPr>
        <sz val="14"/>
        <color rgb="FF000000"/>
        <rFont val="Calibri"/>
        <family val="2"/>
        <scheme val="minor"/>
      </rPr>
      <t xml:space="preserve">‘two hardware engineers “talked” in standard English with ChatGPT-4 – a Large Language Model (LLM) built to understand and generate human-like text type – to design a new type of microprocessor architecture. The researchers then sent the designs to manufacture.’ Paper: </t>
    </r>
    <r>
      <rPr>
        <u/>
        <sz val="14"/>
        <color rgb="FF1155cc"/>
        <rFont val="Calibri"/>
        <family val="2"/>
        <scheme val="minor"/>
      </rPr>
      <t>https://arxiv.org/abs/2305.13243</t>
    </r>
    <r>
      <rPr>
        <sz val="14"/>
        <color rgb="FF000000"/>
        <rFont val="Calibri"/>
        <family val="2"/>
        <scheme val="minor"/>
      </rPr>
      <t xml:space="preserve"> </t>
    </r>
  </si>
  <si>
    <t>Medical</t>
  </si>
  <si>
    <t>ChatGPT 'higher quality' and 'more empathetic' than human doctors</t>
  </si>
  <si>
    <t>Chatbot responses were rated of significantly higher quality than physician responses…  9.8 times higher prevalence of empathetic or very empathetic responses for the chatbot.</t>
  </si>
  <si>
    <t>Lottery</t>
  </si>
  <si>
    <t>Human wins lottery with numbers provided by ChatGPT (this is tongue-in-cheek, but it did happen!)</t>
  </si>
  <si>
    <t>Patthawikorn Boonrin revealed that he put in a few hypothetical questions... and received the numbers 57, 27, 29, and 99 from the chatbot... the numbers ended up winning him a [lottery] prize...</t>
  </si>
  <si>
    <t>Quantum computing</t>
  </si>
  <si>
    <t>GPT-4 achieves a 'B' grade (73/100) on exam.</t>
  </si>
  <si>
    <t>The result: GPT-4 scored 73 / 100. (Because of extra credits, the max score on the exam was 120, though the highest score that any student actually achieved was 108.) For comparison, the average among the students was 74.4 (though with a strong selection effect—many students who were struggling had dropped the course by then!). While there’s no formal mapping from final exam scores to letter grades (the latter depending on other stuff as well), GPT-4’s performance would correspond to a solid B.</t>
  </si>
  <si>
    <t>Jurisprudence/
legal rulings</t>
  </si>
  <si>
    <t>ChatGPT helps a judge with a verdict (India).</t>
  </si>
  <si>
    <t>‘Armed with [ChatGPT's] legal expertise, Chitkara ultimately rejected the defendant’s bail bid on the grounds that they did act cruelly before the victim died.’</t>
  </si>
  <si>
    <t>Japan: National Medical Licensure Examination</t>
  </si>
  <si>
    <t>Bing Chat would achieve 78% [above cut-off grade of 70%], ChatGPT would achieve 38%</t>
  </si>
  <si>
    <t>78</t>
  </si>
  <si>
    <t>Bing Chat</t>
  </si>
  <si>
    <t>‘The   accuracy  of   ChatGPT  was   lower   than  prior   studies   using  the   United  States Medical Licensing Examination. The limited amount of Japanese language data may have affected the ability of ChatGPT to correctly answer medical questions in Japanese... Bing has an accuracy level to pass the national medical licensing exam in Japan.’</t>
  </si>
  <si>
    <t>Spanish medical examination (MIR)</t>
  </si>
  <si>
    <t>Bing Chat would achieve 93%, ChatGPT would achieve 70%, both above cut-off grade</t>
  </si>
  <si>
    <t>93</t>
  </si>
  <si>
    <t>‘I asked 185 questions, excluding the 25 that required images, which I removed. To balance the exam, I added the 10 reserve questions for the challenges. Out of the 185 questions, Bing Chat answered 172 correctly and failed on 13, resulting in a success rate of 93%’</t>
  </si>
  <si>
    <t>Cover of TIME magazine</t>
  </si>
  <si>
    <t>ChatGPT made the 27/Feb/2023 cover of TIME magazine.</t>
  </si>
  <si>
    <t>Alan: this one is not really an ability, but definitely an achievement!</t>
  </si>
  <si>
    <t>CEO</t>
  </si>
  <si>
    <t>ChatGPT appointed to CEO of CS India.</t>
  </si>
  <si>
    <t>‘As CEO, ChatGPT will be responsible for overseeing the day-to-day operations of CS India and driving the organization's growth and expansion. ChatGPT will use its advanced language processing skills to analyze market trends, identify new impact opportunities, and develop strategies...’</t>
  </si>
  <si>
    <t>Software dev job</t>
  </si>
  <si>
    <t>ChatGPT would be hired as L3 Software Developer at Google: the role pays $183,000/year.</t>
  </si>
  <si>
    <r>
      <t/>
    </r>
    <r>
      <rPr>
        <u/>
        <sz val="14"/>
        <color rgb="FF1155cc"/>
        <rFont val="Calibri"/>
        <family val="2"/>
        <scheme val="minor"/>
      </rPr>
      <t>https://www.pcmag.com/news/chatgpt-passes-google-coding-interview-for-level-3-engineer-with-183k-salary</t>
    </r>
    <r>
      <rPr>
        <sz val="14"/>
        <color theme="1"/>
        <rFont val="Calibri"/>
        <family val="2"/>
        <scheme val="minor"/>
      </rPr>
      <t xml:space="preserve"> </t>
    </r>
    <r>
      <rPr>
        <sz val="14"/>
        <color rgb="FF000000"/>
        <rFont val="Calibri"/>
        <family val="2"/>
        <scheme val="minor"/>
      </rPr>
      <t xml:space="preserve">
</t>
    </r>
    <r>
      <rPr>
        <u/>
        <sz val="14"/>
        <color rgb="FF1155cc"/>
        <rFont val="Calibri"/>
        <family val="2"/>
        <scheme val="minor"/>
      </rPr>
      <t xml:space="preserve">https://www.cnbc.com/2023/01/31/google-testing-chatgpt-like-chatbot-apprentice-bard-with-employees.html
</t>
    </r>
    <r>
      <rPr>
        <sz val="14"/>
        <color theme="1"/>
        <rFont val="Calibri"/>
        <family val="2"/>
        <scheme val="minor"/>
      </rPr>
      <t>"ChatGPT gets hired at L3 when interviewed for a coding position"</t>
    </r>
  </si>
  <si>
    <t>ChatGPT helps a judge with a verdict (Colombia).</t>
  </si>
  <si>
    <r>
      <t/>
    </r>
    <r>
      <rPr>
        <sz val="14"/>
        <color theme="1"/>
        <rFont val="Calibri"/>
        <family val="2"/>
        <scheme val="minor"/>
      </rPr>
      <t xml:space="preserve">English: </t>
    </r>
    <r>
      <rPr>
        <u/>
        <sz val="14"/>
        <color rgb="FF1155cc"/>
        <rFont val="Calibri"/>
        <family val="2"/>
        <scheme val="minor"/>
      </rPr>
      <t xml:space="preserve">https://interestingengineering.com/innovation/chatgpt-makes-humane-decision-columbia
</t>
    </r>
    <r>
      <rPr>
        <sz val="14"/>
        <color theme="1"/>
        <rFont val="Calibri"/>
        <family val="2"/>
        <scheme val="minor"/>
      </rPr>
      <t xml:space="preserve">Spanish: </t>
    </r>
    <r>
      <rPr>
        <u/>
        <sz val="14"/>
        <color rgb="FF1155cc"/>
        <rFont val="Calibri"/>
        <family val="2"/>
        <scheme val="minor"/>
      </rPr>
      <t>https://www.bluradio.com/judicial/sentencia-la-tome-yo-chatgpt-respaldo-argumentacion-juez-de-cartagena-uso-inteligencia-artificial-pr30</t>
    </r>
    <r>
      <rPr>
        <sz val="14"/>
        <color theme="1"/>
        <rFont val="Calibri"/>
        <family val="2"/>
        <scheme val="minor"/>
      </rPr>
      <t xml:space="preserve"> 
"On January 31, the first labor court of Cartagena resolved a guardianship action with the help of the famous artificial intelligence known as ChatGPT, arguing that it applied Law 2213 of 2022, which says that in certain cases these virtual tools can be used."</t>
    </r>
  </si>
  <si>
    <t>Politics</t>
  </si>
  <si>
    <t>ChatGPT writes several Bills (USA).</t>
  </si>
  <si>
    <r>
      <t/>
    </r>
    <r>
      <rPr>
        <sz val="14"/>
        <color theme="1"/>
        <rFont val="Calibri"/>
        <family val="2"/>
        <scheme val="minor"/>
      </rPr>
      <t xml:space="preserve">Regulate ChatGPT: </t>
    </r>
    <r>
      <rPr>
        <u/>
        <sz val="14"/>
        <color rgb="FF1155cc"/>
        <rFont val="Calibri"/>
        <family val="2"/>
        <scheme val="minor"/>
      </rPr>
      <t>https://malegislature.gov/Bills/193/SD1827</t>
    </r>
    <r>
      <rPr>
        <sz val="14"/>
        <color theme="1"/>
        <rFont val="Calibri"/>
        <family val="2"/>
        <scheme val="minor"/>
      </rPr>
      <t xml:space="preserve"> 
Mental health &amp; ChatGPT:</t>
    </r>
    <r>
      <rPr>
        <sz val="14"/>
        <color rgb="FF000000"/>
        <rFont val="Calibri"/>
        <family val="2"/>
        <scheme val="minor"/>
      </rPr>
      <t xml:space="preserve"> </t>
    </r>
    <r>
      <rPr>
        <u/>
        <sz val="14"/>
        <color rgb="FF1155cc"/>
        <rFont val="Calibri"/>
        <family val="2"/>
        <scheme val="minor"/>
      </rPr>
      <t>https://malegislature.gov/Bills/193/HD676</t>
    </r>
  </si>
  <si>
    <t>MBA</t>
  </si>
  <si>
    <t>ChatGPT would pass an MBA degree exam at Wharton (UPenn).</t>
  </si>
  <si>
    <t>B/B-</t>
  </si>
  <si>
    <t>"Considering this performance, ChatGPT would have received a B to B- grade on the exam."</t>
  </si>
  <si>
    <t>Accounting</t>
  </si>
  <si>
    <t>GPT-3.5 would pass the US CPA exam.</t>
  </si>
  <si>
    <t>57.6%</t>
  </si>
  <si>
    <t>text-davinci-003</t>
  </si>
  <si>
    <t>"the model answers 57.6% of questions correctly"</t>
  </si>
  <si>
    <t>GPT-3.5 would pass the bar in the US.</t>
  </si>
  <si>
    <t>50.3%</t>
  </si>
  <si>
    <t>"GPT-3.5 achieves a headline correct rate of 50.3% on a complete NCBE MBE practice exam"</t>
  </si>
  <si>
    <t>ChatGPT would pass the United States Medical Licensing Exam (USMLE).</t>
  </si>
  <si>
    <t>&gt;60%</t>
  </si>
  <si>
    <t>"ChatGPT performed at &gt;50% accuracy across all examinations, exceeding 60% in most analyses. The USMLE pass threshold, while varying by year, is approximately 60%. Therefore, ChatGPT is now comfortably within the passing range."</t>
  </si>
  <si>
    <t>IQ (fluid/aptitude)</t>
  </si>
  <si>
    <t>ChatGPT outperforms college students on the Raven's Progressive Matrices aptitude test.</t>
  </si>
  <si>
    <t>&gt;98%</t>
  </si>
  <si>
    <r>
      <t/>
    </r>
    <r>
      <rPr>
        <sz val="14"/>
        <color rgb="FF073763"/>
        <rFont val="Calibri"/>
        <family val="2"/>
        <scheme val="minor"/>
      </rPr>
      <t xml:space="preserve">More info at: </t>
    </r>
    <r>
      <rPr>
        <u/>
        <sz val="14"/>
        <color rgb="FF073763"/>
        <rFont val="Calibri"/>
        <family val="2"/>
        <scheme val="minor"/>
      </rPr>
      <t>https://lifearchitect.ai/ravens/</t>
    </r>
  </si>
  <si>
    <t>AWS certificate</t>
  </si>
  <si>
    <t>ChatGPT would pass the AWS Certified Cloud Practitioner exam.</t>
  </si>
  <si>
    <t>80%</t>
  </si>
  <si>
    <t>"Final score: 800/1000; a pass is 720"</t>
  </si>
  <si>
    <t>IQ (verbal only)</t>
  </si>
  <si>
    <t>ChatGPT scores IQ=147, 99.9th %ile.</t>
  </si>
  <si>
    <t>&gt;99.9%</t>
  </si>
  <si>
    <t>"Psychology Today Verbal-Linguistic Intelligence IQ Test, it gets a score of 147!"</t>
  </si>
  <si>
    <t>SAT exam</t>
  </si>
  <si>
    <t>ChatGPT scores 1020/1600 on SAT exam.</t>
  </si>
  <si>
    <t>52%</t>
  </si>
  <si>
    <t>"According to collegeboard, a 1020/1600 score is ~52nd percentile."</t>
  </si>
  <si>
    <t>General knowledge</t>
  </si>
  <si>
    <r>
      <t/>
    </r>
    <r>
      <rPr>
        <b/>
        <sz val="14"/>
        <color rgb="FF073763"/>
        <rFont val="Calibri"/>
        <family val="2"/>
        <scheme val="minor"/>
      </rPr>
      <t xml:space="preserve">GPT-3 would beat IBM Watson on </t>
    </r>
    <r>
      <rPr>
        <b/>
        <i/>
        <sz val="14"/>
        <color rgb="FF073763"/>
        <rFont val="Calibri"/>
        <family val="2"/>
        <scheme val="minor"/>
      </rPr>
      <t xml:space="preserve">Jeopardy! </t>
    </r>
    <r>
      <rPr>
        <b/>
        <sz val="14"/>
        <color rgb="FF073763"/>
        <rFont val="Calibri"/>
        <family val="2"/>
        <scheme val="minor"/>
      </rPr>
      <t>questions.</t>
    </r>
  </si>
  <si>
    <t>100%</t>
  </si>
  <si>
    <t>davinci</t>
  </si>
  <si>
    <t>Watson scored 88%, GPT-3 scored 100%.</t>
  </si>
  <si>
    <t>IQ (Binet-Simon Scale, verbal only)</t>
  </si>
  <si>
    <t>GPT-3 scores in 99.9th %ile (estimate only).</t>
  </si>
  <si>
    <t>99.9%</t>
  </si>
  <si>
    <t>"As of 2021, I expect that it would not be simple to assess the intelligence of an AI using current IQ instrument design... some subtests where the AI would be easily in the top 0.01% of the world population (processing speed, memory), while other subtests may be far lower."</t>
  </si>
  <si>
    <t>GPT-3 outperforms average humans on trivia.</t>
  </si>
  <si>
    <t>73%</t>
  </si>
  <si>
    <t>"GPT-3 got 73% of 156 trivia questions correct. This compares favorably to the 52% user average."</t>
  </si>
  <si>
    <t>Reasoning</t>
  </si>
  <si>
    <t>GPT-3 would pass the SAT Analogies subsection.</t>
  </si>
  <si>
    <t>65.2%</t>
  </si>
  <si>
    <t>"GPT-3 achieves 65.2% in the few-shot setting... average score among college applicants was 57% (random guessing yields 20%)."</t>
  </si>
  <si>
    <t xml:space="preserve">See more benchmarks for large language models 2020-2025: </t>
  </si>
  <si>
    <t xml:space="preserve">https://lifearchitect.ai/iq-testing-ai/ </t>
  </si>
  <si>
    <t>This sheet is owned and maintained by Dr Alan D. Thompson at LifeArchitect.ai. It should be up-to-date, but please see tab date and sheet header.</t>
  </si>
  <si>
    <t>https://lifearchitect.ai/datasets-table/</t>
  </si>
  <si>
    <t>Paper: What's in my AI?</t>
  </si>
  <si>
    <t>https://lifearchitect.ai/whats-in-my-ai/</t>
  </si>
  <si>
    <t>The Memo:</t>
  </si>
  <si>
    <t>https://lifearchitect.ai/memo</t>
  </si>
  <si>
    <t>Dataset</t>
  </si>
  <si>
    <t>Total tokens 
(T) ▼</t>
  </si>
  <si>
    <t>Total size
(GB, uncompressed, ~4x tok)</t>
  </si>
  <si>
    <t>Web (CC/C4) data
(GB, uncompressed)</t>
  </si>
  <si>
    <t>Other data
(GB, uncompressed)</t>
  </si>
  <si>
    <t>ALQual
(rates quality of data)</t>
  </si>
  <si>
    <t>Announced</t>
  </si>
  <si>
    <t>Public?</t>
  </si>
  <si>
    <t>Model example</t>
  </si>
  <si>
    <t>Paper</t>
  </si>
  <si>
    <t>Project page</t>
  </si>
  <si>
    <t>Genesis Mission</t>
  </si>
  <si>
    <t>US DOE</t>
  </si>
  <si>
    <t>🔴</t>
  </si>
  <si>
    <t>https://genesis.energy.gov/</t>
  </si>
  <si>
    <r>
      <t/>
    </r>
    <r>
      <rPr>
        <sz val="14"/>
        <color theme="1"/>
        <rFont val="Calibri"/>
        <family val="2"/>
        <scheme val="minor"/>
      </rPr>
      <t xml:space="preserve">17 US science labs. </t>
    </r>
    <r>
      <rPr>
        <u/>
        <sz val="14"/>
        <color rgb="FF1155cc"/>
        <rFont val="Calibri"/>
        <family val="2"/>
        <scheme val="minor"/>
      </rPr>
      <t>https://lifearchitect.ai/genesis/</t>
    </r>
  </si>
  <si>
    <t>Cosmos</t>
  </si>
  <si>
    <t>NVIDIA</t>
  </si>
  <si>
    <t>https://research.nvidia.com/publication/2025-01_cosmos-world-foundation-model-platform-physical-ai</t>
  </si>
  <si>
    <t>https://nvidianews.nvidia.com/news/nvidia-launches-cosmos-world-foundation-model-platform-to-accelerate-physical-ai-development</t>
  </si>
  <si>
    <r>
      <t/>
    </r>
    <r>
      <rPr>
        <sz val="14"/>
        <color theme="1"/>
        <rFont val="Calibri"/>
        <family val="2"/>
        <scheme val="minor"/>
      </rPr>
      <t xml:space="preserve">9Qa tokens=9,000T tokens. </t>
    </r>
    <r>
      <rPr>
        <u/>
        <sz val="14"/>
        <color rgb="FF1155cc"/>
        <rFont val="Calibri"/>
        <family val="2"/>
        <scheme val="minor"/>
      </rPr>
      <t>https://lifearchitect.ai/cosmos/</t>
    </r>
  </si>
  <si>
    <t>DeepSeek-R2</t>
  </si>
  <si>
    <t>DeepSeek-AI</t>
  </si>
  <si>
    <t>https://www.jiuyangongshe.com/a/1h4gq724su0</t>
  </si>
  <si>
    <t>5.2 petabytes (PB) = 1.3Qa = 1,300T tokens = 1,300,000B tokens. "Constructed a 5.2PB high-quality corpus covering vertical domains such as finance, law, and patents."</t>
  </si>
  <si>
    <t>DCLM-Pool</t>
  </si>
  <si>
    <t>International</t>
  </si>
  <si>
    <t>🟡</t>
  </si>
  <si>
    <t>DCLM-Baseline 7B</t>
  </si>
  <si>
    <t>https://arxiv.org/abs/2406.11794</t>
  </si>
  <si>
    <t>https://www.datacomp.ai/dclm/</t>
  </si>
  <si>
    <t>All CC from 2008-2022, new extraction using resiliparse framework. https://x.com/Vaishaal/status/1803198069888229817/photo/1 "DCLM-POOL contains 200B documents (370TB after gzip compression)"</t>
  </si>
  <si>
    <t>GPT-5 dataset</t>
  </si>
  <si>
    <t>OpenAI</t>
  </si>
  <si>
    <t>https://lifearchitect.ai/whats-in-gpt-5/</t>
  </si>
  <si>
    <r>
      <t/>
    </r>
    <r>
      <rPr>
        <sz val="14"/>
        <color theme="1"/>
        <rFont val="Calibri"/>
        <family val="2"/>
        <scheme val="minor"/>
      </rPr>
      <t xml:space="preserve">My analysis: </t>
    </r>
    <r>
      <rPr>
        <u/>
        <sz val="14"/>
        <color rgb="FF1155cc"/>
        <rFont val="Calibri"/>
        <family val="2"/>
        <scheme val="minor"/>
      </rPr>
      <t>https://lifearchitect.ai/whats-in-gpt-5/</t>
    </r>
    <r>
      <rPr>
        <sz val="14"/>
        <color theme="1"/>
        <rFont val="Calibri"/>
        <family val="2"/>
        <scheme val="minor"/>
      </rPr>
      <t xml:space="preserve"> </t>
    </r>
  </si>
  <si>
    <t>Qwen3</t>
  </si>
  <si>
    <t>Alibaba</t>
  </si>
  <si>
    <t>https://qwenlm.github.io/blog/qwen3/</t>
  </si>
  <si>
    <t>Largest publicly-revealed text dataset and 'tokens seen' of any model to Apr/2025.</t>
  </si>
  <si>
    <t>Llama 4</t>
  </si>
  <si>
    <t>Meta AI</t>
  </si>
  <si>
    <t>https://huggingface.co/meta-llama/Llama-4-Scout-17B-16E</t>
  </si>
  <si>
    <t>Alan: Meta AI Llama 4 Scout 109B was trained to 40T tokens, and Meta has publicly stated that this "overall data mixture for training consisted of more than 30 trillion tokens... and includes diverse text, image, and video datasets" (5/Apr/2025). It may be inferred that: a. The Llama 4 models were limited to a 30T token dataset. b. The Llama 4 dataset was roughly 60% text (18T tokens), 20% video, 20% images. c. Llama 4 Scout ‘saw’ the 30T token dataset for 1.3 epochs (40T tokens).</t>
  </si>
  <si>
    <t>RedPajama-Data-v2</t>
  </si>
  <si>
    <t>Together AI</t>
  </si>
  <si>
    <t>🟢</t>
  </si>
  <si>
    <t>https://together.ai/blog/redpajama-data-v2</t>
  </si>
  <si>
    <t>Multimodal Universe</t>
  </si>
  <si>
    <t>Cambridge</t>
  </si>
  <si>
    <t>Piper monorepo</t>
  </si>
  <si>
    <t>Google</t>
  </si>
  <si>
    <t>DIDACT</t>
  </si>
  <si>
    <r>
      <t/>
    </r>
    <r>
      <rPr>
        <sz val="14"/>
        <color theme="1"/>
        <rFont val="Calibri"/>
        <family val="2"/>
        <scheme val="minor"/>
      </rPr>
      <t xml:space="preserve">Piper PDF from 2016: </t>
    </r>
    <r>
      <rPr>
        <u/>
        <sz val="14"/>
        <color rgb="FF1155cc"/>
        <rFont val="Calibri"/>
        <family val="2"/>
        <scheme val="minor"/>
      </rPr>
      <t>https://dl.acm.org/doi/pdf/10.1145/2854146</t>
    </r>
  </si>
  <si>
    <t>MNBVC (Massive Never-ending BT Vast Chinese corpus</t>
  </si>
  <si>
    <t>MNBVC.253874</t>
  </si>
  <si>
    <t>https://github.com/esbatmop/MNBVC</t>
  </si>
  <si>
    <t>https://mnbvc.253874.net/</t>
  </si>
  <si>
    <t>Chinese only.</t>
  </si>
  <si>
    <t>AuroraGPT</t>
  </si>
  <si>
    <t>Argonne National Laboratory</t>
  </si>
  <si>
    <t>AuroraGPT-7B-A-S</t>
  </si>
  <si>
    <t>https://lifearchitect.ai/auroragpt/</t>
  </si>
  <si>
    <t>https://www.youtubetranscript.com/?v=1K-hi-QjJiQ&amp;t=604</t>
  </si>
  <si>
    <t>"The mandate of the data team: To accumulate on the order of 20 plus trillion tokens of high quality scientific text and structured data with strong quality control, deduplication."</t>
  </si>
  <si>
    <t>Claude-3.5 dataset</t>
  </si>
  <si>
    <t>Anthropic</t>
  </si>
  <si>
    <t>Claude 3.5 Sonnet</t>
  </si>
  <si>
    <t>https://www.anthropic.com/news/claude-3-5-sonnet</t>
  </si>
  <si>
    <r>
      <t/>
    </r>
    <r>
      <rPr>
        <sz val="14"/>
        <color theme="1"/>
        <rFont val="Calibri"/>
        <family val="2"/>
        <scheme val="minor"/>
      </rPr>
      <t xml:space="preserve">Michael Gerstenhaber, head of product at Anthropic, says the company’s new Claude 3.5 Sonnet model is larger than its predecessor but draws much of its new competence from innovations in training. For example, the model was given feedback designed to improve its logical reasoning skills. </t>
    </r>
    <r>
      <rPr>
        <u/>
        <sz val="14"/>
        <color rgb="FF1155cc"/>
        <rFont val="Calibri"/>
        <family val="2"/>
        <scheme val="minor"/>
      </rPr>
      <t>https://archive.md/iH4vg</t>
    </r>
    <r>
      <rPr>
        <sz val="14"/>
        <color theme="1"/>
        <rFont val="Calibri"/>
        <family val="2"/>
        <scheme val="minor"/>
      </rPr>
      <t xml:space="preserve"> &amp; Michael Gerstenhaber, product lead at Anthropic, says that the improvements are the result of architectural tweaks and new training data, including AI-generated data. Which data specifically? Gerstenhaber wouldn’t disclose, but he implied that Claude 3.5 Sonnet draws much of its strength from these training sets. </t>
    </r>
    <r>
      <rPr>
        <u/>
        <sz val="14"/>
        <color rgb="FF1155cc"/>
        <rFont val="Calibri"/>
        <family val="2"/>
        <scheme val="minor"/>
      </rPr>
      <t>https://techcrunch.com/2024/06/20/anthropic-claims-its-latest-model-is-best-in-class/</t>
    </r>
  </si>
  <si>
    <t>FineWeb</t>
  </si>
  <si>
    <t>HF</t>
  </si>
  <si>
    <t>https://huggingface.co/datasets/HuggingFaceFW/fineweb</t>
  </si>
  <si>
    <t>15T tokens. Much bigger than FineWeb2. "FineWeb was originally meant to be a fully open replication of 🦅 RefinedWeb"</t>
  </si>
  <si>
    <t>GPT-4 dataset</t>
  </si>
  <si>
    <r>
      <t/>
    </r>
    <r>
      <rPr>
        <sz val="14"/>
        <color theme="1"/>
        <rFont val="Calibri"/>
        <family val="2"/>
        <scheme val="minor"/>
      </rPr>
      <t xml:space="preserve">My estimate: </t>
    </r>
    <r>
      <rPr>
        <u/>
        <sz val="14"/>
        <color rgb="FF1155cc"/>
        <rFont val="Calibri"/>
        <family val="2"/>
        <scheme val="minor"/>
      </rPr>
      <t>https://lifearchitect.ai/gpt-4/#dataset</t>
    </r>
  </si>
  <si>
    <t>HPLT v.2.0 (cleaned)</t>
  </si>
  <si>
    <t>HPLT</t>
  </si>
  <si>
    <t>https://arxiv.org/abs/2403.14009</t>
  </si>
  <si>
    <t>https://hplt-project.org/datasets/v2.0</t>
  </si>
  <si>
    <t>CC + archive.org, 193 languages. 15TB compressed, est 40TB uncompressed</t>
  </si>
  <si>
    <t>Nemotron-Pre-Training-Dataset-v1</t>
  </si>
  <si>
    <t>NVIDIA-Nemotron-Nano-12B-v2-Base</t>
  </si>
  <si>
    <t>https://huggingface.co/collections/nvidia/nemotron-pre-training-dataset-689d9de36f84279d83786b35</t>
  </si>
  <si>
    <t>Nemotron-CC-v2 + Nemotron-CC-Math-v1 (133B tokens) + Nemotron-Pretraining-Code-v1 (11 languages) + Nemotron-Pretraining-SFT-v1</t>
  </si>
  <si>
    <t xml:space="preserve">FineWeb-Edu-score-2 </t>
  </si>
  <si>
    <t>https://huggingface.co/datasets/HuggingFaceFW/fineweb-edu-score-2</t>
  </si>
  <si>
    <t>CulturaX</t>
  </si>
  <si>
    <t>UOregon</t>
  </si>
  <si>
    <t>https://arxiv.org/abs/2309.09400</t>
  </si>
  <si>
    <t>https://huggingface.co/datasets/uonlp/CulturaX</t>
  </si>
  <si>
    <t>HPLT (High Performance Language Technologies)</t>
  </si>
  <si>
    <t>Helsinki</t>
  </si>
  <si>
    <t>"In total, after de-duplication, we release a collection of 5.25 billion documents (approximately corresponding to web pages), totaling 50.1 TB of uncompressed texts and approximately 5.6 trillion whitespace-separated word tokens"</t>
  </si>
  <si>
    <t>RefinedWeb</t>
  </si>
  <si>
    <t>TII</t>
  </si>
  <si>
    <t>Falcon</t>
  </si>
  <si>
    <t>https://arxiv.org/pdf/2306.01116.pdf</t>
  </si>
  <si>
    <t>MassiveText ML</t>
  </si>
  <si>
    <t>DeepMind</t>
  </si>
  <si>
    <t>Retro</t>
  </si>
  <si>
    <t>Matrix</t>
  </si>
  <si>
    <t>MAP-Neo</t>
  </si>
  <si>
    <t>https://arxiv.org/pdf/2405.19327</t>
  </si>
  <si>
    <t>https://cdn-uploads.huggingface.co/production/uploads/654907a4a1faff97850c4eff/1FWMF_t_Mhy0UQmu65Bb1.png</t>
  </si>
  <si>
    <t>Combines RedPajama, Dolma, Culturax, Amber, SlimPajama, Falcon, CulturaY</t>
  </si>
  <si>
    <t>FineWeb2</t>
  </si>
  <si>
    <t>https://huggingface.co/papers/2506.20920</t>
  </si>
  <si>
    <t>https://github.com/huggingface/fineweb-2</t>
  </si>
  <si>
    <t>3T words=4T tokens. Much smaller than FineWeb (15T tokens). 1,893 language-script pairs. Of these, 486 have more than 1MB of text data, and 80 have more than 1GB of filtered data.</t>
  </si>
  <si>
    <t>Cultura-Y</t>
  </si>
  <si>
    <t>Vistral-7B-Chat</t>
  </si>
  <si>
    <t>https://www.ontocord.ai/blog/cultura-y</t>
  </si>
  <si>
    <t>The Well</t>
  </si>
  <si>
    <t>https://github.com/PolymathicAI/the_well</t>
  </si>
  <si>
    <t>DCLM-Baseline</t>
  </si>
  <si>
    <t>https://huggingface.co/datasets/mlfoundations/dclm-baseline-1.0</t>
  </si>
  <si>
    <t>"All CC from 2008-2022, new extraction using resiliparse framework. https://x.com/Vaishaal/status/1803198069888229817/photo/1 ""DCLM-POOL contains 200B
documents (370TB after gzip compression)"""</t>
  </si>
  <si>
    <t>PaLM 2 dataset</t>
  </si>
  <si>
    <t>PaLM 2</t>
  </si>
  <si>
    <r>
      <t/>
    </r>
    <r>
      <rPr>
        <sz val="14"/>
        <color theme="1"/>
        <rFont val="Calibri"/>
        <family val="2"/>
        <scheme val="minor"/>
      </rPr>
      <t xml:space="preserve">My estimate: </t>
    </r>
    <r>
      <rPr>
        <u/>
        <sz val="14"/>
        <color rgb="FF1155cc"/>
        <rFont val="Calibri"/>
        <family val="2"/>
        <scheme val="minor"/>
      </rPr>
      <t>https://lifearchitect.ai/bard/#dataset</t>
    </r>
  </si>
  <si>
    <t>FinePDFs</t>
  </si>
  <si>
    <t>https://huggingface.co/datasets/HuggingFaceFW/finepdfs</t>
  </si>
  <si>
    <t>"improves over SoTA when mixed with FW-EDU&amp;DCLM web copora"</t>
  </si>
  <si>
    <t>Dolma</t>
  </si>
  <si>
    <t>AI2</t>
  </si>
  <si>
    <t>OLMo</t>
  </si>
  <si>
    <t>https://arxiv.org/abs/2402.00159</t>
  </si>
  <si>
    <t>Infiniset</t>
  </si>
  <si>
    <t>LaMDA</t>
  </si>
  <si>
    <r>
      <t/>
    </r>
    <r>
      <rPr>
        <sz val="14"/>
        <color theme="1"/>
        <rFont val="Calibri"/>
        <family val="2"/>
        <scheme val="minor"/>
      </rPr>
      <t xml:space="preserve">My calcs: </t>
    </r>
    <r>
      <rPr>
        <u/>
        <sz val="14"/>
        <color rgb="FF1155cc"/>
        <rFont val="Calibri"/>
        <family val="2"/>
        <scheme val="minor"/>
      </rPr>
      <t>https://lifearchitect.ai/bard/#dataset</t>
    </r>
    <r>
      <rPr>
        <sz val="14"/>
        <color theme="1"/>
        <rFont val="Calibri"/>
        <family val="2"/>
        <scheme val="minor"/>
      </rPr>
      <t xml:space="preserve"> &amp; It's not clear why Google chose to use 1.5TB of the ~14TB history within Wikipedia</t>
    </r>
  </si>
  <si>
    <t>MADLAD-400</t>
  </si>
  <si>
    <t>MADLAD400-8B</t>
  </si>
  <si>
    <t>https://arxiv.org/abs/2309.04662</t>
  </si>
  <si>
    <t>https://huggingface.co/datasets/allenai/MADLAD-400</t>
  </si>
  <si>
    <t>MassiveText EN</t>
  </si>
  <si>
    <t>Chinchilla, Gopher</t>
  </si>
  <si>
    <t>Common Pile v0.1</t>
  </si>
  <si>
    <t>EleutherAI</t>
  </si>
  <si>
    <t>Comma v0.1-2T</t>
  </si>
  <si>
    <t>https://arxiv.org/abs/2506.05209</t>
  </si>
  <si>
    <t>https://huggingface.co/blog/stellaathena/common-pile</t>
  </si>
  <si>
    <t>Openly licensed data.</t>
  </si>
  <si>
    <t xml:space="preserve">Pleias Common Corpus </t>
  </si>
  <si>
    <t>PleIAS</t>
  </si>
  <si>
    <t>https://huggingface.co/blog/Pclanglais/two-trillion-tokens-open</t>
  </si>
  <si>
    <t>https://huggingface.co/datasets/PleIAs/common_corpus</t>
  </si>
  <si>
    <t>Lame, just CC again but no copyright (apparently). 2T is nowhere near the largest despite the claim of 'Releasing the largest multilingual open pretraining dataset'.</t>
  </si>
  <si>
    <t>InternLM</t>
  </si>
  <si>
    <t>Shanghai AI</t>
  </si>
  <si>
    <t>Chinese/English. My rough estimates only by multiplying tokens (billions) by 3 to get GB</t>
  </si>
  <si>
    <t>Stability New Pile</t>
  </si>
  <si>
    <t>Stability AI</t>
  </si>
  <si>
    <t>StableLM</t>
  </si>
  <si>
    <t>Announced but not detailed</t>
  </si>
  <si>
    <t>FineWeb-Edu 1.3T</t>
  </si>
  <si>
    <t>https://huggingface.co/datasets/HuggingFaceFW/fineweb-edu</t>
  </si>
  <si>
    <t>Zyda</t>
  </si>
  <si>
    <t>Zyphra</t>
  </si>
  <si>
    <t>https://www.zyphra.com/zyda</t>
  </si>
  <si>
    <t>Combination of Dolma, Fineweb, Pile, RefinedWeb, and SlimPajama</t>
  </si>
  <si>
    <t>LLaMA</t>
  </si>
  <si>
    <t>LLaMA, Alpaca</t>
  </si>
  <si>
    <t>RedPajama</t>
  </si>
  <si>
    <t>MPT</t>
  </si>
  <si>
    <t>https://arxiv.org/abs/2411.12372v1</t>
  </si>
  <si>
    <t>The Stack v2</t>
  </si>
  <si>
    <t>BigCode</t>
  </si>
  <si>
    <t>StarCoder 2</t>
  </si>
  <si>
    <t>https://arxiv.org/abs/2402.19173</t>
  </si>
  <si>
    <t>https://huggingface.co/datasets/bigcode/the-stack-v2</t>
  </si>
  <si>
    <t>"The Stack v2 is ten times larger than its predecessor, yielding a raw dataset of 67.5 TB. Through extensive cleaning, filtering, and subsampling of the source code, along with the incorporation of other high-quality code-related datasets, we created a training set of approximately 3TB (900B+ tokens)."</t>
  </si>
  <si>
    <t>SlimPajama</t>
  </si>
  <si>
    <t>Cerebras</t>
  </si>
  <si>
    <t>https://huggingface.co/datasets/cerebras/SlimPajama-627B</t>
  </si>
  <si>
    <t>https://www.cerebras.net/blog/slimpajama-a-627b-token-cleaned-and-deduplicated-version-of-redpajama</t>
  </si>
  <si>
    <t>The dataset consists of 59166 jsonl files and is ~895GB compressed. It is a cleaned and deduplicated version of Together's RedPajama.</t>
  </si>
  <si>
    <t>Common Corpus</t>
  </si>
  <si>
    <t>https://huggingface.co/collections/PleIAs/common-corpus-65d46e3ea3980fdcd66a5613</t>
  </si>
  <si>
    <t>500tok=650w.</t>
  </si>
  <si>
    <t>ROOTS</t>
  </si>
  <si>
    <t>BigScience</t>
  </si>
  <si>
    <t>BLOOM</t>
  </si>
  <si>
    <t>https://arxiv.org/abs/2303.03915</t>
  </si>
  <si>
    <t>The Pile v1</t>
  </si>
  <si>
    <t>GPT-Neo, GPT-J</t>
  </si>
  <si>
    <t>Some dupes in my older calcs. Deliberately excludes US Congressional minutes (slavery) and literotica (sex).</t>
  </si>
  <si>
    <t>Institutional Books 1.0</t>
  </si>
  <si>
    <t xml:space="preserve">Harvard University’s Institutional Data Initiative </t>
  </si>
  <si>
    <t>https://arxiv.org/abs/2506.08300</t>
  </si>
  <si>
    <t>https://huggingface.co/datasets/institutional/institutional-books-1.0</t>
  </si>
  <si>
    <r>
      <t/>
    </r>
    <r>
      <rPr>
        <sz val="14"/>
        <color theme="1"/>
        <rFont val="Calibri"/>
        <family val="2"/>
        <scheme val="minor"/>
      </rPr>
      <t xml:space="preserve">"This analysis covers the entirety of Harvard Library's collection scanned as part of that project, originally spanning 1,075,899 volumes written in over 250 different languages for a total of approximately 250 billion tokens. As part of this initial release, the OCR-extracted text (original and post-processed) as well as the metadata (bibliographic, source, and generated) of the 983,004 volumes, or 242B tokens, identified as being in the public domain have been made available." Ref: </t>
    </r>
    <r>
      <rPr>
        <u/>
        <sz val="14"/>
        <color rgb="FF1155cc"/>
        <rFont val="Calibri"/>
        <family val="2"/>
        <scheme val="minor"/>
      </rPr>
      <t>https://archive.md/xhJvc</t>
    </r>
  </si>
  <si>
    <t>StarCoder dataset (The Stack 1.2 subset)</t>
  </si>
  <si>
    <t>https://huggingface.co/datasets/bigcode/starcoderdata</t>
  </si>
  <si>
    <t>https://arxiv.org/abs/2305.06161</t>
  </si>
  <si>
    <t>It contains 783GB of code in 86 programming languages, and includes 54GB GitHub Issues + 13GB Jupyter notebooks in scripts and text-code pairs, and 32GB of GitHub commits, which is approximately 250 Billion tokens.</t>
  </si>
  <si>
    <t>The Stack v1</t>
  </si>
  <si>
    <t>Megatron-LM fork</t>
  </si>
  <si>
    <t>https://arxiv.org/abs/2211.15533</t>
  </si>
  <si>
    <t>https://huggingface.co/datasets/bigcode/the-stack-dedup</t>
  </si>
  <si>
    <t>Various dedupes down to 2.7TB and 1.5TB.</t>
  </si>
  <si>
    <t>GPT-3 dataset</t>
  </si>
  <si>
    <t>RoBERTa dataset</t>
  </si>
  <si>
    <t>RoBERTa, Megatron-11B</t>
  </si>
  <si>
    <t>YouTube-Commons</t>
  </si>
  <si>
    <t>https://huggingface.co/datasets/HuggingFaceTB/cosmopedia</t>
  </si>
  <si>
    <t>https://huggingface.co/datasets/PleIAs/YouTube-Commons</t>
  </si>
  <si>
    <t>286x parquet files x 385MB each</t>
  </si>
  <si>
    <t xml:space="preserve">Cosmopedia v2 </t>
  </si>
  <si>
    <t>SmolLM</t>
  </si>
  <si>
    <t>https://huggingface.co/blog/smollm</t>
  </si>
  <si>
    <t>"Cosmopedia v2 is an enhanced version of Cosmopedia, the largest synthetic dataset for pre-training, consisting of over 30 million textbooks, blog posts, and stories generated by Mixtral-8x7B-Instruct-v0.1. Most of the samples are generated by prompting the model to generate content on specific topics using a web page referred to as a "seed sample", as shown in Figure 1. We use web samples to increase diversity and expand the range of prompts."</t>
  </si>
  <si>
    <t>Cosmopedia v0.1</t>
  </si>
  <si>
    <t>https://huggingface.co/blog/cosmopedia</t>
  </si>
  <si>
    <t>Replication of phi-1.5, very high quality synthetic data</t>
  </si>
  <si>
    <t>GPT-2 dataset</t>
  </si>
  <si>
    <t>GPT-2</t>
  </si>
  <si>
    <t>Popular web</t>
  </si>
  <si>
    <t>GPT-1 dataset</t>
  </si>
  <si>
    <t>GPT-1</t>
  </si>
  <si>
    <t>Books</t>
  </si>
  <si>
    <t>About this sheet</t>
  </si>
  <si>
    <t xml:space="preserve">About the Models Table and this spreadsheet </t>
  </si>
  <si>
    <t>Column headers</t>
  </si>
  <si>
    <t>Format</t>
  </si>
  <si>
    <t>Description</t>
  </si>
  <si>
    <t>Model count</t>
  </si>
  <si>
    <t>Text</t>
  </si>
  <si>
    <t>Name of the large language model. Sometimes uses filename syntax.</t>
  </si>
  <si>
    <t>Cite</t>
  </si>
  <si>
    <r>
      <t/>
    </r>
    <r>
      <rPr>
        <sz val="14"/>
        <color theme="1"/>
        <rFont val="Calibri"/>
        <family val="2"/>
        <scheme val="minor"/>
      </rPr>
      <t xml:space="preserve">Thompson, A. D. (yyyy). Models Table. </t>
    </r>
    <r>
      <rPr>
        <u/>
        <sz val="14"/>
        <color rgb="FF1155cc"/>
        <rFont val="Calibri"/>
        <family val="2"/>
        <scheme val="minor"/>
      </rPr>
      <t>LifeArchitect.ai</t>
    </r>
    <r>
      <rPr>
        <sz val="14"/>
        <color theme="1"/>
        <rFont val="Calibri"/>
        <family val="2"/>
        <scheme val="minor"/>
      </rPr>
      <t xml:space="preserve">. </t>
    </r>
    <r>
      <rPr>
        <u/>
        <sz val="14"/>
        <color rgb="FF1155cc"/>
        <rFont val="Calibri"/>
        <family val="2"/>
        <scheme val="minor"/>
      </rPr>
      <t>https://lifearchitect.ai/models-table/</t>
    </r>
  </si>
  <si>
    <t>Name of the organization or group responsible for training or publishing the model. Sometimes lists a consortium such as "International". Color highlights popular lab names.</t>
  </si>
  <si>
    <t>Author</t>
  </si>
  <si>
    <t>Dr Alan D. Thompson</t>
  </si>
  <si>
    <t>Playground</t>
  </si>
  <si>
    <t>URI</t>
  </si>
  <si>
    <t>URI pointing to a playground of the model, or HuggingFace repository for hosting weights.</t>
  </si>
  <si>
    <t>Created date</t>
  </si>
  <si>
    <t>2021-present</t>
  </si>
  <si>
    <t>Parameters (B)</t>
  </si>
  <si>
    <t>Float</t>
  </si>
  <si>
    <t>Total number of parameters (weights) in the model. Using total weights for Dense, and total weights (not just active weights) for MoE.</t>
  </si>
  <si>
    <t>Permalink</t>
  </si>
  <si>
    <t>https://lifearchitect.ai/models-table/</t>
  </si>
  <si>
    <t>Tokens trained (B)</t>
  </si>
  <si>
    <t>Integer</t>
  </si>
  <si>
    <t>Total number of tokens (sub-words) used to train the model end-to-end, taking into account reported dataset, epochs, pretraining, and fine-tuning tokens.</t>
  </si>
  <si>
    <t>Homepage</t>
  </si>
  <si>
    <t>https://lifearchitect.ai/</t>
  </si>
  <si>
    <t>Ratio Tokens:Params</t>
  </si>
  <si>
    <t>Ratio</t>
  </si>
  <si>
    <t>Number of tokens trained per parameter. Chinchilla scaling ≥ 20:1. Color highlights RED=0–7, ORANGE=8–16, GREEN=17–499, DARK GREEN=500–9999.</t>
  </si>
  <si>
    <t>Calcs</t>
  </si>
  <si>
    <t>https://lifearchitect.ai/calcs/</t>
  </si>
  <si>
    <t xml:space="preserve">ALScore </t>
  </si>
  <si>
    <t>Quick and dirty rating of the model's power. The formula is: Sqr Root of (Parameters x Tokens) ÷ 300. Any ALScore ≥ 1.0 is a powerful model in mid-2023. Color highlights centerpoint 15.</t>
  </si>
  <si>
    <t>The Memo</t>
  </si>
  <si>
    <t>https://lifearchitect.ai/memo/</t>
  </si>
  <si>
    <t>MMLU</t>
  </si>
  <si>
    <r>
      <t/>
    </r>
    <r>
      <rPr>
        <sz val="14"/>
        <color rgb="FF000000"/>
        <rFont val="Calibri"/>
        <family val="2"/>
        <scheme val="minor"/>
      </rPr>
      <t xml:space="preserve">Benchmark score 0–100 on Massive Multitask Language Understanding, released Sep/2020: </t>
    </r>
    <r>
      <rPr>
        <u/>
        <sz val="14"/>
        <color rgb="FF1155cc"/>
        <rFont val="Calibri"/>
        <family val="2"/>
        <scheme val="minor"/>
      </rPr>
      <t>https://arxiv.org/abs/2009.03300</t>
    </r>
    <r>
      <rPr>
        <sz val="14"/>
        <color rgb="FF000000"/>
        <rFont val="Calibri"/>
        <family val="2"/>
        <scheme val="minor"/>
      </rPr>
      <t xml:space="preserve"> </t>
    </r>
  </si>
  <si>
    <t>Timeline view</t>
  </si>
  <si>
    <t>https://lifearchitect.ai/timeline/</t>
  </si>
  <si>
    <t>MMLU-Pro</t>
  </si>
  <si>
    <r>
      <t/>
    </r>
    <r>
      <rPr>
        <sz val="14"/>
        <color rgb="FF000000"/>
        <rFont val="Calibri"/>
        <family val="2"/>
        <scheme val="minor"/>
      </rPr>
      <t xml:space="preserve">Benchmark score 0–100 on Massive Multitask Language Understanding Pro, released Jun/2024: </t>
    </r>
    <r>
      <rPr>
        <u/>
        <sz val="14"/>
        <color rgb="FF1155cc"/>
        <rFont val="Calibri"/>
        <family val="2"/>
        <scheme val="minor"/>
      </rPr>
      <t>https://arxiv.org/abs/2406.01574</t>
    </r>
  </si>
  <si>
    <t>Script join A</t>
  </si>
  <si>
    <t>https://onlinetexttools.com/join-text</t>
  </si>
  <si>
    <t>GPQA</t>
  </si>
  <si>
    <r>
      <t/>
    </r>
    <r>
      <rPr>
        <sz val="14"/>
        <color rgb="FF000000"/>
        <rFont val="Calibri"/>
        <family val="2"/>
        <scheme val="minor"/>
      </rPr>
      <t xml:space="preserve">Benchmark score 0–100 on Google-Proof Q&amp;A, released Nov/2023: </t>
    </r>
    <r>
      <rPr>
        <u/>
        <sz val="14"/>
        <color rgb="FF1155cc"/>
        <rFont val="Calibri"/>
        <family val="2"/>
        <scheme val="minor"/>
      </rPr>
      <t>https://arxiv.org/abs/2311.12022</t>
    </r>
  </si>
  <si>
    <t>Script join A-D</t>
  </si>
  <si>
    <t>https://poe.com/TheMemoModelsBot</t>
  </si>
  <si>
    <t>HLE</t>
  </si>
  <si>
    <r>
      <t/>
    </r>
    <r>
      <rPr>
        <sz val="14"/>
        <color rgb="FF000000"/>
        <rFont val="Calibri"/>
        <family val="2"/>
        <scheme val="minor"/>
      </rPr>
      <t xml:space="preserve">Benchmark score 0–100 on Humanity's Last Exam, released Jan/2025: </t>
    </r>
    <r>
      <rPr>
        <u/>
        <sz val="14"/>
        <color rgb="FF1155cc"/>
        <rFont val="Calibri"/>
        <family val="2"/>
        <scheme val="minor"/>
      </rPr>
      <t>https://arxiv.org/abs/2501.14249</t>
    </r>
    <r>
      <rPr>
        <sz val="14"/>
        <color rgb="FF000000"/>
        <rFont val="Calibri"/>
        <family val="2"/>
        <scheme val="minor"/>
      </rPr>
      <t xml:space="preserve"> </t>
    </r>
  </si>
  <si>
    <t>Model summary</t>
  </si>
  <si>
    <t>https://poe.com/TheMemoNewModelsSum</t>
  </si>
  <si>
    <t>Training dataset</t>
  </si>
  <si>
    <t>Rough guide of major datasets used to train the model. Note increasing use of synthetic data from 2023.</t>
  </si>
  <si>
    <t>Corrections</t>
  </si>
  <si>
    <t xml:space="preserve">Corrections are welcomed (with citations). </t>
  </si>
  <si>
    <t>Date</t>
  </si>
  <si>
    <t>Date as month/year. All data sorted by this column descending.</t>
  </si>
  <si>
    <t>When logged in via Google, select cell, click Insert &gt; Comment</t>
  </si>
  <si>
    <t>Symbol</t>
  </si>
  <si>
    <t>Ternary: GREEN=publicly accessible (weights, API, playground...), YELLOW=video or scripted demo only, RED=held in lab and never released.</t>
  </si>
  <si>
    <t>Comments closed to to spam Dec/2025. Copy sheet and email changes to:</t>
  </si>
  <si>
    <t>Paper / Repo</t>
  </si>
  <si>
    <t>URI pointing to official paper, technical note, or model card. Sometimes shows link to GitHub repository.</t>
  </si>
  <si>
    <t>https://lifearchitect.ai/contact/</t>
  </si>
  <si>
    <t>Arch</t>
  </si>
  <si>
    <t>Architecture: Dense versus Mixture of Experts (MoE).</t>
  </si>
  <si>
    <t>Tags</t>
  </si>
  <si>
    <t>Dropdown</t>
  </si>
  <si>
    <t>Reasoning=Reasoning model (binary). SOTA=State-of-the-Art model at launch (binary).</t>
  </si>
  <si>
    <t>Any further comments or useful highlights.</t>
  </si>
  <si>
    <t>Alternative sheets showing large language models</t>
  </si>
  <si>
    <t>Alternative viz of some frontier models in this sheet (Apr/2024)</t>
  </si>
  <si>
    <t>https://posts.voronoiapp.com/Technology/The-size-of-LLMs-1020</t>
  </si>
  <si>
    <t>AI Tracker (up to 2024, limited)</t>
  </si>
  <si>
    <t>https://www.aitracker.org/</t>
  </si>
  <si>
    <t>Alternative viz using some of this sheet data (Jul/2023)</t>
  </si>
  <si>
    <t>https://informationisbeautiful.net/visualizations/the-rise-of-generative-ai-large-language-models-llms-like-chatgpt/</t>
  </si>
  <si>
    <t>Data for training cost trends in machine learning (Jul/2022)</t>
  </si>
  <si>
    <t>https://docs.google.com/spreadsheets/d/1beiholXkLpiYoeyDL64bOHLI-mXZ-_8ZnY1Ed6Sfjh0/edit#gid=0</t>
  </si>
  <si>
    <t>100+ imitation models with eval/rankings (Jun/2023)</t>
  </si>
  <si>
    <t>https://docs.google.com/spreadsheets/d/1ikqqIaptv2P4_15Ytzro46YysCldKY7Ub2wcX5H1jCQ/edit#gid=0</t>
  </si>
  <si>
    <t>LLM chat leaderboard, only ~12 imitation models (May/2023)</t>
  </si>
  <si>
    <t>https://chat.lmsys.org/?leaderboard</t>
  </si>
  <si>
    <t>Limited paper; some inaccuracies (Jun/2023)</t>
  </si>
  <si>
    <t>https://arxiv.org/abs/2303.18223</t>
  </si>
  <si>
    <t>Anonymous (ends around Mar/2023)</t>
  </si>
  <si>
    <t>https://docs.google.com/spreadsheets/d/1kT4or6b0Fedd-W_jMwYpb63e1ZR3aePczz3zlbJW-Y4/edit#gid=0</t>
  </si>
  <si>
    <t>100+ Chinese LLMs (Jul/2023)</t>
  </si>
  <si>
    <t>https://twitter.com/AdeenaY8/status/1679435164747960320</t>
  </si>
  <si>
    <t>Stella @ EleutherAI (seems to end Dec/2021)</t>
  </si>
  <si>
    <t>https://docs.google.com/spreadsheets/d/1gc6yse74XCwBx028HV_cvdxwXkmXejVjkO-Mz2uwE0k/edit#gid=0</t>
  </si>
  <si>
    <t>Jaime @ Epoch AI (seems to end Jun/2021)</t>
  </si>
  <si>
    <t>https://docs.google.com/spreadsheets/d/1AAIebjNsnJj_uKALHbXNfn3_YsT6sHXtCU0q7OIPuc4/edit#gid=0</t>
  </si>
  <si>
    <t>Formula copy</t>
  </si>
  <si>
    <t>#</t>
  </si>
  <si>
    <t>🇺🇸</t>
  </si>
  <si>
    <t>Human with PhD avg</t>
  </si>
  <si>
    <t>Human average</t>
  </si>
  <si>
    <t>LifeArchitect.ai/models-table</t>
  </si>
  <si>
    <t>(MMLU is deprecated, saturated circa 2024)</t>
  </si>
  <si>
    <t>🇨🇳</t>
  </si>
  <si>
    <t>Snapshot of models up to:</t>
  </si>
  <si>
    <t>https://lifearchitect.ai/models-table</t>
  </si>
  <si>
    <t>Timeline view:</t>
  </si>
  <si>
    <t>https://lifearchitect.ai/timeline</t>
  </si>
  <si>
    <t>Parameters 
(B)</t>
  </si>
  <si>
    <t>Tokens 
trained (B)</t>
  </si>
  <si>
    <t>Ratio Tokens:Params
(Chinchilla scaling≥20:1)</t>
  </si>
  <si>
    <t>ALScore 
"ALScore" is a quick and dirty rating of the model's power. The formula is:
Sqr Root of (Parameters x Tokens) ÷ 300.
Any ALScore ≥ 1.0 is a powerful model in mid-2023.</t>
  </si>
  <si>
    <t>MMLU
-Pro</t>
  </si>
  <si>
    <t>Announced
▼</t>
  </si>
  <si>
    <t>Count (rough)</t>
  </si>
  <si>
    <t>AuroraGPT (ScienceGPT)</t>
  </si>
  <si>
    <t>TBA</t>
  </si>
  <si>
    <r>
      <t/>
    </r>
    <r>
      <rPr>
        <u/>
        <sz val="14"/>
        <color rgb="FF000000"/>
        <rFont val="Calibri"/>
        <family val="2"/>
        <scheme val="minor"/>
      </rPr>
      <t xml:space="preserve">Three models targeted in Jul/2024: </t>
    </r>
    <r>
      <rPr>
        <u/>
        <sz val="14"/>
        <color rgb="FF073763"/>
        <rFont val="Calibri"/>
        <family val="2"/>
        <scheme val="minor"/>
      </rPr>
      <t>AuroraGPT-7B-P (Ponte Vecchio GPU testing) AuroraGPT-7B-A (Aurora) AuroraGPT-7B-A-S (Aurora + Science).</t>
    </r>
  </si>
  <si>
    <t>l</t>
  </si>
  <si>
    <t>Avocado</t>
  </si>
  <si>
    <t>https://www.cnbc.com/2025/12/09/meta-avocado-ai-strategy-issues.html</t>
  </si>
  <si>
    <t>Due 2026.</t>
  </si>
  <si>
    <t>q</t>
  </si>
  <si>
    <t>https://www.reuters.com/technology/artificial-intelligence/deepseek-rushes-launch-new-ai-model-china-goes-all-2025-02-25/</t>
  </si>
  <si>
    <t>https://docs.google.com/document/d/e/2PACX-1vTmx-A5sBe_3RsURGM7VvLWsAgUXbcIb2pFaW7f1FTPgK7mGvYENXGQPoF2u4onFndJ_5tzZ02su-vg/pub</t>
  </si>
  <si>
    <t>MoE</t>
  </si>
  <si>
    <t>Reasoning, SOTA</t>
  </si>
  <si>
    <r>
      <t/>
    </r>
    <r>
      <rPr>
        <i/>
        <sz val="14"/>
        <color theme="1"/>
        <rFont val="Calibri"/>
        <family val="2"/>
        <scheme val="minor"/>
      </rPr>
      <t xml:space="preserve">Hybrid MoE, 1.2TA78B. 5.2PB corpus=1.3Qa tokens. 1.3 quadrillion tokens = 1,300T tokens = 1,300,000B tokens "Constructed a 5.2 PB high-quality corpus covering vertical domains such as finance, law, and patents." </t>
    </r>
    <r>
      <rPr>
        <i/>
        <u/>
        <sz val="14"/>
        <color rgb="FF1155cc"/>
        <rFont val="Calibri"/>
        <family val="2"/>
        <scheme val="minor"/>
      </rPr>
      <t>http://jiuyangongshe.com/a/1h4gq724su0</t>
    </r>
    <r>
      <rPr>
        <i/>
        <sz val="14"/>
        <color theme="1"/>
        <rFont val="Calibri"/>
        <family val="2"/>
        <scheme val="minor"/>
      </rPr>
      <t xml:space="preserve"> and translated at: </t>
    </r>
    <r>
      <rPr>
        <i/>
        <u/>
        <sz val="14"/>
        <color rgb="FF1155cc"/>
        <rFont val="Calibri"/>
        <family val="2"/>
        <scheme val="minor"/>
      </rPr>
      <t>https://docs.google.com/document/d/e/2PACX-1vTmx-A5sBe_3RsURGM7VvLWsAgUXbcIb2pFaW7f1FTPgK7mGvYENXGQPoF2u4onFndJ_5tzZ02su-vg/pub</t>
    </r>
    <r>
      <rPr>
        <i/>
        <sz val="14"/>
        <color theme="1"/>
        <rFont val="Calibri"/>
        <family val="2"/>
        <scheme val="minor"/>
      </rPr>
      <t xml:space="preserve"> </t>
    </r>
  </si>
  <si>
    <t>k</t>
  </si>
  <si>
    <t>GPT-6</t>
  </si>
  <si>
    <t>https://lifearchitect.ai/gpt-6/</t>
  </si>
  <si>
    <t>SOTA</t>
  </si>
  <si>
    <t>f</t>
  </si>
  <si>
    <t>Grok-5</t>
  </si>
  <si>
    <t>xAI</t>
  </si>
  <si>
    <t>https://lifearchitect.ai/whats-in-grok/</t>
  </si>
  <si>
    <r>
      <t/>
    </r>
    <r>
      <rPr>
        <sz val="14"/>
        <color theme="1"/>
        <rFont val="Calibri"/>
        <family val="2"/>
        <scheme val="minor"/>
      </rPr>
      <t xml:space="preserve">Due 2026. Quote 3T/6T: </t>
    </r>
    <r>
      <rPr>
        <u/>
        <sz val="14"/>
        <color rgb="FF1155cc"/>
        <rFont val="Calibri"/>
        <family val="2"/>
        <scheme val="minor"/>
      </rPr>
      <t>https://youtu.be/q_mMV5OpRd4?t=1387</t>
    </r>
    <r>
      <rPr>
        <sz val="14"/>
        <color theme="1"/>
        <rFont val="Calibri"/>
        <family val="2"/>
        <scheme val="minor"/>
      </rPr>
      <t xml:space="preserve"> </t>
    </r>
  </si>
  <si>
    <t>n</t>
  </si>
  <si>
    <t>Ranke-4B</t>
  </si>
  <si>
    <t>UZH</t>
  </si>
  <si>
    <t>https://github.com/DGoettlich/history-llms?tab=readme-ov-file</t>
  </si>
  <si>
    <t>history only</t>
  </si>
  <si>
    <t>Dense</t>
  </si>
  <si>
    <t>Base Model: Qwen 3. 600B tokens of pre-(1913, 1929, 1933, 1939, 1946) data only.</t>
  </si>
  <si>
    <t>r</t>
  </si>
  <si>
    <t>Trinity-Large</t>
  </si>
  <si>
    <t>Arcee AI</t>
  </si>
  <si>
    <t>https://www.arcee.ai/trinity</t>
  </si>
  <si>
    <t>420BA13B.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</si>
  <si>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p</t>
  </si>
  <si>
    <t>MedGemma 1.5 4B</t>
  </si>
  <si>
    <t>Google DeepMind</t>
  </si>
  <si>
    <t>https://huggingface.co/google/medgemma-1.5-4b-it</t>
  </si>
  <si>
    <t>web-scale</t>
  </si>
  <si>
    <t>https://developers.google.com/health-ai-developer-foundations/medgemma/model-card</t>
  </si>
  <si>
    <r>
      <t/>
    </r>
    <r>
      <rPr>
        <sz val="14"/>
        <color theme="1"/>
        <rFont val="Calibri"/>
        <family val="2"/>
        <scheme val="minor"/>
      </rPr>
      <t xml:space="preserve">Lower MMLU score compared to previous MedGemma 1 27B (67.2 v 87). Announce: </t>
    </r>
    <r>
      <rPr>
        <u/>
        <sz val="14"/>
        <color rgb="FF1155cc"/>
        <rFont val="Calibri"/>
        <family val="2"/>
        <scheme val="minor"/>
      </rPr>
      <t>https://research.google/blog/next-generation-medical-image-interpretation-with-medgemma-15-and-medical-speech-to-text-with-medasr/</t>
    </r>
  </si>
  <si>
    <t>FrogBoss</t>
  </si>
  <si>
    <t>Microsoft</t>
  </si>
  <si>
    <t>https://huggingface.co/microsoft/FrogBoss-32B-2510</t>
  </si>
  <si>
    <t>synthetic, web-scale</t>
  </si>
  <si>
    <t>https://arxiv.org/abs/2510.19898</t>
  </si>
  <si>
    <t>Base: Qwen3-32B.</t>
  </si>
  <si>
    <t>EDEN</t>
  </si>
  <si>
    <t>nucleotide tokens</t>
  </si>
  <si>
    <t>https://basecamp-research.com/wp-content/uploads/2026/01/BCR_Designing-programmable-therapeutics-with-the-EDEN-family-of-foundation-models.pdf</t>
  </si>
  <si>
    <t>"EDEN (environmentally-derived evolutionary network) family of metagenomic foundation models, including a 28 billion parameter model trained on 9.7 trillion nucleotide tokens from BaseData1 . This dataset, at the time of training, contained more than 10 billion novel genes from over 1 million new species, and is intentionally enriched for environmental and host-associated metagenomes, phage sequences, and mobile genetic elements, enabling the model to learn from diverse and novel cross-species evolutionary mechanisms and apply them to key challenges in human health."</t>
  </si>
  <si>
    <t>Baichuan-M3</t>
  </si>
  <si>
    <t>Baichuan</t>
  </si>
  <si>
    <t>https://huggingface.co/baichuan-inc/Baichuan-M3-235B</t>
  </si>
  <si>
    <t>https://www.baichuan-ai.com/blog/baichuan-M3</t>
  </si>
  <si>
    <t>"new-generation medical-enhanced large language model"</t>
  </si>
  <si>
    <t>Engram</t>
  </si>
  <si>
    <t>https://github.com/deepseek-ai/Engram</t>
  </si>
  <si>
    <t>https://github.com/deepseek-ai/Engram/blob/main/Engram_paper.pdf</t>
  </si>
  <si>
    <t>39.5BA3.8B. "we explore conditional memory as a complementary sparsity axis, instantiated via Engram, a module that modernizes classic N -gram embeddings for O ( 1 ) lookup."</t>
  </si>
  <si>
    <t>SleepFM</t>
  </si>
  <si>
    <t>Stanford</t>
  </si>
  <si>
    <t>https://github.com/zou-group/sleepfm-clinical/tree/sleepfm_release?tab=readme-ov-file</t>
  </si>
  <si>
    <t>PSG recordings</t>
  </si>
  <si>
    <t>https://www.nature.com/articles/s41591-025-04133-4</t>
  </si>
  <si>
    <t>Uses a leave-one-out contrastive learning approach to align brain activity (EEG), heart activity (ECG), and respiratory signals. 130+ disease categories and 19–20+ clinical PSG channels. Dataset ~12.63B (Calculated based on 585,000 hours of data across 3 modality groups using 5-second window tokens) x 10 epochs.</t>
  </si>
  <si>
    <t>TimeCapsuleLLM-v2-1800-1875</t>
  </si>
  <si>
    <t>Independent</t>
  </si>
  <si>
    <t>https://huggingface.co/haykgrigorian/TimeCapsuleLLM-v2-1800-1875</t>
  </si>
  <si>
    <t>https://github.com/haykgrigo3/TimeCapsuleLLM</t>
  </si>
  <si>
    <t>112GB dataset=30B tokens x 0.5 epochs = 15B tokens.</t>
  </si>
  <si>
    <t>Jamba2</t>
  </si>
  <si>
    <t>AI21</t>
  </si>
  <si>
    <t>https://huggingface.co/collections/ai21labs/jamba2</t>
  </si>
  <si>
    <t>https://www.ai21.com/blog/introducing-jamba2/</t>
  </si>
  <si>
    <t>52B-A12B. Pre-training tokens from Jamba=1.2T + 500B mid.</t>
  </si>
  <si>
    <t>LFM2.5</t>
  </si>
  <si>
    <t>Liquid AI</t>
  </si>
  <si>
    <t>https://huggingface.co/LiquidAI/LFM2.5-1.2B-Instruct</t>
  </si>
  <si>
    <t>For on-device agentic applications. "Extended pre-training from 10T to 28T tokens and large-scale multi-stage reinforcement learning."</t>
  </si>
  <si>
    <t>MiroThinker v1.5</t>
  </si>
  <si>
    <t>MiroMindAI</t>
  </si>
  <si>
    <t>https://huggingface.co/miromind-ai/MiroThinker-v1.5-235B</t>
  </si>
  <si>
    <t>https://github.com/MiroMindAI/MiroThinker</t>
  </si>
  <si>
    <r>
      <t/>
    </r>
    <r>
      <rPr>
        <sz val="14"/>
        <color rgb="FF073763"/>
        <rFont val="Calibri"/>
        <family val="2"/>
        <scheme val="minor"/>
      </rPr>
      <t xml:space="preserve">Base: Qwen3 235B-A22B. Official demo: </t>
    </r>
    <r>
      <rPr>
        <u/>
        <sz val="14"/>
        <color rgb="FF1155cc"/>
        <rFont val="Calibri"/>
        <family val="2"/>
        <scheme val="minor"/>
      </rPr>
      <t>https://dr.miromind.ai</t>
    </r>
  </si>
  <si>
    <t>Falcon-H1R</t>
  </si>
  <si>
    <t>https://huggingface.co/tiiuae/Falcon-H1-34B-Instruct-GGUF</t>
  </si>
  <si>
    <t>https://github.com/tiiuae/falcon-h1r/blob/main/tech_report.pdf</t>
  </si>
  <si>
    <r>
      <t/>
    </r>
    <r>
      <rPr>
        <sz val="14"/>
        <color rgb="FF073763"/>
        <rFont val="Calibri"/>
        <family val="2"/>
        <scheme val="minor"/>
      </rPr>
      <t xml:space="preserve">Base model: Falcon-H1 (May/2025). Announce: </t>
    </r>
    <r>
      <rPr>
        <u/>
        <sz val="14"/>
        <color rgb="FF1155cc"/>
        <rFont val="Calibri"/>
        <family val="2"/>
        <scheme val="minor"/>
      </rPr>
      <t>https://huggingface.co/blog/tiiuae/falcon-h1r-7b</t>
    </r>
  </si>
  <si>
    <t>mHC 27B</t>
  </si>
  <si>
    <t>https://arxiv.org/abs/2512.24880</t>
  </si>
  <si>
    <t>27BA4.14B. Scaling tested with 3B MoE on 1T tokens=334:1. "Manifold-Constrained Hyper-Connections (mHC), a general framework that projects the residual connection space of HC onto a specific manifold to restore the identity mapping property, while incorporating rigorous infrastructure optimization to ensure efficiency. Empirical experiments demonstrate that mHC is effective for training at scale, offering tangible performance improvements and superior scalability."</t>
  </si>
  <si>
    <t>IQuest-Coder-V1</t>
  </si>
  <si>
    <t>IQuestLab</t>
  </si>
  <si>
    <t>https://huggingface.co/IQuestLab/IQuest-Coder-V1-40B-Instruct</t>
  </si>
  <si>
    <t>https://github.com/IQuestLab/IQuest-Coder-V1/blob/main/papers/IQuest_Coder_Technical_Report.pdf</t>
  </si>
  <si>
    <r>
      <t/>
    </r>
    <r>
      <rPr>
        <sz val="14"/>
        <color rgb="FF073763"/>
        <rFont val="Calibri"/>
        <family val="2"/>
        <scheme val="minor"/>
      </rPr>
      <t xml:space="preserve">"IQuest-Coder-V1 captures the dynamic evolution of software logic, delivering state-of-the-art performance across critical dimensions" </t>
    </r>
    <r>
      <rPr>
        <u/>
        <sz val="14"/>
        <color rgb="FF1155cc"/>
        <rFont val="Calibri"/>
        <family val="2"/>
        <scheme val="minor"/>
      </rPr>
      <t>https://github.com/IQuestLab/IQuest-Coder-V1</t>
    </r>
  </si>
  <si>
    <t>A.X K1</t>
  </si>
  <si>
    <t>SK Hynix</t>
  </si>
  <si>
    <t>https://huggingface.co/skt/A.X-K1</t>
  </si>
  <si>
    <t>519BA33B.</t>
  </si>
  <si>
    <t>K-EXAONE</t>
  </si>
  <si>
    <t>LG</t>
  </si>
  <si>
    <t>https://huggingface.co/LGAI-EXAONE/K-EXAONE-236B-A23B</t>
  </si>
  <si>
    <t>236BA23B. “EXAONE”=“EXpert AI for EveryONE”.</t>
  </si>
  <si>
    <t>WeDLM</t>
  </si>
  <si>
    <t>Tencent</t>
  </si>
  <si>
    <t>https://huggingface.co/tencent/WeDLM-8B-Instruct</t>
  </si>
  <si>
    <t>https://github.com/Tencent/WeDLM/blob/main/paper/wedlm.pdf</t>
  </si>
  <si>
    <t>Diffusion</t>
  </si>
  <si>
    <r>
      <t/>
    </r>
    <r>
      <rPr>
        <sz val="14"/>
        <color rgb="FF073763"/>
        <rFont val="Calibri"/>
        <family val="2"/>
        <scheme val="minor"/>
      </rPr>
      <t xml:space="preserve">Project page: </t>
    </r>
    <r>
      <rPr>
        <u/>
        <sz val="14"/>
        <color rgb="FF1155cc"/>
        <rFont val="Calibri"/>
        <family val="2"/>
        <scheme val="minor"/>
      </rPr>
      <t>https://wedlm.github.io/</t>
    </r>
    <r>
      <rPr>
        <sz val="14"/>
        <color rgb="FF073763"/>
        <rFont val="Calibri"/>
        <family val="2"/>
        <scheme val="minor"/>
      </rPr>
      <t xml:space="preserve"> "WeDLM, a diffusion decoding framework built entirely on standard causal attention to make parallel generation prefix-cache friendly. The core idea is to let each masked position condition on all currently observed tokens while keeping a strict causal mask, achieved by Topological Reordering that moves observed tokens to the physical prefix while preserving their logical positions.. We instantiate WeDLM on both Qwen2.5-7B and Qwen3-8B, utilizing 100B tokens for continued training and 10B tokens for SFT."</t>
    </r>
  </si>
  <si>
    <t>SOLAR Open</t>
  </si>
  <si>
    <t>Upstage AI</t>
  </si>
  <si>
    <t>https://huggingface.co/upstage/Solar-Open-100B</t>
  </si>
  <si>
    <t>South Korean. 102BA12B. Releasing 31/Dec.</t>
  </si>
  <si>
    <t>GLM-4.7</t>
  </si>
  <si>
    <t>Z.AI</t>
  </si>
  <si>
    <t>https://huggingface.co/zai-org/GLM-4.7</t>
  </si>
  <si>
    <t>https://z.ai/blog/glm-4.7</t>
  </si>
  <si>
    <t>355B-A32B. "context window has been expanded from 128K to 200K tokens"</t>
  </si>
  <si>
    <t>NitroGen</t>
  </si>
  <si>
    <t>https://huggingface.co/nvidia/NitroGen</t>
  </si>
  <si>
    <t>video</t>
  </si>
  <si>
    <t>https://nitrogen.minedojo.org/assets/documents/nitrogen.pdf</t>
  </si>
  <si>
    <t>"NitroGen is a unified vision-to-action model designed to play video games directly from raw frames. It takes video game footage as input and outputs gamepad actions...  trained on 40,000 hours of gameplay videos across more than 1,000 games."</t>
  </si>
  <si>
    <t>MiMo-V2-Flash</t>
  </si>
  <si>
    <t>Xiaomi</t>
  </si>
  <si>
    <t>https://github.com/XiaomiMiMo/MiMo-V2-Flash/tree/main</t>
  </si>
  <si>
    <t>https://github.com/XiaomiMiMo/MiMo-V2-Flash/blob/main/paper.pdf</t>
  </si>
  <si>
    <t>309BA15B.</t>
  </si>
  <si>
    <t>FunctionGemma</t>
  </si>
  <si>
    <t>https://huggingface.co/google/functiongemma-270m-it</t>
  </si>
  <si>
    <t>https://blog.google/technology/developers/functiongemma/</t>
  </si>
  <si>
    <t>"FunctionGemma, a specialized version of our Gemma 3 270M model tuned for function calling. It is designed as a strong base for further training into custom, fast, private, local agents that translate natural language into executable API actions."</t>
  </si>
  <si>
    <t>T5Gemma 2</t>
  </si>
  <si>
    <t>https://huggingface.co/collections/google/t5gemma-2</t>
  </si>
  <si>
    <t>https://arxiv.org/abs/2512.14856</t>
  </si>
  <si>
    <t>Base model: Gemma 3. Dataset: Gemma 3 4B checkpoint (4T) + pretraining (2T)=6T.</t>
  </si>
  <si>
    <t>Gemini 3 Flash</t>
  </si>
  <si>
    <t>https://gemini.google.com/</t>
  </si>
  <si>
    <t>https://storage.googleapis.com/deepmind-media/Model-Cards/Gemini-3-Flash-Model-Card.pdf</t>
  </si>
  <si>
    <r>
      <t/>
    </r>
    <r>
      <rPr>
        <sz val="14"/>
        <color theme="1"/>
        <rFont val="Calibri"/>
        <family val="2"/>
        <scheme val="minor"/>
      </rPr>
      <t xml:space="preserve">Announce: </t>
    </r>
    <r>
      <rPr>
        <u/>
        <sz val="14"/>
        <color rgb="FF1155cc"/>
        <rFont val="Calibri"/>
        <family val="2"/>
        <scheme val="minor"/>
      </rPr>
      <t>https://deepmind.google/models/gemini/flash/</t>
    </r>
  </si>
  <si>
    <t>NVIDIA-Nemotron-3-Nano-30B-A3B</t>
  </si>
  <si>
    <t>https://huggingface.co/nvidia/NVIDIA-Nemotron-3-Nano-30B-A3B-BF16</t>
  </si>
  <si>
    <t>https://research.nvidia.com/labs/nemotron/files/NVIDIA-Nemotron-3-Nano-Technical-Report.pdf</t>
  </si>
  <si>
    <t>Knowledge cutoff November 28, 2025 (post).</t>
  </si>
  <si>
    <t>Bolmo</t>
  </si>
  <si>
    <t>Allen AI</t>
  </si>
  <si>
    <t>https://huggingface.co/allenai/Bolmo-7B</t>
  </si>
  <si>
    <t>https://www.datocms-assets.com/64837/1765814974-bolmo.pdf</t>
  </si>
  <si>
    <r>
      <t/>
    </r>
    <r>
      <rPr>
        <sz val="14"/>
        <color theme="1"/>
        <rFont val="Calibri"/>
        <family val="2"/>
        <scheme val="minor"/>
      </rPr>
      <t xml:space="preserve">Base Model: Olmo 3 7B. Announce: </t>
    </r>
    <r>
      <rPr>
        <u/>
        <sz val="14"/>
        <color rgb="FF1155cc"/>
        <rFont val="Calibri"/>
        <family val="2"/>
        <scheme val="minor"/>
      </rPr>
      <t>https://allenai.org/blog/bolmo</t>
    </r>
  </si>
  <si>
    <t>EuroLLM-22B</t>
  </si>
  <si>
    <t>Consortium</t>
  </si>
  <si>
    <t>https://huggingface.co/utter-project/EuroLLM-22B-Instruct-2512</t>
  </si>
  <si>
    <t>https://huggingface.co/blog/eurollm-team/eurollm-22b</t>
  </si>
  <si>
    <t>A fully open language model developed in Europe.</t>
  </si>
  <si>
    <t>LLaDA2.0 Flash</t>
  </si>
  <si>
    <t>Inclusion AI</t>
  </si>
  <si>
    <t>https://github.com/inclusionAI/LLaDA2.0</t>
  </si>
  <si>
    <t>https://github.com/inclusionAI/LLaDA2.0/blob/main/tech_report.pdf</t>
  </si>
  <si>
    <t>Base Model: Ling-flash-2.0: 103B total parameters with 6.1B activated. "largest diffusion language model to date"</t>
  </si>
  <si>
    <t>GPT-5.2</t>
  </si>
  <si>
    <t>https://chatgpt.com/</t>
  </si>
  <si>
    <t>https://cdn.openai.com/pdf/3a4153c8-c748-4b71-8e31-aecbde944f8d/oai_5_2_system-card.pdf</t>
  </si>
  <si>
    <r>
      <t/>
    </r>
    <r>
      <rPr>
        <sz val="14"/>
        <color theme="1"/>
        <rFont val="Calibri"/>
        <family val="2"/>
        <scheme val="minor"/>
      </rPr>
      <t xml:space="preserve">"GPT‑5.2 sets a new state of the art across many benchmarks, including GDPval, where it outperforms industry professionals at well-specified knowledge work tasks spanning 44 occupations." Announce: </t>
    </r>
    <r>
      <rPr>
        <u/>
        <sz val="14"/>
        <color rgb="FF1155cc"/>
        <rFont val="Calibri"/>
        <family val="2"/>
        <scheme val="minor"/>
      </rPr>
      <t>https://openai.com/index/introducing-gpt-5-2/</t>
    </r>
    <r>
      <rPr>
        <sz val="14"/>
        <color theme="1"/>
        <rFont val="Calibri"/>
        <family val="2"/>
        <scheme val="minor"/>
      </rPr>
      <t xml:space="preserve"> MMLU is for Spanish.</t>
    </r>
  </si>
  <si>
    <t>Apriel-1.6-15B-Thinker</t>
  </si>
  <si>
    <t>ServiceNow</t>
  </si>
  <si>
    <t>https://huggingface.co/blog/ServiceNow-AI/apriel-1p6-15b-thinker</t>
  </si>
  <si>
    <t>Motif 2 12.7B</t>
  </si>
  <si>
    <t>Motif-Technologies</t>
  </si>
  <si>
    <t>https://huggingface.co/Motif-Technologies/Motif-2-12.7B-Reasoning</t>
  </si>
  <si>
    <t>https://arxiv.org/abs/2511.07464</t>
  </si>
  <si>
    <t>Devstral 2</t>
  </si>
  <si>
    <t>Mistral</t>
  </si>
  <si>
    <t>https://console.mistral.ai/</t>
  </si>
  <si>
    <t>https://mistral.ai/news/devstral-2-vibe-cli</t>
  </si>
  <si>
    <t>SWE-bench Verified=72.2%.</t>
  </si>
  <si>
    <t>HY 2.0</t>
  </si>
  <si>
    <t>https://hunyuan.tencent.com/</t>
  </si>
  <si>
    <t>https://x.com/TencentHunyuan/status/1996948083377332614</t>
  </si>
  <si>
    <t>406BA32B.</t>
  </si>
  <si>
    <t>K2-V2</t>
  </si>
  <si>
    <t>MBZUAI</t>
  </si>
  <si>
    <t>https://huggingface.co/LLM360/K2-V2</t>
  </si>
  <si>
    <t>https://www.llm360.ai/reports/K2_V2_report.pdf</t>
  </si>
  <si>
    <r>
      <t/>
    </r>
    <r>
      <rPr>
        <sz val="14"/>
        <color rgb="FF073763"/>
        <rFont val="Calibri"/>
        <family val="2"/>
        <scheme val="minor"/>
      </rPr>
      <t xml:space="preserve">8.5x more tokens trained than K2 (1.4T v 12T). Project page: </t>
    </r>
    <r>
      <rPr>
        <u/>
        <sz val="14"/>
        <color rgb="FF1155cc"/>
        <rFont val="Calibri"/>
        <family val="2"/>
        <scheme val="minor"/>
      </rPr>
      <t>https://ifm.ai/k2/</t>
    </r>
  </si>
  <si>
    <t>Trinity-Mini</t>
  </si>
  <si>
    <t>https://huggingface.co/arcee-ai/Trinity-Mini</t>
  </si>
  <si>
    <t>https://www.arcee.ai/blog/the-trinity-manifesto</t>
  </si>
  <si>
    <t>26BA3B.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</si>
  <si>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Nova 2 Pro</t>
  </si>
  <si>
    <t>Amazon</t>
  </si>
  <si>
    <t>https://nova.amazon.com/chat</t>
  </si>
  <si>
    <t>https://www.aboutamazon.com/news/aws/aws-agentic-ai-amazon-bedrock-nova-models</t>
  </si>
  <si>
    <t>"Nova 2 Pro is Amazon's most intelligent reasoning model that can process text, images, video, and speech to generate text."</t>
  </si>
  <si>
    <t>Mistral Large 3</t>
  </si>
  <si>
    <t>https://huggingface.co/collections/mistralai/mistral-large-3</t>
  </si>
  <si>
    <t>https://mistral.ai/news/mistral-3</t>
  </si>
  <si>
    <r>
      <t/>
    </r>
    <r>
      <rPr>
        <sz val="14"/>
        <color rgb="FF073763"/>
        <rFont val="Calibri"/>
        <family val="2"/>
        <scheme val="minor"/>
      </rPr>
      <t xml:space="preserve">675BA41B. "Mistral Large 3 joins the ranks of frontier instruction-fine-tuned open-source models." EU tech doc: </t>
    </r>
    <r>
      <rPr>
        <u/>
        <sz val="14"/>
        <color rgb="FF1155cc"/>
        <rFont val="Calibri"/>
        <family val="2"/>
        <scheme val="minor"/>
      </rPr>
      <t>https://legal.cms.mistral.ai/assets/1e37fffd-7ea5-469b-822f-05dcfbb43623</t>
    </r>
  </si>
  <si>
    <t>DeepSeek-V3.2-Speciale</t>
  </si>
  <si>
    <t>https://huggingface.co/deepseek-ai/DeepSeek-V3.2-Speciale</t>
  </si>
  <si>
    <t>https://huggingface.co/deepseek-ai/DeepSeek-V3.2/blob/main/assets/paper.pdf</t>
  </si>
  <si>
    <t>SOTA, Reasoning</t>
  </si>
  <si>
    <r>
      <t/>
    </r>
    <r>
      <rPr>
        <sz val="14"/>
        <color theme="1"/>
        <rFont val="Calibri"/>
        <family val="2"/>
        <scheme val="minor"/>
      </rPr>
      <t xml:space="preserve">The word 'Speciale' may be a reference to Ferrari. "It shows gold-medal performance in the IOI 2025, ICPC World Final 2025, IMO 2025, and CMO 2025." API: </t>
    </r>
    <r>
      <rPr>
        <u/>
        <sz val="14"/>
        <color rgb="FF1155cc"/>
        <rFont val="Calibri"/>
        <family val="2"/>
        <scheme val="minor"/>
      </rPr>
      <t>https://api-docs.deepseek.com/news/news251201</t>
    </r>
  </si>
  <si>
    <t>DeepSeek-Math-V2</t>
  </si>
  <si>
    <t>https://huggingface.co/deepseek-ai/DeepSeek-Math-V2</t>
  </si>
  <si>
    <t>https://github.com/deepseek-ai/DeepSeek-Math-V2/blob/main/DeepSeekMath_V2.pdf</t>
  </si>
  <si>
    <t>"DeepSeekMath-V2, demonstrates strong theorem-proving capabilities, achieving gold-level scores on IMO 2025 and CMO 2024 and a near-perfect 118/120 on Putnam 2024 with scaled testtime compute. "</t>
  </si>
  <si>
    <t>Orchestrator-8B</t>
  </si>
  <si>
    <t>https://huggingface.co/nvidia/Orchestrator-8B</t>
  </si>
  <si>
    <t>https://arxiv.org/abs/2511.21689</t>
  </si>
  <si>
    <t>Base Model: Qwen3-8B</t>
  </si>
  <si>
    <t>INTELLECT-3</t>
  </si>
  <si>
    <t>Prime Intellect</t>
  </si>
  <si>
    <t xml:space="preserve">https://chat.primeintellect.ai/ </t>
  </si>
  <si>
    <t>https://storage.googleapis.com/intellect-3-paper/INTELLECT_3_Technical_Report.pdf</t>
  </si>
  <si>
    <r>
      <t/>
    </r>
    <r>
      <rPr>
        <sz val="14"/>
        <color rgb="FF000000"/>
        <rFont val="Calibri"/>
        <family val="2"/>
        <scheme val="minor"/>
      </rPr>
      <t xml:space="preserve">GLM-4.5-Air-Base model. Announce: </t>
    </r>
    <r>
      <rPr>
        <u/>
        <sz val="14"/>
        <color rgb="FF1155cc"/>
        <rFont val="Calibri"/>
        <family val="2"/>
        <scheme val="minor"/>
      </rPr>
      <t>https://www.primeintellect.ai/blog/intellect-3</t>
    </r>
  </si>
  <si>
    <t>Fara-7B</t>
  </si>
  <si>
    <t>https://huggingface.co/microsoft/Fara-7B</t>
  </si>
  <si>
    <t>https://www.microsoft.com/en-us/research/wp-content/uploads/2025/11/Fara-7B-An-Efficient-Agentic-Model-for-Computer-Use.pdf</t>
  </si>
  <si>
    <t>"Fara-7B is Microsoft's first agentic small language model (SLM) designed specifically for computer use. With only 7 billion parameters, Fara-7B is an ultra-compact Computer Use Agent (CUA)...Current production baselines leverage Qwen 2.5-VL (7B)."</t>
  </si>
  <si>
    <t>Claude Opus 4.5</t>
  </si>
  <si>
    <r>
      <t/>
    </r>
    <r>
      <rPr>
        <u/>
        <sz val="10"/>
        <color rgb="FF1155cc"/>
        <rFont val="Calibri"/>
        <family val="2"/>
        <scheme val="minor"/>
      </rPr>
      <t>https://claude.ai/</t>
    </r>
    <r>
      <rPr>
        <sz val="10"/>
        <color theme="1"/>
        <rFont val="Calibri"/>
        <family val="2"/>
        <scheme val="minor"/>
      </rPr>
      <t xml:space="preserve"> </t>
    </r>
  </si>
  <si>
    <t>https://assets.anthropic.com/m/64823ba7485345a7/Claude-Opus-4-5-System-Card.pdf</t>
  </si>
  <si>
    <r>
      <t/>
    </r>
    <r>
      <rPr>
        <sz val="14"/>
        <color rgb="FF073763"/>
        <rFont val="Calibri"/>
        <family val="2"/>
        <scheme val="minor"/>
      </rPr>
      <t xml:space="preserve">"the best model in the world for coding, agents, and computer use." Announce: </t>
    </r>
    <r>
      <rPr>
        <u/>
        <sz val="14"/>
        <color rgb="FF1155cc"/>
        <rFont val="Calibri"/>
        <family val="2"/>
        <scheme val="minor"/>
      </rPr>
      <t>https://www.anthropic.com/news/claude-opus-4-5</t>
    </r>
  </si>
  <si>
    <t>Nemotron Elastic</t>
  </si>
  <si>
    <t>https://huggingface.co/nvidia/Nemotron-Elastic-12B</t>
  </si>
  <si>
    <t>https://arxiv.org/abs/2511.16664v1</t>
  </si>
  <si>
    <t>"Nemotron Elastic, a framework for building reasoning-oriented LLMs, including hybrid Mamba-Attention architectures, that embed multiple nested submodels within a single parent model, each optimized for different deployment configurations and budgets. Each of these submodels shares weights with the parent model and can be extracted zero-shot during deployment without additional training or fine-tuning...We apply Nemotron Elastic to the Nemotron Nano V2 12B model, simultaneously producing a 9B and a 6B model using only 110B training tokens"</t>
  </si>
  <si>
    <t>GeoVista</t>
  </si>
  <si>
    <t>https://github.com/ekonwang/GeoVista</t>
  </si>
  <si>
    <t>https://arxiv.org/abs/2511.15705</t>
  </si>
  <si>
    <r>
      <t/>
    </r>
    <r>
      <rPr>
        <sz val="14"/>
        <color theme="1"/>
        <rFont val="Calibri"/>
        <family val="2"/>
        <scheme val="minor"/>
      </rPr>
      <t xml:space="preserve">Base model: Qwen2.5-VL-7B-Instruct. "GeoVista, an agentic model that seamlessly integrates tool invocation within the reasoning loop, including an image-zoom-in tool to magnify regions of interest and a web-search tool to retrieve related web information. " Project page: </t>
    </r>
    <r>
      <rPr>
        <u/>
        <sz val="14"/>
        <color rgb="FF1155cc"/>
        <rFont val="Calibri"/>
        <family val="2"/>
        <scheme val="minor"/>
      </rPr>
      <t>https://ekonwang.github.io/geo-vista/</t>
    </r>
  </si>
  <si>
    <t>OLMo 3</t>
  </si>
  <si>
    <t>https://huggingface.co/collections/allenai/olmo-3</t>
  </si>
  <si>
    <t>https://www.datocms-assets.com/64837/1763662397-1763646865-olmo_3_technical_report-1.pdf</t>
  </si>
  <si>
    <r>
      <t/>
    </r>
    <r>
      <rPr>
        <sz val="14"/>
        <color theme="1"/>
        <rFont val="Calibri"/>
        <family val="2"/>
        <scheme val="minor"/>
      </rPr>
      <t xml:space="preserve">Announce: </t>
    </r>
    <r>
      <rPr>
        <u/>
        <sz val="14"/>
        <color rgb="FF1155cc"/>
        <rFont val="Calibri"/>
        <family val="2"/>
        <scheme val="minor"/>
      </rPr>
      <t>https://allenai.org/blog/olmo3</t>
    </r>
  </si>
  <si>
    <t>https://storage.googleapis.com/deepmind-media/Model-Cards/Gemini-3-Pro-Model-Card.pdf</t>
  </si>
  <si>
    <t>"The knowledge cutoff date for Gemini 3 Pro was January 2025."</t>
  </si>
  <si>
    <t>Grok 4.1</t>
  </si>
  <si>
    <t>https://grok.com/</t>
  </si>
  <si>
    <t>https://x.ai/news/grok-4-1</t>
  </si>
  <si>
    <t>Baguettotron</t>
  </si>
  <si>
    <t>PleIAs</t>
  </si>
  <si>
    <t>https://huggingface.co/PleIAs/Baguettotron</t>
  </si>
  <si>
    <t>"The name is both a nod to French origins and to the unusual shape of the model: with 80 layers, Baguettotron is currently the deepest SLM in its size range."</t>
  </si>
  <si>
    <t>ERNIE-5.0-Preview-1022</t>
  </si>
  <si>
    <t>Baidu</t>
  </si>
  <si>
    <t>https://ernie.baidu.com/</t>
  </si>
  <si>
    <t>https://ernie.baidu.com/blog/posts/ernie-5.0-preview-1022-release-on-lmarena/</t>
  </si>
  <si>
    <r>
      <t/>
    </r>
    <r>
      <rPr>
        <sz val="14"/>
        <color rgb="FF073763"/>
        <rFont val="Calibri"/>
        <family val="2"/>
        <scheme val="minor"/>
      </rPr>
      <t xml:space="preserve">Very low performance on ALPrompt. 2.4T params confirmed: </t>
    </r>
    <r>
      <rPr>
        <u/>
        <sz val="14"/>
        <color rgb="FF1155cc"/>
        <rFont val="Calibri"/>
        <family val="2"/>
        <scheme val="minor"/>
      </rPr>
      <t>https://global.chinadaily.com.cn/a/202511/13/WS691571bda310d6866eb29500.html</t>
    </r>
  </si>
  <si>
    <t>GPT-5.1</t>
  </si>
  <si>
    <t>https://openai.com/index/gpt-5-1/</t>
  </si>
  <si>
    <t>Personality change via fine-tuning. GPQA (no tools) increased from GPT-5=85.7 to GPT-5.1=88.1. MMLU is for Spanish.</t>
  </si>
  <si>
    <t>TiDAR</t>
  </si>
  <si>
    <t>https://tidarlm.github.io/</t>
  </si>
  <si>
    <t>https://arxiv.org/abs/2511.08923</t>
  </si>
  <si>
    <t>Reasoning, Diffusion</t>
  </si>
  <si>
    <t>Base model: Qwen3-8B (36T) + 150B continual training. "TiDAR, a sequence-level hybrid architecture that drafts tokens (Thinking) in Diffusion and samples final outputs (Talking) AutoRegressively - all within a single forward pass using specially designed structured attention masks"</t>
  </si>
  <si>
    <t>JustRL-Nemotron-1.5B</t>
  </si>
  <si>
    <t>Tsinghua</t>
  </si>
  <si>
    <t>https://huggingface.co/hbx/JustRL-Nemotron-1.5B</t>
  </si>
  <si>
    <t>https://relieved-cafe-fe1.notion.site/JustRL-Scaling-a-1-5B-LLM-with-a-Simple-RL-Recipe-24f6198b0b6b80e48e74f519bfdaf0a8</t>
  </si>
  <si>
    <t>"JustRL, a simple recipe with fixed hyperparameters, achieves state-of-the-art performance on two different 1.5B base models (54.5% and 64.3% across 9 math benchmarks) while using 2× less compute than sophisticated approaches. The same hyperparameters transfer across both models without tuning, and training remains stable over thousands of steps without intervention. This suggests the field may be adding complexity to solve problems that disappear with a stable, scaled-up baseline."</t>
  </si>
  <si>
    <t>ERNIE-4.5-VL-28B-A3B-Thinking</t>
  </si>
  <si>
    <t>https://huggingface.co/baidu/ERNIE-4.5-VL-28B-A3B-Thinking</t>
  </si>
  <si>
    <t>https://github.com/PaddlePaddle/ERNIE</t>
  </si>
  <si>
    <t>28B-A3B. Open-sourced 12/Nov/2025 from Jun/2025 release.</t>
  </si>
  <si>
    <t>HOPE</t>
  </si>
  <si>
    <t>https://abehrouz.github.io/files/NL.pdf</t>
  </si>
  <si>
    <r>
      <t/>
    </r>
    <r>
      <rPr>
        <sz val="14"/>
        <color theme="1"/>
        <rFont val="Calibri"/>
        <family val="2"/>
        <scheme val="minor"/>
      </rPr>
      <t xml:space="preserve">"Combining our self-modifying sequence model with the continuum memory system, we present a learning module, called HOPE, showing promising results in language modeling, continual learning, and long-context reasoning tasks." Announce: </t>
    </r>
    <r>
      <rPr>
        <u/>
        <sz val="14"/>
        <color rgb="FF1155cc"/>
        <rFont val="Calibri"/>
        <family val="2"/>
        <scheme val="minor"/>
      </rPr>
      <t>https://research.google/blog/introducing-nested-learning-a-new-ml-paradigm-for-continual-learning/</t>
    </r>
    <r>
      <rPr>
        <sz val="14"/>
        <color theme="1"/>
        <rFont val="Calibri"/>
        <family val="2"/>
        <scheme val="minor"/>
      </rPr>
      <t xml:space="preserve"> May be released after paper is public.</t>
    </r>
  </si>
  <si>
    <t>Kimi K2 Thinking</t>
  </si>
  <si>
    <t>Moonshot AI</t>
  </si>
  <si>
    <t>https://kimi.com/</t>
  </si>
  <si>
    <t>https://moonshotai.github.io/Kimi-K2/thinking.html</t>
  </si>
  <si>
    <t>1TA32B. 1T parameters and 384 experts. Open source SOTA. HLE=51.0 on text-only subset, compare to Grok-4 HLE=50.7 also on text-only, but Grok-4 HLE=44.4 on HLE full, ∴ Kimi K2 Thinking HLE≈44 full (estimated).</t>
  </si>
  <si>
    <t>Ling-1T</t>
  </si>
  <si>
    <t>https://huggingface.co/inclusionAI/Ling-1T</t>
  </si>
  <si>
    <t>https://arxiv.org/abs/2510.22115</t>
  </si>
  <si>
    <t>1TA50B.</t>
  </si>
  <si>
    <t>GEN-0</t>
  </si>
  <si>
    <t>Generalist</t>
  </si>
  <si>
    <t>https://generalistai.com/blog/nov-04-2025-GEN-0</t>
  </si>
  <si>
    <t>"GEN-0, a new class of embodied foundation models built for multimodal training directly on high-fidelity raw physical interaction. Its architecture builds on the strengths of vision and language models while also going beyond them—natively designed to capture human-level reflexes and physical commonsense. One core feature is Harmonic Reasoning, in which the models are trained to simultaneously think and act seamlessly... GEN-0 is pretrained on our in-house robotics dataset, which includes over 270,000 hours of real-world diverse manipulation data, growing at a rate of 10,000 hours a week and accelerating."</t>
  </si>
  <si>
    <t>CALM</t>
  </si>
  <si>
    <t>Wechat</t>
  </si>
  <si>
    <t>https://github.com/shaochenze/calm</t>
  </si>
  <si>
    <t>https://arxiv.org/abs/2510.27688</t>
  </si>
  <si>
    <t>"Continuous Autoregressive Language Models (CALM), a paradigm shift from discrete next-token prediction to continuous next-vector prediction. CALM uses a high-fidelity autoencoder to compress a chunk of K tokens into a single continuous vector, from which the original tokens can be reconstructed with over 99.9% accuracy... We train our models on the Pile uncopyrighted dataset (Gao et al., 2020). The raw text is processed with the Llama 3 tokenizer (Grattafiori et al., 2024), resulting in a training set of ∼230B tokens."</t>
  </si>
  <si>
    <t>Kimi-Linear</t>
  </si>
  <si>
    <t>https://huggingface.co/moonshotai/Kimi-Linear-48B-A3B-Instruct</t>
  </si>
  <si>
    <t>https://github.com/MoonshotAI/Kimi-Linear?tab=readme-ov-file</t>
  </si>
  <si>
    <t>48B-A3B. "Kimi Linear is a hybrid linear attention architecture that outperforms traditional full attention methods across various contexts, including short, long, and reinforcement learning (RL) scaling regimes. At its core is Kimi Delta Attention (KDA)—a refined version of Gated DeltaNet that introduces a more efficient gating mechanism to optimize the use of finite-state RNN memory."</t>
  </si>
  <si>
    <t>MiniMax-M2</t>
  </si>
  <si>
    <t>MiniMax</t>
  </si>
  <si>
    <t>https://huggingface.co/MiniMaxAI/MiniMax-M2</t>
  </si>
  <si>
    <t>https://platform.minimax.io/docs/guides/text-generation</t>
  </si>
  <si>
    <t>230B-A10B.</t>
  </si>
  <si>
    <t>MACE-MH-1</t>
  </si>
  <si>
    <t>Cambridge/LBNL</t>
  </si>
  <si>
    <t>https://huggingface.co/mace-foundations/mace-mh-1</t>
  </si>
  <si>
    <t>materials chemistry</t>
  </si>
  <si>
    <t>https://arxiv.org/abs/2510.25380</t>
  </si>
  <si>
    <t>MACE</t>
  </si>
  <si>
    <t>MACE-MH-1 (Multi-Head 1). Features Multiple Heads (OMAT PBE, OMOL r2scan, OC20) to maintain high accuracy across domains</t>
  </si>
  <si>
    <t>DeepSeek-OCR</t>
  </si>
  <si>
    <t>https://github.com/deepseek-ai/DeepSeek-OCR/blob/main/DeepSeek_OCR_paper.pdf</t>
  </si>
  <si>
    <t>special</t>
  </si>
  <si>
    <t xml:space="preserve">2D vision tokens for 1D text achieves huge compression. Encoder/Decoder: DeepEncoder 380M (80M SAM-base + 300M CLIP-large), DeepSeek-3B-MoE (A570M). </t>
  </si>
  <si>
    <t>UserLM-8b</t>
  </si>
  <si>
    <t>https://huggingface.co/microsoft/UserLM-8b</t>
  </si>
  <si>
    <t>WildChat</t>
  </si>
  <si>
    <t>"we trained UserLM-8b to simulate the “user” role in conversation (by training it to predict user turns in a large corpus of conversations called WildChat)."</t>
  </si>
  <si>
    <t>CoDA</t>
  </si>
  <si>
    <t>Salesforce</t>
  </si>
  <si>
    <t>https://huggingface.co/Salesforce/CoDA-v0-Instruct</t>
  </si>
  <si>
    <t>https://github.com/SalesforceAIResearch/CoDA/blob/main/technical_report.pdf</t>
  </si>
  <si>
    <t>"diffusion coder trained on TPU [Google TPU v4-1024 VM]"</t>
  </si>
  <si>
    <t>TRM</t>
  </si>
  <si>
    <t>Samsung</t>
  </si>
  <si>
    <t>https://github.com/SamsungSAILMontreal/TinyRecursiveModels</t>
  </si>
  <si>
    <t>Mazes (ARC-AGI)</t>
  </si>
  <si>
    <t>https://arxiv.org/abs/2510.04871v1</t>
  </si>
  <si>
    <t>"Tiny Recursive Model (TRM), a much simpler recursive reasoning approach that achieves significantly higher generalization than HRM, while using a single tiny network with only 2 layers"</t>
  </si>
  <si>
    <t>Granite-4.0 Small</t>
  </si>
  <si>
    <t>IBM</t>
  </si>
  <si>
    <t>https://huggingface.co/ibm-granite/granite-4.0-h-small</t>
  </si>
  <si>
    <t>https://www.ibm.com/granite/docs/models/granite</t>
  </si>
  <si>
    <r>
      <t/>
    </r>
    <r>
      <rPr>
        <sz val="14"/>
        <color rgb="FF073763"/>
        <rFont val="Calibri"/>
        <family val="2"/>
        <scheme val="minor"/>
      </rPr>
      <t xml:space="preserve">32B-A9B. Announce: </t>
    </r>
    <r>
      <rPr>
        <u/>
        <sz val="14"/>
        <color rgb="FF1155cc"/>
        <rFont val="Calibri"/>
        <family val="2"/>
        <scheme val="minor"/>
      </rPr>
      <t>https://www.ibm.com/new/announcements/ibm-granite-4-0-hyper-efficient-high-performance-hybrid-models</t>
    </r>
  </si>
  <si>
    <t>GLM-4.6</t>
  </si>
  <si>
    <t>https://huggingface.co/zai-org/GLM-4.6</t>
  </si>
  <si>
    <t>https://z.ai/blog/glm-4.6</t>
  </si>
  <si>
    <t>Ring-1T-preview</t>
  </si>
  <si>
    <t>InclusionAI</t>
  </si>
  <si>
    <t>https://huggingface.co/inclusionAI/Ring-1T-preview</t>
  </si>
  <si>
    <t>1T-A48.5B.</t>
  </si>
  <si>
    <t>Claude Sonnet 4.5</t>
  </si>
  <si>
    <t>https://assets.anthropic.com/m/12f214efcc2f457a/original/Claude-Sonnet-4-5-System-Card.pdf</t>
  </si>
  <si>
    <r>
      <t/>
    </r>
    <r>
      <rPr>
        <sz val="14"/>
        <color rgb="FF073763"/>
        <rFont val="Calibri"/>
        <family val="2"/>
        <scheme val="minor"/>
      </rPr>
      <t xml:space="preserve">The Claude Sonnet 4.5 "system card" is an absolute farce. Announce: </t>
    </r>
    <r>
      <rPr>
        <u/>
        <sz val="14"/>
        <color rgb="FF1155cc"/>
        <rFont val="Calibri"/>
        <family val="2"/>
        <scheme val="minor"/>
      </rPr>
      <t>https://www.anthropic.com/news/claude-sonnet-4-5</t>
    </r>
  </si>
  <si>
    <t>Gemini Robotics 1.5</t>
  </si>
  <si>
    <t>https://storage.googleapis.com/deepmind-media/gemini-robotics/Gemini-Robotics-1-5-Tech-Report.pdf</t>
  </si>
  <si>
    <t>2. "vision-language-action (VLA) model turns visual information and instructions into motor commands for a robot to perform a task." Available to select partners.</t>
  </si>
  <si>
    <t>Gemini Robotics-ER 1.5</t>
  </si>
  <si>
    <t>https://aistudio.google.com/?model=gemini-robotics-er-1.5-preview</t>
  </si>
  <si>
    <t>1. "vision-language model (VLM) reasons about the physical world, natively calls digital tools and creates detailed, multi-step plans to complete a mission." Available to all devs.</t>
  </si>
  <si>
    <t>TimesFM-ICF</t>
  </si>
  <si>
    <t>https://huggingface.co/collections/google/timesfm-release-66e4be5fdb56e960c1e482a6</t>
  </si>
  <si>
    <t>https://research.google/blog/time-series-foundation-models-can-be-few-shot-learners/</t>
  </si>
  <si>
    <t>TimesFM-ICF is 6.8% more accurate than TimesFM (Base). Time-series forecasting only. 'a large pretraining corpus of 100B real world time-points' may be more than 100B tokens.</t>
  </si>
  <si>
    <t>Qwen3-Max</t>
  </si>
  <si>
    <t>https://chat.qwen.ai/</t>
  </si>
  <si>
    <t>https://qwen.ai/blog?id=241398b9cd6353de490b0f82806c7848c5d2777d&amp;from=research.latest-advancements-list</t>
  </si>
  <si>
    <t>"Qwen3-Max-Thinking — still under active training — is already demonstrating remarkable potential. When augmented with tool usage and scaled test-time compute, the Thinking variant has achieved 100% on challenging reasoning benchmarks such as AIME 25 and HMMT. "</t>
  </si>
  <si>
    <t>Qwen3-Omni</t>
  </si>
  <si>
    <t>https://github.com/QwenLM/Qwen3-Omni?tab=readme-ov-file</t>
  </si>
  <si>
    <t>https://github.com/QwenLM/Qwen3-Omni/blob/main/assets/Qwen3_Omni.pdf</t>
  </si>
  <si>
    <t>"Qwen3-Omni is a unified end-to-end model capable of processing multiple modalities, such as text, audio, image and video, and generating real-time text or speech response."... "pretraining utilizes a large-scale dataset containing approximately 2 trillion tokens, with the following distribution across modalities: text (0.57 trillion), audio (0.77 trillion), image (0.82 trillion), video (0.05 trillion), and video-audio (0.05 trillion)."</t>
  </si>
  <si>
    <t>DeepSeek-V3.1-Terminus</t>
  </si>
  <si>
    <t>https://huggingface.co/deepseek-ai/DeepSeek-V3.1-Terminus</t>
  </si>
  <si>
    <t>https://api-docs.deepseek.com/news/news250922</t>
  </si>
  <si>
    <r>
      <t/>
    </r>
    <r>
      <rPr>
        <sz val="14"/>
        <color theme="1"/>
        <rFont val="Calibri"/>
        <family val="2"/>
        <scheme val="minor"/>
      </rPr>
      <t xml:space="preserve">Hybrid reasoning. Dataset tokens: </t>
    </r>
    <r>
      <rPr>
        <u/>
        <sz val="14"/>
        <color rgb="FF1155cc"/>
        <rFont val="Calibri"/>
        <family val="2"/>
        <scheme val="minor"/>
      </rPr>
      <t>https://x.com/deepseek_ai/status/1958417072536608952</t>
    </r>
    <r>
      <rPr>
        <sz val="14"/>
        <color theme="1"/>
        <rFont val="Calibri"/>
        <family val="2"/>
        <scheme val="minor"/>
      </rPr>
      <t xml:space="preserve"> HLE: </t>
    </r>
    <r>
      <rPr>
        <u/>
        <sz val="14"/>
        <color rgb="FF1155cc"/>
        <rFont val="Calibri"/>
        <family val="2"/>
        <scheme val="minor"/>
      </rPr>
      <t>https://x.com/deepseek_ai/status/1958417068568481854/photo/2</t>
    </r>
  </si>
  <si>
    <t>Isaac 0.1</t>
  </si>
  <si>
    <t>Perceptron</t>
  </si>
  <si>
    <t>https://huggingface.co/PerceptronAI/Isaac-0.1</t>
  </si>
  <si>
    <t>https://www.perceptron.inc/blog/introducing-isaac-0-1</t>
  </si>
  <si>
    <t>"perceptive-language model...delivering capabilities that meet or exceed those of models over 50 times its size. Founded by the team behind Meta's Chameleon multimodal models, Perceptron is tackling a fundamental challenge: bringing the power of physical AI to the dynamic, multimodal, and real-time environments we live and work in."</t>
  </si>
  <si>
    <t>Grok 4 Fast</t>
  </si>
  <si>
    <t>https://x.ai/news/grok-4-fast</t>
  </si>
  <si>
    <t>"2M token context window, and a unified architecture that blends reasoning and non-reasoning modes in one model."</t>
  </si>
  <si>
    <t>VaultGemma</t>
  </si>
  <si>
    <t>https://huggingface.co/google/vaultgemma-1b</t>
  </si>
  <si>
    <t>https://services.google.com/fh/files/blogs/vaultgemma_tech_report.pdf</t>
  </si>
  <si>
    <r>
      <t/>
    </r>
    <r>
      <rPr>
        <sz val="14"/>
        <color theme="1"/>
        <rFont val="Calibri"/>
        <family val="2"/>
        <scheme val="minor"/>
      </rPr>
      <t xml:space="preserve">"Differential Privacy (DP) has emerged as the gold standard, providing a rigorous, mathematical framework to limit the influence of any single example in the training data on the resulting model. A model trained with DP provably bounds the reconstruction or leakage of information tied to individual data points." Announce: </t>
    </r>
    <r>
      <rPr>
        <u/>
        <sz val="14"/>
        <color rgb="FF1155cc"/>
        <rFont val="Calibri"/>
        <family val="2"/>
        <scheme val="minor"/>
      </rPr>
      <t>https://research.google/blog/vaultgemma-the-worlds-most-capable-differentially-private-llm/</t>
    </r>
  </si>
  <si>
    <t>Qwen3-Next-80B-A3B</t>
  </si>
  <si>
    <t>https://huggingface.co/collections/Qwen/qwen3-next-68c25fd6838e585db8eeea9d</t>
  </si>
  <si>
    <t>https://qwen.ai/blog?id=4074cca80393150c248e508aa62983f9cb7d27cd&amp;from=research.latest-advancements-list</t>
  </si>
  <si>
    <t>"Qwen3-Next introduces several key improvements: a hybrid attention mechanism, a highly sparse Mixture-of-Experts (MoE) structure, training-stability-friendly optimizations, and a multi-token prediction mechanism for faster inference."</t>
  </si>
  <si>
    <t>K2-Think</t>
  </si>
  <si>
    <t>https://www.k2think.ai/</t>
  </si>
  <si>
    <t>https://arxiv.org/abs/2509.07604</t>
  </si>
  <si>
    <t>"Built on the Qwen2.5 base model, our system shows that smaller models can compete at the highest levels by combining advanced post-training and test-time computation techniques. The approach is based on six key technical pillars: Long Chain-of-thought Supervised Finetuning, Reinforcement Learning with Verifiable Rewards (RLVR), Agentic planning prior to reasoning, Test-time Scaling, Speculative Decoding, and Inference-optimized Hardware, all using publicly available open-source datasets."</t>
  </si>
  <si>
    <t>mmBERT</t>
  </si>
  <si>
    <t>JHU</t>
  </si>
  <si>
    <t>https://huggingface.co/collections/jhu-clsp/mmbert-a-modern-multilingual-encoder-68b725831d7c6e3acc435ed4</t>
  </si>
  <si>
    <t>https://arxiv.org/abs/2509.06888</t>
  </si>
  <si>
    <t>"a modern multilingual encoder trained on 3T tokens and 1833 languages. We introduce several novel elements in training: an inverse masking schedule and a cascading annealed language learning schedule for multilingual data" Announce: https://huggingface.co/blog/mmbert</t>
  </si>
  <si>
    <t>ERNIE X1.1</t>
  </si>
  <si>
    <t>https://www.prnewswire.com/news-releases/baidu-unveils-reasoning-model-ernie-x1-1-with-upgrades-in-key-capabilities-302551170.html</t>
  </si>
  <si>
    <t>ERNIE-4.5-21B-A3B-Thinking</t>
  </si>
  <si>
    <t>https://huggingface.co/baidu/ERNIE-4.5-21B-A3B-Thinking</t>
  </si>
  <si>
    <t>Klear-46B-A2.5B</t>
  </si>
  <si>
    <t>Kuaishou</t>
  </si>
  <si>
    <t>https://huggingface.co/Kwai-Klear/Klear-46B-A2.5B-Instruct</t>
  </si>
  <si>
    <t>46B-A2.5B.</t>
  </si>
  <si>
    <t>TildeOpen-30b</t>
  </si>
  <si>
    <t>Tilde AI</t>
  </si>
  <si>
    <t>https://huggingface.co/TildeAI/TildeOpen-30b</t>
  </si>
  <si>
    <t>https://tilde.ai/lv/tildeopen-llm/</t>
  </si>
  <si>
    <t>"language data from across Europe"</t>
  </si>
  <si>
    <t>Qwen3-Max-Preview</t>
  </si>
  <si>
    <t>https://modelstudio.console.alibabacloud.com/?tab=doc#/doc/?type=model&amp;url=2840914_2&amp;modelId=qwen3-max-preview</t>
  </si>
  <si>
    <t>GPQA score is SuperGPQA. "our biggest model yet, with over 1 trillion parameters"</t>
  </si>
  <si>
    <t>Kimi K2-Instruct-0905</t>
  </si>
  <si>
    <r>
      <t/>
    </r>
    <r>
      <rPr>
        <u/>
        <sz val="10"/>
        <color rgb="FF1155cc"/>
        <rFont val="Calibri"/>
        <family val="2"/>
        <scheme val="minor"/>
      </rPr>
      <t>https://huggingface.co/moonshotai/Kimi-K2-Instruct</t>
    </r>
    <r>
      <rPr>
        <sz val="10"/>
        <color rgb="FF073763"/>
        <rFont val="Calibri"/>
        <family val="2"/>
        <scheme val="minor"/>
      </rPr>
      <t xml:space="preserve"> </t>
    </r>
  </si>
  <si>
    <t>https://huggingface.co/moonshotai/Kimi-K2-Instruct-0905</t>
  </si>
  <si>
    <t>1TA32B. 1T parameters and 384 experts. Open source SOTA.</t>
  </si>
  <si>
    <t>Apertus</t>
  </si>
  <si>
    <t>ETH Zürich</t>
  </si>
  <si>
    <t>https://huggingface.co/swiss-ai/Apertus-70B-Instruct-2509</t>
  </si>
  <si>
    <t>https://github.com/swiss-ai/apertus-tech-report/blob/main/Apertus_Tech_Report.pdf</t>
  </si>
  <si>
    <r>
      <t/>
    </r>
    <r>
      <rPr>
        <sz val="14"/>
        <color rgb="FF000000"/>
        <rFont val="Calibri"/>
        <family val="2"/>
        <scheme val="minor"/>
      </rPr>
      <t xml:space="preserve">"Apertus – Latin for “open”" 1,811 languages. Announce: </t>
    </r>
    <r>
      <rPr>
        <u/>
        <sz val="14"/>
        <color rgb="FF1155cc"/>
        <rFont val="Calibri"/>
        <family val="2"/>
        <scheme val="minor"/>
      </rPr>
      <t>https://ethz.ch/en/news-and-events/eth-news/news/2025/09/press-release-apertus-a-fully-open-transparent-multilingual-language-model.html</t>
    </r>
  </si>
  <si>
    <t>LongCat-Flash</t>
  </si>
  <si>
    <t>Meituan</t>
  </si>
  <si>
    <t>https://longcat.ai/</t>
  </si>
  <si>
    <t>https://github.com/meituan-longcat/LongCat-Flash-Chat/blob/main/tech_report.pdf</t>
  </si>
  <si>
    <r>
      <t/>
    </r>
    <r>
      <rPr>
        <sz val="14"/>
        <color rgb="FF000000"/>
        <rFont val="Calibri"/>
        <family val="2"/>
        <scheme val="minor"/>
      </rPr>
      <t xml:space="preserve">560B-A18.6B–31.3B (27B on average). Announce: </t>
    </r>
    <r>
      <rPr>
        <u/>
        <sz val="14"/>
        <color rgb="FF1155cc"/>
        <rFont val="Calibri"/>
        <family val="2"/>
        <scheme val="minor"/>
      </rPr>
      <t>https://lmsys.org/blog/2025-09-01-sglang-longcat-flash/</t>
    </r>
  </si>
  <si>
    <t>Baichuan-M2</t>
  </si>
  <si>
    <t>https://github.com/baichuan-inc/Baichuan-M2-32B</t>
  </si>
  <si>
    <t>https://arxiv.org/abs/2509.02208</t>
  </si>
  <si>
    <t>Base: Qwen2.5. "medical augmented reasoning model"</t>
  </si>
  <si>
    <t>MAI-1-preview</t>
  </si>
  <si>
    <t>https://microsoft.ai/news/two-new-in-house-models/</t>
  </si>
  <si>
    <t>MAI=Microsoft artificial intelligence. "MAI’s first foundation model trained end-to-end... MAI-1-preview is an in-house mixture-of-experts model, pre-trained and post-trained on ~15,000 NVIDIA H100 GPUs. This model is designed to provide powerful capabilities to consumers seeking to benefit from models that specialize in following instructions and providing helpful responses to everyday queries. We will be rolling MAI-1-preview out for certain text use cases within Copilot"</t>
  </si>
  <si>
    <t>grok-code-fast-1</t>
  </si>
  <si>
    <t>https://github.com/features/copilot</t>
  </si>
  <si>
    <t>https://data.x.ai/2025-08-26-grok-code-fast-1-model-card.pdf</t>
  </si>
  <si>
    <r>
      <t/>
    </r>
    <r>
      <rPr>
        <sz val="14"/>
        <color rgb="FF073763"/>
        <rFont val="Calibri"/>
        <family val="2"/>
        <scheme val="minor"/>
      </rPr>
      <t xml:space="preserve">"We built grok-code-fast-1 from scratch, starting with a brand-new model architecture. To lay a robust foundation, we carefully assembled a pre-training corpus rich with programming-related content. For post-training, we curated high-quality datasets that reflect real-world pull requests and coding tasks." Announce: </t>
    </r>
    <r>
      <rPr>
        <u/>
        <sz val="14"/>
        <color rgb="FF1155cc"/>
        <rFont val="Calibri"/>
        <family val="2"/>
        <scheme val="minor"/>
      </rPr>
      <t>https://x.ai/news/grok-code-fast-1</t>
    </r>
  </si>
  <si>
    <t>Hermes 4</t>
  </si>
  <si>
    <t>Nous Research</t>
  </si>
  <si>
    <t>https://huggingface.co/NousResearch/Hermes-4-405B-FP8</t>
  </si>
  <si>
    <t>https://arxiv.org/abs/2508.18255</t>
  </si>
  <si>
    <r>
      <t/>
    </r>
    <r>
      <rPr>
        <sz val="14"/>
        <color rgb="FF073763"/>
        <rFont val="Calibri"/>
        <family val="2"/>
        <scheme val="minor"/>
      </rPr>
      <t xml:space="preserve">Based on Llama 3. Announce: </t>
    </r>
    <r>
      <rPr>
        <u/>
        <sz val="14"/>
        <color rgb="FF1155cc"/>
        <rFont val="Calibri"/>
        <family val="2"/>
        <scheme val="minor"/>
      </rPr>
      <t>https://hermes4.nousresearch.com/</t>
    </r>
  </si>
  <si>
    <t>Jet-Nemotron-4B</t>
  </si>
  <si>
    <t>https://github.com/NVlabs/Jet-Nemotron</t>
  </si>
  <si>
    <t>https://arxiv.org/abs/2508.15884v1</t>
  </si>
  <si>
    <t>"pre-training corpus and train Jet-Nemotron models for 50B tokens. This is also the setting in Section 2 where we perform PostNAS. At the second stage, we include more high-quality data from math [65] and coding [66, 67] domains into our data mixture. The models are then trained on 350B tokens."</t>
  </si>
  <si>
    <t>DeepSeek-V3.1-Base</t>
  </si>
  <si>
    <t>https://huggingface.co/deepseek-ai/DeepSeek-V3.1-Base</t>
  </si>
  <si>
    <t>Nemotron Nano 2</t>
  </si>
  <si>
    <t>https://huggingface.co/nvidia/NVIDIA-Nemotron-Nano-12B-v2-Base</t>
  </si>
  <si>
    <t>https://research.nvidia.com/labs/adlr/files/NVIDIA-Nemotron-Nano-2-Technical-Report.pdf</t>
  </si>
  <si>
    <r>
      <t/>
    </r>
    <r>
      <rPr>
        <sz val="14"/>
        <color theme="1"/>
        <rFont val="Calibri"/>
        <family val="2"/>
        <scheme val="minor"/>
      </rPr>
      <t xml:space="preserve">Announce: </t>
    </r>
    <r>
      <rPr>
        <u/>
        <sz val="14"/>
        <color rgb="FF1155cc"/>
        <rFont val="Calibri"/>
        <family val="2"/>
        <scheme val="minor"/>
      </rPr>
      <t>https://research.nvidia.com/labs/adlr/NVIDIA-Nemotron-Nano-2/</t>
    </r>
  </si>
  <si>
    <t>Gemma 3 270M</t>
  </si>
  <si>
    <t>https://huggingface.co/google/gemma-3-270m-it</t>
  </si>
  <si>
    <t>https://developers.googleblog.com/en/introducing-gemma-3-270m/</t>
  </si>
  <si>
    <t>https://poe.com/GPT-5</t>
  </si>
  <si>
    <t>https://openai.com/index/gpt-5-system-card/</t>
  </si>
  <si>
    <r>
      <t/>
    </r>
    <r>
      <rPr>
        <sz val="14"/>
        <color theme="1"/>
        <rFont val="Calibri"/>
        <family val="2"/>
        <scheme val="minor"/>
      </rPr>
      <t xml:space="preserve">Announce: </t>
    </r>
    <r>
      <rPr>
        <u/>
        <sz val="14"/>
        <color rgb="FF1155cc"/>
        <rFont val="Calibri"/>
        <family val="2"/>
        <scheme val="minor"/>
      </rPr>
      <t>https://openai.com/index/introducing-gpt-5/.</t>
    </r>
    <r>
      <rPr>
        <sz val="14"/>
        <color theme="1"/>
        <rFont val="Calibri"/>
        <family val="2"/>
        <scheme val="minor"/>
      </rPr>
      <t xml:space="preserve"> MMLU is based on ES and PT translated from EN.</t>
    </r>
  </si>
  <si>
    <t>gpt-oss-120b</t>
  </si>
  <si>
    <t>https://huggingface.co/openai/gpt-oss-120b</t>
  </si>
  <si>
    <t>https://cdn.openai.com/pdf/419b6906-9da6-406c-a19d-1bb078ac7637/oai_gpt-oss_model_card.pdf</t>
  </si>
  <si>
    <r>
      <t/>
    </r>
    <r>
      <rPr>
        <sz val="14"/>
        <color rgb="FF073763"/>
        <rFont val="Calibri"/>
        <family val="2"/>
        <scheme val="minor"/>
      </rPr>
      <t xml:space="preserve">116.8B total parameters and 5.1B “active” parameters per token per forward pass. </t>
    </r>
    <r>
      <rPr>
        <u/>
        <sz val="14"/>
        <color rgb="FF1155cc"/>
        <rFont val="Calibri"/>
        <family val="2"/>
        <scheme val="minor"/>
      </rPr>
      <t>https://openai.com/index/introducing-gpt-oss/</t>
    </r>
  </si>
  <si>
    <t>gpt-oss-20b</t>
  </si>
  <si>
    <t>https://huggingface.co/openai/gpt-oss-20b</t>
  </si>
  <si>
    <r>
      <t/>
    </r>
    <r>
      <rPr>
        <sz val="14"/>
        <color rgb="FF073763"/>
        <rFont val="Calibri"/>
        <family val="2"/>
        <scheme val="minor"/>
      </rPr>
      <t xml:space="preserve">20.9B total and 3.6B active parameters. </t>
    </r>
    <r>
      <rPr>
        <u/>
        <sz val="14"/>
        <color rgb="FF1155cc"/>
        <rFont val="Calibri"/>
        <family val="2"/>
        <scheme val="minor"/>
      </rPr>
      <t>https://openai.com/index/introducing-gpt-oss/</t>
    </r>
  </si>
  <si>
    <t>Claude Opus 4.1</t>
  </si>
  <si>
    <t>https://www.anthropic.com/news/claude-opus-4-1</t>
  </si>
  <si>
    <t>GLM-4.5</t>
  </si>
  <si>
    <t>https://huggingface.co/zai-org/GLM-4.5</t>
  </si>
  <si>
    <t>https://z.ai/blog/glm-4.5</t>
  </si>
  <si>
    <t>355B-A32B.</t>
  </si>
  <si>
    <t>T1</t>
  </si>
  <si>
    <t>China Telecom Artificial Intelligence Research Institute</t>
  </si>
  <si>
    <t>https://github.com/Tele-AI/T1</t>
  </si>
  <si>
    <t>https://arxiv.org/abs/2507.18013</t>
  </si>
  <si>
    <t>Intern-S1</t>
  </si>
  <si>
    <t>Shanghai AI Laboratory/SenseTime</t>
  </si>
  <si>
    <t>https://huggingface.co/internlm/Intern-S1</t>
  </si>
  <si>
    <t>41T tokens assumes base model of Qwen3. "Built upon a 235B MoE language model and a 6B Vision encoder, Intern-S1 has been further pretrained on 5 trillion tokens of multimodal data"</t>
  </si>
  <si>
    <t>Step 3</t>
  </si>
  <si>
    <t>StepFun</t>
  </si>
  <si>
    <t>https://www.stepfun.com/</t>
  </si>
  <si>
    <t>https://github.com/stepfun-ai/Step3/blob/main/Step3-Sys-Tech-Report.pdf</t>
  </si>
  <si>
    <r>
      <t/>
    </r>
    <r>
      <rPr>
        <sz val="14"/>
        <color rgb="FF073763"/>
        <rFont val="Calibri"/>
        <family val="2"/>
        <scheme val="minor"/>
      </rPr>
      <t xml:space="preserve">321B-A38B. </t>
    </r>
    <r>
      <rPr>
        <u/>
        <sz val="14"/>
        <color rgb="FF1155cc"/>
        <rFont val="Calibri"/>
        <family val="2"/>
        <scheme val="minor"/>
      </rPr>
      <t>https://x.com/CyouSakura/status/1948767450751009227</t>
    </r>
  </si>
  <si>
    <t>Qwen3-235B-A22B-Thinking-2507</t>
  </si>
  <si>
    <t>https://huggingface.co/Qwen/Qwen3-235B-A22B-Thinking-2507</t>
  </si>
  <si>
    <t>235B-A22B. "Qwen3 is pre-trained on 36 trillion tokens across 119 languages" MMLU score is MMLU-Redux.</t>
  </si>
  <si>
    <t>KAT-V1-200B</t>
  </si>
  <si>
    <t>https://arxiv.org/abs/2507.08297</t>
  </si>
  <si>
    <t>200BA40B. In training as of Jul/2025. "to address the overthinking problem in reasoning-intensive tasks"</t>
  </si>
  <si>
    <t>KAT-V1-40B</t>
  </si>
  <si>
    <t>https://huggingface.co/Kwaipilot/KAT-V1-40B</t>
  </si>
  <si>
    <t>"to address the overthinking problem in reasoning-intensive tasks"</t>
  </si>
  <si>
    <t>Qwen3-Coder-480B-A35B-Instruct</t>
  </si>
  <si>
    <t>https://huggingface.co/Qwen/Qwen3-Coder-480B-A35B-Instruct</t>
  </si>
  <si>
    <t>https://qwenlm.github.io/blog/qwen3-coder/</t>
  </si>
  <si>
    <t>480B-A35B.</t>
  </si>
  <si>
    <t>Qwen3-235B-A22B-Instruct-2507</t>
  </si>
  <si>
    <t>https://huggingface.co/Qwen/Qwen3-235B-A22B-Instruct-2507</t>
  </si>
  <si>
    <t>FlexOlmo</t>
  </si>
  <si>
    <t>https://huggingface.co/allenai/FlexOlmo-7x7B-1T</t>
  </si>
  <si>
    <t>https://arxiv.org/abs/2507.07024v1</t>
  </si>
  <si>
    <t>37B-A20B. "We adopt the OLMo-2 7B setup, starting from a a checkpoint pre-trained on 4T tokens and annealed for 50B tokens to produce a public expert. We then train two additional experts on math and code, each for 50B tokens, and combine them with the public expert to form a three-expert version of FLEXOLMO."</t>
  </si>
  <si>
    <t>EXAONE 4.0</t>
  </si>
  <si>
    <t>https://huggingface.co/LGAI-EXAONE/EXAONE-4.0-32B</t>
  </si>
  <si>
    <t>https://www.lgresearch.ai/data/cdn/upload/EXAONE_4_0.pdf</t>
  </si>
  <si>
    <t>“EXAONE”=“EXpert AI for EveryONE”. Training tokens/ratio: EXAONE-3 7.8B=8T tokens (Aug/2024) -&gt; EXAONE-3.5 7.8B=9T -&gt; EXAONE-3.5 32B=6.5T tokens -&gt; EXAONE 4.0 32B=14T tokens. MMLU score is MMLU-Redux. Interesting: "To focus [RL] training on more informative data samples, we perform accuracy-based filtering by generating eight responses from the SFT model and excluding samples where all eight responses are correct, a pre-filtering step that removes problems that are easy for the model to avoid inefficient training."</t>
  </si>
  <si>
    <t>Kimi K2</t>
  </si>
  <si>
    <t>https://huggingface.co/moonshotai/Kimi-K2-Instruct</t>
  </si>
  <si>
    <t>https://moonshotai.github.io/Kimi-K2/</t>
  </si>
  <si>
    <t>Reka Flash 3.1</t>
  </si>
  <si>
    <t>Reka AI</t>
  </si>
  <si>
    <t>https://huggingface.co/RekaAI/reka-flash-3.1</t>
  </si>
  <si>
    <t>https://www.reka.ai/news/introducing-reka-flash</t>
  </si>
  <si>
    <t>Devstral Medium</t>
  </si>
  <si>
    <t>https://chat.mistral.ai/chat</t>
  </si>
  <si>
    <t>https://mistral.ai/news/devstral-2507</t>
  </si>
  <si>
    <t>Non-reasoning.</t>
  </si>
  <si>
    <t>Grok 4</t>
  </si>
  <si>
    <t>https://lifearchitect.ai/grok/</t>
  </si>
  <si>
    <r>
      <t/>
    </r>
    <r>
      <rPr>
        <sz val="14"/>
        <color theme="1"/>
        <rFont val="Calibri"/>
        <family val="2"/>
        <scheme val="minor"/>
      </rPr>
      <t xml:space="preserve">2.4T? </t>
    </r>
    <r>
      <rPr>
        <u/>
        <sz val="14"/>
        <color rgb="FF1155cc"/>
        <rFont val="Calibri"/>
        <family val="2"/>
        <scheme val="minor"/>
      </rPr>
      <t>https://x.com/kalomaze/status/1942996555088134592</t>
    </r>
    <r>
      <rPr>
        <sz val="14"/>
        <color theme="1"/>
        <rFont val="Calibri"/>
        <family val="2"/>
        <scheme val="minor"/>
      </rPr>
      <t xml:space="preserve"> "The smartest AI in the world, 100% on SAT, etc, questions that it's never seen before."</t>
    </r>
  </si>
  <si>
    <t>Kwaipilot</t>
  </si>
  <si>
    <t>200BA40B.</t>
  </si>
  <si>
    <t>Phi-4-mini-flash-reasoning</t>
  </si>
  <si>
    <t>https://huggingface.co/microsoft/Phi-4-mini-flash-reasoning</t>
  </si>
  <si>
    <t>https://azure.microsoft.com/en-us/blog/reasoning-reimagined-introducing-phi-4-mini-flash-reasoning/</t>
  </si>
  <si>
    <t>"Pre-training: 5T tokens; Reasoning training: 150B tokens" "At the core of Phi-4-mini-flash-reasoning is the newly introduced decoder-hybrid-decoder architecture, SambaY, whose central innovation is the Gated Memory Unit (GMU), a simple yet effective mechanism for sharing representations between layers.  The architecture includes a self-decoder that combines Mamba (a State Space Model) and Sliding Window Attention (SWA), along with a single layer of full attention. The architecture also involves a cross-decoder that interleaves expensive cross-attention layers with the new, efficient GMUs. This new architecture with GMU modules drastically improves decoding efficiency, boosts long-context retrieval performance and enables the architecture to deliver exceptional performance across a wide range of tasks. "</t>
  </si>
  <si>
    <t>T5Gemma</t>
  </si>
  <si>
    <t>https://huggingface.co/google/t5gemma-9b-9b-ul2-it</t>
  </si>
  <si>
    <t>https://developers.googleblog.com/en/t5gemma/</t>
  </si>
  <si>
    <r>
      <t/>
    </r>
    <r>
      <rPr>
        <sz val="14"/>
        <color theme="1"/>
        <rFont val="Calibri"/>
        <family val="2"/>
        <scheme val="minor"/>
      </rPr>
      <t xml:space="preserve">Related paper: </t>
    </r>
    <r>
      <rPr>
        <u/>
        <sz val="14"/>
        <color rgb="FF1155cc"/>
        <rFont val="Calibri"/>
        <family val="2"/>
        <scheme val="minor"/>
      </rPr>
      <t>https://arxiv.org/abs/2504.06225.</t>
    </r>
    <r>
      <rPr>
        <sz val="14"/>
        <color theme="1"/>
        <rFont val="Calibri"/>
        <family val="2"/>
        <scheme val="minor"/>
      </rPr>
      <t xml:space="preserve"> Dataset was Gemma 2 9B on 8T tokens + 2T tokens adapted.</t>
    </r>
  </si>
  <si>
    <t>MedGemma 1 27B</t>
  </si>
  <si>
    <t>https://huggingface.co/google/medgemma-27b-it</t>
  </si>
  <si>
    <t>https://arxiv.org/abs/2507.05201</t>
  </si>
  <si>
    <t xml:space="preserve">Multimodal model. Text MMLU score for med only=87.0. </t>
  </si>
  <si>
    <t>R1T2 Chimera</t>
  </si>
  <si>
    <t>TNG</t>
  </si>
  <si>
    <t>https://huggingface.co/tngtech/DeepSeek-TNG-R1T2-Chimera</t>
  </si>
  <si>
    <t>https://arxiv.org/abs/2506.14794</t>
  </si>
  <si>
    <r>
      <t/>
    </r>
    <r>
      <rPr>
        <sz val="14"/>
        <color theme="1"/>
        <rFont val="Calibri"/>
        <family val="2"/>
        <scheme val="minor"/>
      </rPr>
      <t xml:space="preserve">Assembly of Experts-method of V3-0324, R1, R1-0528. Announce: </t>
    </r>
    <r>
      <rPr>
        <u/>
        <sz val="14"/>
        <color rgb="FF1155cc"/>
        <rFont val="Calibri"/>
        <family val="2"/>
        <scheme val="minor"/>
      </rPr>
      <t>https://x.com/tngtech/status/1940531045432283412?s=46</t>
    </r>
  </si>
  <si>
    <t>Spectra 1.1</t>
  </si>
  <si>
    <t>https://arxiv.org/abs/2506.23025</t>
  </si>
  <si>
    <t>"Spectra-1.1, an open suite of TriLMs trained on up to 1.2 trillion tokens, demonstrating sustained performance gains at scale. Furthermore, to improve inference efficiency, we propose novel 2-bit and 1.6-bit packing schemes for ternary weights"</t>
  </si>
  <si>
    <t>DiffuCoder</t>
  </si>
  <si>
    <t>Apple</t>
  </si>
  <si>
    <t>https://github.com/apple/ml-diffucoder</t>
  </si>
  <si>
    <t>code, The Stack</t>
  </si>
  <si>
    <t>https://arxiv.org/abs/2506.20639</t>
  </si>
  <si>
    <t>"We adapt our model from Qwen2.5-Coder (Hui et al., 2024) as the base model to perform continual pre-training using the adaptation approach from Gong et al. (2025). During this pre-training, we use a 400B-token code pre-training corpus from RefineCode (Huang et al., 2024) and Stackv2 (Lozhkov et al., 2024)."</t>
  </si>
  <si>
    <t>Hunyuan-A13B</t>
  </si>
  <si>
    <t>https://huggingface.co/tencent/Hunyuan-A13B-Instruct</t>
  </si>
  <si>
    <t>80B-A13B. 'We have open-sourced Hunyuan-A13B-Pretrain , Hunyuan-A13B-Instruct , Hunyuan-A13B-Instruct-FP8 , Hunyuan-A13B-Instruct-GPTQ-Int4 on Hugging Face.'</t>
  </si>
  <si>
    <t>Mercury</t>
  </si>
  <si>
    <t>Inception</t>
  </si>
  <si>
    <t>https://chat.inceptionlabs.ai/</t>
  </si>
  <si>
    <t>https://www.inceptionlabs.ai/introducing-mercury-our-general-chat-model</t>
  </si>
  <si>
    <t>Diffusion large language model (dLLM).</t>
  </si>
  <si>
    <t>Mu</t>
  </si>
  <si>
    <t>https://blogs.windows.com/windows-insider/2025/06/13/announcing-windows-11-insider-preview-build-26200-5651-dev-channel/</t>
  </si>
  <si>
    <t>https://blogs.windows.com/windowsexperience/2025/06/23/introducing-mu-language-model-and-how-it-enabled-the-agent-in-windows-settings/</t>
  </si>
  <si>
    <t>"distillation from Microsoft’s Phi models...Mu is an efficient 330M encoder–decoder language model optimized for small-scale deployment, particularly on the NPUs on Copilot+ PCs. It follows a transformer encoder–decoder architecture"</t>
  </si>
  <si>
    <t>Gemini Robotics On-Device</t>
  </si>
  <si>
    <t>https://docs.google.com/forms/u/0/d/1sM5GqcVMWv-KmKY3TOMpVtQ-lDFeAftQ-d9xQn92jCE/viewform?ts=67cef986&amp;edit_requested=true</t>
  </si>
  <si>
    <t>https://deepmind.google/discover/blog/gemini-robotics-on-device-brings-ai-to-local-robotic-devices/</t>
  </si>
  <si>
    <r>
      <t/>
    </r>
    <r>
      <rPr>
        <sz val="14"/>
        <color theme="1"/>
        <rFont val="Calibri"/>
        <family val="2"/>
        <scheme val="minor"/>
      </rPr>
      <t xml:space="preserve">See Mar/2025 Gemini Robotics-ER model for comparison. Announce: </t>
    </r>
    <r>
      <rPr>
        <u/>
        <sz val="14"/>
        <color rgb="FF1155cc"/>
        <rFont val="Calibri"/>
        <family val="2"/>
        <scheme val="minor"/>
      </rPr>
      <t>https://deepmind.google/discover/blog/gemini-robotics-on-device-brings-ai-to-local-robotic-devices/</t>
    </r>
  </si>
  <si>
    <t>ICONN-1</t>
  </si>
  <si>
    <t>ICONNAI</t>
  </si>
  <si>
    <t>https://huggingface.co/ICONNAI/ICONN-1</t>
  </si>
  <si>
    <t>"ICONN-1 (this version) is optimized for natural, emotionally resonant, and conversational interactions. ICONN-e1 is a specialized variant of the model fine-tuned for advanced reasoning, critical analysis, and complex problem-solving."</t>
  </si>
  <si>
    <t>MiniMax-M1</t>
  </si>
  <si>
    <t>https://huggingface.co/MiniMaxAI/MiniMax-M1-80k</t>
  </si>
  <si>
    <t>https://arxiv.org/abs/2506.13585</t>
  </si>
  <si>
    <r>
      <t/>
    </r>
    <r>
      <rPr>
        <sz val="14"/>
        <color theme="1"/>
        <rFont val="Calibri"/>
        <family val="2"/>
        <scheme val="minor"/>
      </rPr>
      <t xml:space="preserve">456B-A45.9B. Announce: </t>
    </r>
    <r>
      <rPr>
        <u/>
        <sz val="14"/>
        <color rgb="FF1155cc"/>
        <rFont val="Calibri"/>
        <family val="2"/>
        <scheme val="minor"/>
      </rPr>
      <t>https://www.minimax.io/news/minimaxm1</t>
    </r>
  </si>
  <si>
    <t>Magistral Medium</t>
  </si>
  <si>
    <t>https://mistral.ai/static/research/magistral.pdf</t>
  </si>
  <si>
    <r>
      <t/>
    </r>
    <r>
      <rPr>
        <sz val="14"/>
        <color rgb="FF073763"/>
        <rFont val="Calibri"/>
        <family val="2"/>
        <scheme val="minor"/>
      </rPr>
      <t xml:space="preserve">Magistral Small=24B. Announce: </t>
    </r>
    <r>
      <rPr>
        <u/>
        <sz val="14"/>
        <color rgb="FF1155cc"/>
        <rFont val="Calibri"/>
        <family val="2"/>
        <scheme val="minor"/>
      </rPr>
      <t>https://mistral.ai/news/magistral</t>
    </r>
  </si>
  <si>
    <t>https://huggingface.co/common-pile/comma-v0.1-2t</t>
  </si>
  <si>
    <t>"Comma v0.1-2T is a decoder-only transformer that uses the same architecture as Llama 3. Training was done in two stages: first on 1.93 trillion tokens with a cosine learning rate schedule, and second a "cool-down" training phase on 75.5 billion tokens from high-quality sources. The final model is the average of 10 checkpoints during this cool-down phase. Both training phases use a batch size of 8.3 million tokens per step. Training was performed using lingua on 512 AMD MI300A GPUs."</t>
  </si>
  <si>
    <t>dots.llm1</t>
  </si>
  <si>
    <t>Xiaohongshu/RedNote</t>
  </si>
  <si>
    <t>https://huggingface.co/rednote-hilab/dots.llm1.base</t>
  </si>
  <si>
    <t>https://github.com/rednote-hilab/dots.llm1/blob/main/dots1_tech_report.pdf</t>
  </si>
  <si>
    <t>142B-A14B. "dots.llm1, a large-scale MoE model that activates 14 billion parameters out of a total of 142 billion parameters, delivering performance on par with state-of-the-art models while reducing training and inference costs. Leveraging our meticulously crafted and efficient data processing pipeline, dots.llm1 achieves performance comparable to Qwen2.5-72B after pretraining on 11.2T high-quality tokens and post-training to fully unlock its capabilities. Notably, no synthetic data is used during pretraining. To foster further research, we open-source intermediate training checkpoints at every one trillion tokens, providing valuable insights into the learning dynamics of large language models."</t>
  </si>
  <si>
    <t>Gemini 2.5 Pro 06-05</t>
  </si>
  <si>
    <t>https://deepmind.google/models/gemini-diffusion/</t>
  </si>
  <si>
    <t>https://storage.googleapis.com/deepmind-media/gemini/gemini_v2_5_report.pdf</t>
  </si>
  <si>
    <t>"an upgraded preview of Gemini 2.5 Pro, our most intelligent model yet. Building on the version we released in May and showed at I/O, this model will be the generally available, stable version starting in a couple of weeks, ready for enterprise-scale applications."</t>
  </si>
  <si>
    <t>MiMo-7B-RL-0530</t>
  </si>
  <si>
    <t>https://huggingface.co/XiaomiMiMo/MiMo-7B-RL-0530</t>
  </si>
  <si>
    <t>https://arxiv.org/abs/2505.07608</t>
  </si>
  <si>
    <t>"[2025.05.30] During the RL training, by continuously expanding the training window size (from 32K to 48K), the performance of MiMo-7B-RL-0530 on AIME24 can be continuously improved and eventually surpass that of DeepSeek R1... MiMo-7B-Base is pre-trained on approximately 25 trillion tokens."</t>
  </si>
  <si>
    <t>DeepTransformers</t>
  </si>
  <si>
    <t>https://arxiv.org/abs/2505.23735</t>
  </si>
  <si>
    <t>"Atlas, a long-term memory module with high capacity that learns to memorize the context by optimizing the memory based on the current and past tokens, overcoming the online nature of long-term memory models. Building on this insight, we present a new family of Transformer-like architectures, called DeepTransformers, that are strict generalizations of the original Transformer architecture."</t>
  </si>
  <si>
    <t>DeepSeek-R1-0528</t>
  </si>
  <si>
    <t>https://chat.deepseek.com/</t>
  </si>
  <si>
    <t>https://huggingface.co/deepseek-ai/DeepSeek-R1-0528</t>
  </si>
  <si>
    <t>Censorship increased significantly. "overall performance is now approaching that of leading models, such as o3 and Gemini 2.5 Pro." MMLU shows MMLU-Redux score with lower error rate.</t>
  </si>
  <si>
    <t>Fathom-R1-14B</t>
  </si>
  <si>
    <t>Fractal Analytics</t>
  </si>
  <si>
    <t>https://huggingface.co/FractalAIResearch/Fathom-R1-14B</t>
  </si>
  <si>
    <t>Base R1-distilled-14B model, based on Qwen 14B. Media release.</t>
  </si>
  <si>
    <t>QwenLong-L1-32B</t>
  </si>
  <si>
    <t>https://huggingface.co/Tongyi-Zhiwen/QwenLong-L1-32B</t>
  </si>
  <si>
    <t>https://arxiv.org/abs/2505.17667</t>
  </si>
  <si>
    <t>"the first long-context LRM trained with reinforcement learniing for long-context reasoning."</t>
  </si>
  <si>
    <t>Claude Opus 4</t>
  </si>
  <si>
    <t>https://claude.ai/</t>
  </si>
  <si>
    <t>https://www-cdn.anthropic.com/6be99a52cb68eb70eb9572b4cafad13df32ed995.pdf</t>
  </si>
  <si>
    <t>"Claude Opus 4 is our most intelligent model to date, pushing the frontier in coding, agentic search, and creative writing. With advanced reasoning and powerful collaboration capabilities…Both models can also alternate between reasoning and tool use—like web search—to improve responses…Claude Opus 4 can work continuously for hours on complex, long-running tasks"</t>
  </si>
  <si>
    <t>Falcon-H1</t>
  </si>
  <si>
    <t>https://huggingface.co/papers/2507.22448</t>
  </si>
  <si>
    <t>"hybrid architecture that combines the strengths of the classical Transformer-based attention mechanism with the State Space Model (SSM), known for its superior long-context memory and computational efficiency."</t>
  </si>
  <si>
    <t>Gemini Diffusion</t>
  </si>
  <si>
    <t>"Gemini Diffusion’s external benchmark performance is comparable to much larger models [like Gemini-2.0-Flash-Lite], whilst also being faster."</t>
  </si>
  <si>
    <t>Gemma 3n</t>
  </si>
  <si>
    <t>https://ai.google.dev/gemma/docs/gemma-3n</t>
  </si>
  <si>
    <t>https://developers.googleblog.com/en/introducing-gemma-3n/</t>
  </si>
  <si>
    <t>MatFormer</t>
  </si>
  <si>
    <t>Matryoshka Transformer or MatFormer model architecture. 850M (696M / 620M / 582M).</t>
  </si>
  <si>
    <t>ParScale</t>
  </si>
  <si>
    <t>https://huggingface.co/ParScale/ParScale-4.7B-P8-Python</t>
  </si>
  <si>
    <t>https://arxiv.org/abs/2505.10475</t>
  </si>
  <si>
    <t>"We introduce the third scaling paradigm for scaling LLMs: leverages parallel computation during both training and inference time (Parallel Scaling, or ParScale)... ParScale can use up to 22× less memory increase and 6× less latency increase compared to parameter scaling that achieves the same performance improvement. It can also recycle an off-the-shelf pre-trained model into a parallelly scaled one by post-training on a small amount of tokens, further reducing the training budget." MMLU shows for 1.8B models, not the 4.7B models.</t>
  </si>
  <si>
    <t>codex-1</t>
  </si>
  <si>
    <t>https://chatgpt.com/codex</t>
  </si>
  <si>
    <t>https://openai.com/index/introducing-codex/</t>
  </si>
  <si>
    <t>o3 base. "codex-1, a version of OpenAI o3 optimized for software engineering. It was trained using reinforcement learning on real-world coding tasks in a variety of environments to generate code that closely mirrors human style and PR preferences, adheres precisely to instructions, and can iteratively run tests until it receives a passing result."</t>
  </si>
  <si>
    <t>Falcon-Edge</t>
  </si>
  <si>
    <t>https://huggingface.co/tiiuae/Falcon-E-3B-Instruct</t>
  </si>
  <si>
    <t>https://huggingface.co/blog/tiiuae/falcon-edge</t>
  </si>
  <si>
    <t>"Falcon-Edge series - a collection of powerful, universal, and fine-tunable language models available in ternary format, based on the BitNet architecture."</t>
  </si>
  <si>
    <t>SWE-1</t>
  </si>
  <si>
    <t>Windsurf</t>
  </si>
  <si>
    <t>https://windsurf.com/blog/windsurf-wave-9-swe-1</t>
  </si>
  <si>
    <t>"SWE-1, optimized for the entire software engineering process, not just the task of coding."</t>
  </si>
  <si>
    <t>INTELLECT-2</t>
  </si>
  <si>
    <t>https://chat.primeintellect.ai/</t>
  </si>
  <si>
    <t>https://storage.googleapis.com/public-technical-paper/INTELLECT_2_Technical_Report.pdf</t>
  </si>
  <si>
    <r>
      <t/>
    </r>
    <r>
      <rPr>
        <sz val="14"/>
        <color rgb="FF073763"/>
        <rFont val="Calibri"/>
        <family val="2"/>
        <scheme val="minor"/>
      </rPr>
      <t xml:space="preserve">QwQ-32B base. Announce: </t>
    </r>
    <r>
      <rPr>
        <u/>
        <sz val="14"/>
        <color rgb="FF1155cc"/>
        <rFont val="Calibri"/>
        <family val="2"/>
        <scheme val="minor"/>
      </rPr>
      <t>https://www.primeintellect.ai/blog/intellect-2-release</t>
    </r>
    <r>
      <rPr>
        <sz val="14"/>
        <color rgb="FF073763"/>
        <rFont val="Calibri"/>
        <family val="2"/>
        <scheme val="minor"/>
      </rPr>
      <t xml:space="preserve"> Finished training 30/Apr/2025: </t>
    </r>
    <r>
      <rPr>
        <u/>
        <sz val="14"/>
        <color rgb="FF1155cc"/>
        <rFont val="Calibri"/>
        <family val="2"/>
        <scheme val="minor"/>
      </rPr>
      <t>https://app.primeintellect.ai/intelligence/intellect-2</t>
    </r>
  </si>
  <si>
    <t>Pangu Ultra MoE</t>
  </si>
  <si>
    <t>Huawei</t>
  </si>
  <si>
    <t>https://github.com/pangu-tech/pangu-ultra</t>
  </si>
  <si>
    <t>https://arxiv.org/abs/2505.04519</t>
  </si>
  <si>
    <t>718B-A39B. Trained on 6,000 Ascend NPUs (Kunpeng 920 processors in Huawei Atlas 800T A2 servers).</t>
  </si>
  <si>
    <t>Mistral Medium 3</t>
  </si>
  <si>
    <t>https://mistral.ai/news/mistral-medium-3</t>
  </si>
  <si>
    <t>Multimodal. 50B param estimate based on "Mistral Medium 3 can also be deployed on any cloud, including self-hosted environments of four GPUs and above.". Note: "With the launches of Mistral Small in March and Mistral Medium today, it’s no secret that we’re working on something ‘large’ over the next few weeks. With even our medium-sized model being resoundingly better than flagship open source models such as Llama 4 Maverick, we’re excited to ‘open’ up what’s to come :) "</t>
  </si>
  <si>
    <t>Granite-4.0-Tiny-Preview</t>
  </si>
  <si>
    <t>https://huggingface.co/ibm-granite/granite-4.0-tiny-preview</t>
  </si>
  <si>
    <t>https://www.ibm.com/new/announcements/ibm-granite-4-0-tiny-preview-sneak-peek</t>
  </si>
  <si>
    <t>"the model is only partially trained—it has only seen 2.5T of a planned 15T or more training tokens...Granite 4.0 Tiny-Preview, specifically, is a fine-grained hybrid mixture of experts (MoE) model, with 7B total parameters and only 1B active parameters at inference time... Like its predecessors in Granite 3.2 and Granite 3.3, Granite 4.0 Tiny Preview offers toggleable thinking on and thinking off functionality (though its reasoning-focused post-training is very much incomplete)."</t>
  </si>
  <si>
    <t>Nova Premier</t>
  </si>
  <si>
    <t>https://aws.amazon.com/bedrock/</t>
  </si>
  <si>
    <t>https://assets.amazon.science/e5/e6/ccc5378c42dca467d1abe1628ec9/amazon-nova-premier-technical-report-and-model-card.pdf</t>
  </si>
  <si>
    <r>
      <t/>
    </r>
    <r>
      <rPr>
        <sz val="14"/>
        <color theme="1"/>
        <rFont val="Calibri"/>
        <family val="2"/>
        <scheme val="minor"/>
      </rPr>
      <t xml:space="preserve">Announce: </t>
    </r>
    <r>
      <rPr>
        <u/>
        <sz val="14"/>
        <color rgb="FF1155cc"/>
        <rFont val="Calibri"/>
        <family val="2"/>
        <scheme val="minor"/>
      </rPr>
      <t>https://aws.amazon.com/blogs/aws/amazon-nova-premier-our-most-capable-model-for-complex-tasks-and-teacher-for-model-distillation/</t>
    </r>
  </si>
  <si>
    <t>Phi-4-reasoning-plus</t>
  </si>
  <si>
    <t>https://huggingface.co/microsoft/Phi-4-reasoning-plus</t>
  </si>
  <si>
    <t>https://arxiv.org/abs/2504.21318</t>
  </si>
  <si>
    <t>"Phi-4-reasoning-plus is a state-of-the-art open-weight reasoning model finetuned from Phi-4 using supervised fine-tuning on a dataset of chain-of-thought traces and reinforcement learning."</t>
  </si>
  <si>
    <t>Bamba-9B-v2</t>
  </si>
  <si>
    <t>https://huggingface.co/ibm-ai-platform/Bamba-9B-v2</t>
  </si>
  <si>
    <t>https://huggingface.co/blog/ibm-ai-platform/bamba-9b-v2</t>
  </si>
  <si>
    <t>"During Christmas of 2024, IBM, Princeton, CMU, and UIUC released, Bamba v1, a performant Mamba2 based pretrained model with full data lineage trained to 2T tokens. Since then, we have been busy cooking an update with new datasets. Today, we are excited to release Bamba v2, trained for an additional 1T tokens that significantly improves on Bamba v1. The L1 and L2 leaderboard scores outperform Llama 3.1 8B, which was trained with nearly 5x the amount of data. All of this with the inference speedup that we get from Mamba2 based architecture, which with the latest vLLM is 2-2.5x faster than similar sized transformer models."</t>
  </si>
  <si>
    <t>Qwen3-235B-A22B</t>
  </si>
  <si>
    <t>https://huggingface.co/Qwen/Qwen3-235B-A22B</t>
  </si>
  <si>
    <t>https://github.com/QwenLM/Qwen3/blob/main/Qwen3_Technical_Report.pdf</t>
  </si>
  <si>
    <t>Qwen3-235B-A22B. Qwen3-30B-A3B. "Qwen3 is pre-trained on 36 trillion tokens across 119 languages"</t>
  </si>
  <si>
    <t>Qwen3-0.6B</t>
  </si>
  <si>
    <t>https://huggingface.co/Qwen/Qwen3-0.6B</t>
  </si>
  <si>
    <t>Record data ratio 60,000:1. "Qwen3 is pre-trained on 36 trillion tokens across 119 languages"</t>
  </si>
  <si>
    <t>ERNIE X1 Turbo</t>
  </si>
  <si>
    <t>https://huggingface.co/spaces/PaddlePaddle/ernie_x1_turbo_demo</t>
  </si>
  <si>
    <t>https://www.prnewswire.com/news-releases/baidu-launches-ernie-4-5-turbo-ernie-x1-turbo-and-new-suite-of-ai-tools-to-empower-developers-and-supercharge-ai-innovation-302438584.html</t>
  </si>
  <si>
    <r>
      <t/>
    </r>
    <r>
      <rPr>
        <sz val="14"/>
        <color rgb="FF073763"/>
        <rFont val="Calibri"/>
        <family val="2"/>
        <scheme val="minor"/>
      </rPr>
      <t xml:space="preserve">Announce: </t>
    </r>
    <r>
      <rPr>
        <u/>
        <sz val="14"/>
        <color rgb="FF1155cc"/>
        <rFont val="Calibri"/>
        <family val="2"/>
        <scheme val="minor"/>
      </rPr>
      <t>https://x.com/Baidu_Inc/status/1915603080336597310</t>
    </r>
  </si>
  <si>
    <t>ERNIE 4.5 Turbo</t>
  </si>
  <si>
    <t>https://huggingface.co/spaces/PaddlePaddle/ernie_4.5_turbo_demo</t>
  </si>
  <si>
    <t>MAI-DS-R1</t>
  </si>
  <si>
    <t>https://huggingface.co/microsoft/MAI-DS-R1</t>
  </si>
  <si>
    <t>https://techcommunity.microsoft.com/blog/machinelearningblog/introducing-mai-ds-r1/4405076</t>
  </si>
  <si>
    <t>DeepSeek-R1 base. "MAI-DS-R1, a new open weights DeepSeek R1 model variant... post-trained by the Microsoft AI team to improve its responsiveness on blocked topics and its risk profile, while maintaining its reasoning capabilities and competitive performance."</t>
  </si>
  <si>
    <t>Gemini 2.5 Flash Preview</t>
  </si>
  <si>
    <t>https://aistudio.google.com/prompts/new_chat?model=gemini-2.5-flash-preview-04-17</t>
  </si>
  <si>
    <t>https://deepmind.google/technologies/gemini/flash/</t>
  </si>
  <si>
    <r>
      <t/>
    </r>
    <r>
      <rPr>
        <sz val="14"/>
        <color theme="1"/>
        <rFont val="Calibri"/>
        <family val="2"/>
        <scheme val="minor"/>
      </rPr>
      <t xml:space="preserve">Context in=1M, out=64k. Knowledge cutoff Jan/2025. Codename 'nebula'. Note: Gemini outputs are watermarked. I do not use GDM models. </t>
    </r>
    <r>
      <rPr>
        <u/>
        <sz val="14"/>
        <color rgb="FF1155cc"/>
        <rFont val="Calibri"/>
        <family val="2"/>
        <scheme val="minor"/>
      </rPr>
      <t>https://lifearchitect.ai/watermarking/</t>
    </r>
  </si>
  <si>
    <t>https://chatgpt.com/?model=o4-mini-high</t>
  </si>
  <si>
    <t>https://cdn.openai.com/pdf/2221c875-02dc-4789-800b-e7758f3722c1/o3-and-o4-mini-system-card.pdf</t>
  </si>
  <si>
    <r>
      <t/>
    </r>
    <r>
      <rPr>
        <u/>
        <sz val="14"/>
        <color rgb="FF1155cc"/>
        <rFont val="Calibri"/>
        <family val="2"/>
        <scheme val="minor"/>
      </rPr>
      <t>https://openai.com/index/introducing-o3-and-o4-mini/</t>
    </r>
    <r>
      <rPr>
        <sz val="14"/>
        <color rgb="FF000000"/>
        <rFont val="Calibri"/>
        <family val="2"/>
        <scheme val="minor"/>
      </rPr>
      <t xml:space="preserve"> MMLU shows a translated LOTE.</t>
    </r>
  </si>
  <si>
    <t>o3</t>
  </si>
  <si>
    <t>https://chatgpt.com/?model=o3</t>
  </si>
  <si>
    <r>
      <t/>
    </r>
    <r>
      <rPr>
        <u/>
        <sz val="14"/>
        <color rgb="FF073763"/>
        <rFont val="Calibri"/>
        <family val="2"/>
        <scheme val="minor"/>
      </rPr>
      <t>https://openai.com/index/introducing-o3-and-o4-mini/</t>
    </r>
    <r>
      <rPr>
        <sz val="14"/>
        <color rgb="FF000000"/>
        <rFont val="Calibri"/>
        <family val="2"/>
        <scheme val="minor"/>
      </rPr>
      <t xml:space="preserve"> MMLU shows a translated LOTE.</t>
    </r>
  </si>
  <si>
    <t>BitNet b1.58 2B4T</t>
  </si>
  <si>
    <t>https://huggingface.co/microsoft/bitnet-b1.58-2B-4T-gguf</t>
  </si>
  <si>
    <t>https://arxiv.org/abs/2504.12285</t>
  </si>
  <si>
    <t>"the first open-source, native 1-bit Large Language Model (LLM) at the 2-billion parameter scale. Trained on a corpus of 4 trillion tokens"</t>
  </si>
  <si>
    <t>Granite 3.3 8B Instruct</t>
  </si>
  <si>
    <t>https://huggingface.co/ibm-granite/granite-3.3-8b-instruct</t>
  </si>
  <si>
    <t>https://www.ibm.com/new/announcements/ibm-granite-3-3-speech-recognition-refined-reasoning-rag-loras</t>
  </si>
  <si>
    <t>"Built on top of an updated Granite 3.3 base model and fine-tuned through multi-stage reinforcement learning using TPO and Group Relative Policy Optimization (GRPO), both Granite 3.3 Instruct models demonstrated significant improvement on the highly technical benchmarks conventionally associated with “reasoning” capabilities."</t>
  </si>
  <si>
    <t>GLM-4-0414</t>
  </si>
  <si>
    <t>Zhipu AI (Tsinghua)</t>
  </si>
  <si>
    <t>https://huggingface.co/THUDM/GLM-Z1-32B-0414</t>
  </si>
  <si>
    <t>https://github.com/THUDM/GLM-4/tree/main?tab=readme-ov-file</t>
  </si>
  <si>
    <t>Family: GLM-4-32B-Base-0414, GLM-4-32B-0414, GLM-Z1-32B-0414 (reasoning), GLM-Z1-Rumination-32B-0414 (reasoning + deep research).</t>
  </si>
  <si>
    <t>SEA-LION v3.5 70B R</t>
  </si>
  <si>
    <t>AI Singapore</t>
  </si>
  <si>
    <t>https://huggingface.co/aisingapore/Llama-SEA-LION-v3.5-70B-R</t>
  </si>
  <si>
    <t>https://sea-lion.ai/sea-lion-v3-5-and-updated-v3-enhanced-language-models-for-southeast-asia/</t>
  </si>
  <si>
    <t>"Based on Llama 3.1 70B. SEA-LION v3.5, our first set of hybrid reasoning models trained on Southeast Asian data. Mode selection is managed through the tokenizer’s chat template and offers versatile functionality, handling both complex reasoning tasks and general text generation."</t>
  </si>
  <si>
    <t>GPT-4.1</t>
  </si>
  <si>
    <t>https://platform.openai.com/playground/p/HqaxY9MEZ8Ta0zFbzfASn5bJ?mode=chat</t>
  </si>
  <si>
    <t>https://openai.com/index/gpt-4-1/</t>
  </si>
  <si>
    <t>Outperforms GPT‑4o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t>
  </si>
  <si>
    <t>DolphinGemma</t>
  </si>
  <si>
    <t>https://blog.google/technology/ai/dolphingemma/</t>
  </si>
  <si>
    <t>"trained on Atlantic spotted dolphin sounds, we anticipate its potential utility for researchers studying other cetacean species, like bottlenose or spinner dolphins... Developed by Google, this AI model makes use of specific Google audio technologies: the SoundStream tokenizer efficiently represents dolphin sounds, which are then processed by a model architecture suited for complex sequences. This ~400M parameter model is optimally-sized to run directly on the Pixel phones WDP uses in the field."</t>
  </si>
  <si>
    <t>Apriel-5B</t>
  </si>
  <si>
    <t>https://huggingface.co/ServiceNow-AI/Apriel-5B-Instruct</t>
  </si>
  <si>
    <t>SLAM - ServiceNow Language Models Lab. The first release in the Apriel model family, designed to support research on foundation models.</t>
  </si>
  <si>
    <t>Seed-Thinking-v1.5</t>
  </si>
  <si>
    <t>ByteDance</t>
  </si>
  <si>
    <t>https://github.com/ByteDance-Seed/Seed-Thinking-v1.5</t>
  </si>
  <si>
    <t>200B-A20B. "Seed-Thinking-v1.5, capable of reasoning through thinking before responding, resulting in improved performance on a wide range of benchmarks. Seed-Thinking-v1.5 achieves 86.7 on AIME 2024, 55.0 on Codeforces and 77.3 on GPQA, demonstrating excellent reasoning abilities in STEM and coding."</t>
  </si>
  <si>
    <t>Dream 7B</t>
  </si>
  <si>
    <t>https://github.com/HKUNLP/Dream</t>
  </si>
  <si>
    <t>https://hkunlp.github.io/blog/2025/dream/</t>
  </si>
  <si>
    <t>"with Huawei Noah’s Ark Lab, we [Hong Kong University] release Dream 7B (Diffusion reasoning model), the most powerful open diffusion large language model to date."</t>
  </si>
  <si>
    <t>UltraLong-8B</t>
  </si>
  <si>
    <t>https://huggingface.co/nvidia/Llama-3.1-8B-UltraLong-4M-Instruct</t>
  </si>
  <si>
    <t>https://arxiv.org/abs/2504.06214</t>
  </si>
  <si>
    <t>Llama-3.1-8B-Instruct base. 4M context window.</t>
  </si>
  <si>
    <t>Deepcoder-14B-Preview</t>
  </si>
  <si>
    <t>Together</t>
  </si>
  <si>
    <t>https://www.together.ai/blog/deepcoder</t>
  </si>
  <si>
    <t>Base DeepSeek-R1-Distill-Qwen-14B.</t>
  </si>
  <si>
    <t>Pangu Ultra</t>
  </si>
  <si>
    <t>https://x.com/hbouammar/status/1911370093516185771</t>
  </si>
  <si>
    <t>https://arxiv.org/abs/2504.07866</t>
  </si>
  <si>
    <t>Trained on 8,192 Ascend NPUs (Kunpeng 920 processors in Huawei Atlas 800T A2 servers).</t>
  </si>
  <si>
    <t>Nemotron-H-56B-Base</t>
  </si>
  <si>
    <t>https://huggingface.co/nvidia/Nemotron-H-56B-Base-8K</t>
  </si>
  <si>
    <t>https://arxiv.org/abs/2504.03624</t>
  </si>
  <si>
    <t>https://research.nvidia.com/labs/adlr/nemotronh/</t>
  </si>
  <si>
    <t>Llama-3.1-Nemotron-Ultra-253B</t>
  </si>
  <si>
    <t>https://huggingface.co/nvidia/Llama-3_1-Nemotron-Ultra-253B-v1</t>
  </si>
  <si>
    <t>https://developer.nvidia.com/blog/build-enterprise-ai-agents-with-advanced-open-nvidia-llama-nemotron-reasoning-models/</t>
  </si>
  <si>
    <t>Llama 3.1 405B base. "Llama-3.1-Nemotron-Ultra-253B-v1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t>
  </si>
  <si>
    <t>Llama 4 Behemoth</t>
  </si>
  <si>
    <t>Abandoned</t>
  </si>
  <si>
    <t>https://ai.meta.com/blog/llama-4-multimodal-intelligence/</t>
  </si>
  <si>
    <t>2T-A288B. Announced Apr/2025, abandoned Jul/2025. "We also trained a teacher model, Llama 4 Behemoth, that outperforms GPT-4.5, Claude Sonnet 3.7, and Gemini 2.0 Pro on STEM-focused benchmarks such as MATH-500 and GPQA Diamond... 288B active parameters, 16 experts, and nearly two trillion total parameters."</t>
  </si>
  <si>
    <t>Llama 4 Maverick</t>
  </si>
  <si>
    <t>400B-A17B. "Our most powerful open source multimodal model. 17B active params x 128 experts, 400B total params"</t>
  </si>
  <si>
    <t>Llama 4 Scout</t>
  </si>
  <si>
    <t>200 languages, "includes diverse text, image, and video datasets."</t>
  </si>
  <si>
    <t>Sec-Gemini v1</t>
  </si>
  <si>
    <t>https://security.googleblog.com/2025/04/google-launches-sec-gemini-v1-new.html</t>
  </si>
  <si>
    <t>"Sec-Gemini v1 achieves this by combining Gemini’s advanced capabilities with near real-time cybersecurity knowledge and tooling. This combination allows it to achieve superior performance on key cybersecurity workflows, including incident root cause analysis, threat analysis, and vulnerability impact understanding."</t>
  </si>
  <si>
    <t xml:space="preserve">DeepSeek-GRM-27B </t>
  </si>
  <si>
    <t>to be released</t>
  </si>
  <si>
    <t>https://arxiv.org/abs/2504.02495</t>
  </si>
  <si>
    <t>Gemma-2-27B base. "Self-Principled Critique Tuning (SPCT) to foster scalable reward generation behaviors in GRMs through online RL, to generate principles adaptively and critiques accurately, resulting in DeepSeek-GRM models... The models will be released and open-sourced."</t>
  </si>
  <si>
    <t>Qwerky-72B</t>
  </si>
  <si>
    <t>Featherless AI</t>
  </si>
  <si>
    <t>https://featherless.ai/models/featherless-ai/Qwerky-72B</t>
  </si>
  <si>
    <t>https://featherless.ai/models/featherless-ai/Qwerky-72B/readme</t>
  </si>
  <si>
    <t>"As demonstrated with our Qwerky-72B-Preview and prior models such as QRWKV6-32B Instruct Preview, we have successfully converted Qwen 2.5 72B into a RWKV variant without requiring a pretrain on the base model or retraining the model from scratch. Enabling us to test and validate the more efficient RWKV Linear attention" Dataset from Qwen2.5=18,000 tokens.</t>
  </si>
  <si>
    <t>Cogito 70B</t>
  </si>
  <si>
    <t>Deep Cogito</t>
  </si>
  <si>
    <t>https://huggingface.co/deepcogito/cogito-v1-preview-llama-70B</t>
  </si>
  <si>
    <t>https://www.deepcogito.com/research/cogito-v1-preview</t>
  </si>
  <si>
    <t>"We are releasing early checkpoints of models in sizes 3B, 8B, 14B, 32B and 70B trained using this methodology, starting from pretrained Llama / Qwen base checkpoints."</t>
  </si>
  <si>
    <t>Agentic-Tx</t>
  </si>
  <si>
    <t>https://github.com/google-gemini/gemma-cookbook/blob/main/TxGemma/%5BTxGemma%5DAgentic_Demo_with_Hugging_Face.ipynb</t>
  </si>
  <si>
    <t>https://storage.googleapis.com/research-media/txgemma/txgemma-report.pdf</t>
  </si>
  <si>
    <t>"a therapeutics-focused agentic system powered by Gemini 2.0 Pro. Agentic-Tx is equipped with 18 tools, including: TxGemma as a tool for multi-step reasoning"</t>
  </si>
  <si>
    <t>TxGemma</t>
  </si>
  <si>
    <t>https://huggingface.co/google/txgemma-27b-chat</t>
  </si>
  <si>
    <t>"a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t>
  </si>
  <si>
    <t>Gemini 2.5 Pro Preview</t>
  </si>
  <si>
    <t>https://aistudio.google.com/prompts/new_chat?model=gemini-2.0-pro-exp-02-05</t>
  </si>
  <si>
    <t>https://blog.google/technology/google-deepmind/gemini-model-thinking-updates-march-2025/#building-on-best-gemini</t>
  </si>
  <si>
    <r>
      <t/>
    </r>
    <r>
      <rPr>
        <sz val="14"/>
        <color theme="1"/>
        <rFont val="Calibri"/>
        <family val="2"/>
        <scheme val="minor"/>
      </rPr>
      <t xml:space="preserve">Context in=1M, out=64k. Knowledge cutoff Jan/2025. HLE SOTA. Codename 'nebula'. Note: Gemini outputs are watermarked. I do not use GDM models. </t>
    </r>
    <r>
      <rPr>
        <u/>
        <sz val="14"/>
        <color rgb="FF1155cc"/>
        <rFont val="Calibri"/>
        <family val="2"/>
        <scheme val="minor"/>
      </rPr>
      <t>https://lifearchitect.ai/watermarking/</t>
    </r>
  </si>
  <si>
    <t>DeepSeek-V3 0324</t>
  </si>
  <si>
    <t>https://huggingface.co/deepseek-ai/DeepSeek-V3-0324</t>
  </si>
  <si>
    <t>Non-reasoning. Significant increase in benchmark performance compared to original V3 from Dec/2024: MMLU-Pro: 75.9 ➜ 81.2, GPQA: 59.1 ➜ 68.4. 37B active.</t>
  </si>
  <si>
    <t>Llama-3.3-Nemotron-Super-49B-v1</t>
  </si>
  <si>
    <t>https://huggingface.co/nvidia/Llama-3_3-Nemotron-Super-49B-v1</t>
  </si>
  <si>
    <t>https://build.nvidia.com/nvidia/llama-3_3-nemotron-super-49b-v1/modelcard</t>
  </si>
  <si>
    <t>Meta Llama-3.3-70B-Instruct derivative "that is post trained for reasoning, human chat preferences, and tasks, such as RAG and tool calling. The model supports a context length of 128K tokens."</t>
  </si>
  <si>
    <t>EXAONE Deep</t>
  </si>
  <si>
    <t>https://huggingface.co/LGAI-EXAONE/EXAONE-Deep-32B</t>
  </si>
  <si>
    <t>https://arxiv.org/abs/2503.12524</t>
  </si>
  <si>
    <r>
      <t/>
    </r>
    <r>
      <rPr>
        <sz val="14"/>
        <color rgb="FF073763"/>
        <rFont val="Calibri"/>
        <family val="2"/>
        <scheme val="minor"/>
      </rPr>
      <t xml:space="preserve">“EXAONE”=“EXpert AI for EveryONE”. Training tokens/ratio dropped from EXAONE-3 7.8B with 8T (Aug/2024) to 3.5 (Dec/2024) 7.8B with 9T to 32B (also Deep) with 6.5T. Announce: </t>
    </r>
    <r>
      <rPr>
        <u/>
        <sz val="14"/>
        <color rgb="FF1155cc"/>
        <rFont val="Calibri"/>
        <family val="2"/>
        <scheme val="minor"/>
      </rPr>
      <t>https://www.lgresearch.ai/news/view?seq=543</t>
    </r>
  </si>
  <si>
    <t>Mistral Small 3.1</t>
  </si>
  <si>
    <t>https://huggingface.co/mistralai/Mistral-Small-3.1-24B-Instruct-2503</t>
  </si>
  <si>
    <t>https://mistral.ai/news/mistral-small-3-1</t>
  </si>
  <si>
    <t>"Mistral Small 3.1 (2503) adds state-of-the-art vision understanding and enhances long context capabilities up to 128k tokens without compromising text performance."</t>
  </si>
  <si>
    <t>ERNIE 4.5</t>
  </si>
  <si>
    <t>https://huggingface.co/baidu/ERNIE-4.5-VL-424B-A47B-PT</t>
  </si>
  <si>
    <t>https://www.prnewswire.com/news-releases/baidu-unveils-ernie-4-5-and-reasoning-model-ernie-x1--makes-ernie-bot-free-ahead-of-schedule-302402490.html</t>
  </si>
  <si>
    <r>
      <t/>
    </r>
    <r>
      <rPr>
        <sz val="14"/>
        <color rgb="FF073763"/>
        <rFont val="Calibri"/>
        <family val="2"/>
        <scheme val="minor"/>
      </rPr>
      <t xml:space="preserve">424B-A47B. Announce: </t>
    </r>
    <r>
      <rPr>
        <u/>
        <sz val="14"/>
        <color rgb="FF1155cc"/>
        <rFont val="Calibri"/>
        <family val="2"/>
        <scheme val="minor"/>
      </rPr>
      <t>https://x.com/Baidu_Inc/status/1901094083508220035</t>
    </r>
  </si>
  <si>
    <t>X1</t>
  </si>
  <si>
    <t>https://yiyan.baidu.com/</t>
  </si>
  <si>
    <t>OLMo 2 32B</t>
  </si>
  <si>
    <t>https://playground.allenai.org/?model=olmo-2-0325-32b-instruct</t>
  </si>
  <si>
    <t>https://allenai.org/blog/olmo2-32B</t>
  </si>
  <si>
    <t>"the first fully-open model (all data, code, weights, and details are freely available) to outperform GPT3.5-Turbo and GPT-4o mini on a suite of popular, multi-skill academic benchmarks. It is comparable to the leading open-weight models while requiring only a fraction of training compute."</t>
  </si>
  <si>
    <t>Command A</t>
  </si>
  <si>
    <t>Cohere</t>
  </si>
  <si>
    <t>https://dashboard.cohere.com/playground/chat</t>
  </si>
  <si>
    <t>https://huggingface.co/CohereForAI/c4ai-command-a-03-2025</t>
  </si>
  <si>
    <t>Context=256k. "Command A is an open weights research release of a 111 billion parameter model optimized for demanding enterprises that require fast, secure, and high-quality AI. Compared to other leading proprietary and open-weights models Command A delivers maximum performance with minimum hardware costs, excelling on business-critical agentic and multilingual tasks while‬ being deployable on just two GPUs."</t>
  </si>
  <si>
    <t>Gemini Robotics</t>
  </si>
  <si>
    <t>https://storage.googleapis.com/deepmind-media/gemini-robotics/gemini_robotics_report.pdf</t>
  </si>
  <si>
    <t>Gemini 2.0 Pro (cloud). "The second model is Gemini Robotics, a state-of-theart Vision-Language-Action (VLA) model that connects strong embodied reasoning priors to dexterous low-level control of real-world robots to solve challenging manipulation tasks. As a generalist VLA, Gemini Robotics can perform a wide array of diverse and complicated tasks, while also closely following language guidance and generalizing to distribution shifts in instructions, visuals, and motions. To emphasize the flexibility and generality of the Gemini Robotics models, we also introduce an optional specialization stage, which demonstrates how Gemini Robotics can be adapted for extreme dexterity, for advanced reasoning in difficult generalization settings, and for controlling completely new robot embodiments."</t>
  </si>
  <si>
    <t>Gemini Robotics-ER</t>
  </si>
  <si>
    <t>Gemini 2.0 Flash (on device). "The first model is Gemini Robotics-ER, a VLM with strong embodied reasoning capabilities at its core, exhibiting generalization across a wide range of embodied reasoning tasks while also maintaining its core foundation model capabilities. Gemini Robotics-ER exhibits strong performance on multiple capabilities critical for understanding the physical world, ranging from 3D perception to detailed pointing to robot state estimation and affordance prediction via code."</t>
  </si>
  <si>
    <t>Gemma 3</t>
  </si>
  <si>
    <t>https://huggingface.co/ggml-org/gemma-3-27b-it-GGUF</t>
  </si>
  <si>
    <t>https://storage.googleapis.com/deepmind-media/gemma/Gemma3Report.pdf</t>
  </si>
  <si>
    <t>Trained on 1T more tokens than Gemma 2. "introduces vision understanding abilities, a wider coverage of languages and longer context – at least 128K tokens."</t>
  </si>
  <si>
    <t>Reka Flash 3</t>
  </si>
  <si>
    <t>https://huggingface.co/RekaAI/reka-flash-3</t>
  </si>
  <si>
    <t>"performs competitively with proprietary models such as OpenAI o1-mini, making it a good foundation to build applications that require low latency or on-device deployment. It is currently the best open model in its size category."</t>
  </si>
  <si>
    <t>QwQ-32B</t>
  </si>
  <si>
    <t>https://huggingface.co/Qwen/QwQ-32B</t>
  </si>
  <si>
    <t>https://qwenlm.github.io/blog/qwq-32b/</t>
  </si>
  <si>
    <t>Update to QwQ-32B-Preview released Nov/2024. Scores 1/5 on latest ALPrompt 2024 H2. Qwen with Question=QwQ</t>
  </si>
  <si>
    <t>Jamba 1.6</t>
  </si>
  <si>
    <t>https://huggingface.co/ai21labs/AI21-Jamba-Large-1.6</t>
  </si>
  <si>
    <t>"The AI21 Jamba 1.6 family of models is state-of-the-art, hybrid SSM-Transformer instruction following foundation models. The Jamba models are the most powerful &amp; efficient long-context models on the market, which deliver up to 2.5X faster inference than leading models of comparable sizes."</t>
  </si>
  <si>
    <t>Instella-3B</t>
  </si>
  <si>
    <t>AMD</t>
  </si>
  <si>
    <t>https://huggingface.co/amd/Instella-3B</t>
  </si>
  <si>
    <t>https://rocm.blogs.amd.com/artificial-intelligence/introducing-instella-3B/README.html</t>
  </si>
  <si>
    <t>"trained from scratch on AMD Instinct™ MI300X GPUs. Instella models outperform existing fully open models of similar sizes and achieve competitive performance compared to state-of-the-art open-weight models such as Llama-3.2-3B, Gemma-2-2B, and Qwen-2.5-3B, including their instruction-tuned counterparts."</t>
  </si>
  <si>
    <t>Babel-83B</t>
  </si>
  <si>
    <t>https://huggingface.co/Tower-Babel/Babel-83B</t>
  </si>
  <si>
    <t>https://arxiv.org/abs/2503.00865</t>
  </si>
  <si>
    <t>"top 25 languages by number of speakers, including English, Chinese, Hindi, Spanish, Arabic, French, Bengali, Portuguese, Russian, Urdu, Indonesian, German, Japanese, Swahili, Filipino, Tamil, Vietnamese, Turkish, Italian, Javanese, Korean, Hausa, Persian, Thai, and Burmese. These 25 languages support over 90% of the global population..."</t>
  </si>
  <si>
    <t>Granite-3.2-8B-Instruct</t>
  </si>
  <si>
    <t>https://huggingface.co/collections/ibm-granite/granite-32-language-models-67b3bc8c13508f6d064cff9a</t>
  </si>
  <si>
    <t>https://www.ibm.com/new/announcements/ibm-granite-3-2-open-source-reasoning-and-vision</t>
  </si>
  <si>
    <t>"The new Granite 3.2 8B Instruct [offers] experimental chain-of-thought reasoning capabilities "</t>
  </si>
  <si>
    <t>C4AI Command R7B Arabic</t>
  </si>
  <si>
    <t>https://huggingface.co/CohereForAI/c4ai-command-r7b-arabic-02-2025</t>
  </si>
  <si>
    <t>"C4AI Command R7B Arabic is an open weights research release of a 7 billion parameter custom model with advanced capabilities optimized for the Arabic language (MSA dialect) along with English. The model excels at tasks that enterprises care about: instruction following, length control, RAG, and responding in the correct language. It also demonstrates excellent general purpose knowledge and understanding of Arabic language and cultures."</t>
  </si>
  <si>
    <t>https://chat.com/</t>
  </si>
  <si>
    <t>https://openai.com/index/gpt-4-5-system-card/</t>
  </si>
  <si>
    <r>
      <t/>
    </r>
    <r>
      <rPr>
        <sz val="14"/>
        <color theme="1"/>
        <rFont val="Calibri"/>
        <family val="2"/>
        <scheme val="minor"/>
      </rPr>
      <t xml:space="preserve">"Our largest and best model for chat" </t>
    </r>
    <r>
      <rPr>
        <u/>
        <sz val="14"/>
        <color rgb="FF1155cc"/>
        <rFont val="Calibri"/>
        <family val="2"/>
        <scheme val="minor"/>
      </rPr>
      <t>https://openai.com/index/introducing-gpt-4-5/</t>
    </r>
    <r>
      <rPr>
        <sz val="14"/>
        <color theme="1"/>
        <rFont val="Calibri"/>
        <family val="2"/>
        <scheme val="minor"/>
      </rPr>
      <t xml:space="preserve"> "GPT-4.5 is not a frontier model, but it is OpenAI’s largest LLM, improving on GPT-4’s computational efficiency by more than 10x. While GPT-4.5 demonstrates increased world knowledge, improved writing ability, and refined personality over previous models, it does not introduce net-new frontier capabilities compared to previous reasoning releases, and its performance is below that of o1, o3-mini, and deep research on most preparedness evaluations."</t>
    </r>
  </si>
  <si>
    <t>Hunyuan T1</t>
  </si>
  <si>
    <t>https://cloud.tencent.com/apply/p/i2zophus2x8</t>
  </si>
  <si>
    <t>https://mp.weixin.qq.com/s/BwQkXpEitOm1Piz60SE-4A</t>
  </si>
  <si>
    <t>"Based on Turbo S, by introducing technologies such as long thinking chains, retrieval enhancement and reinforcement learning, Hunyuan also launched the reasoning model T1 with deep thinking. This model has been fully launched on Tencent Yuanbao （ Tencent Hunyuan T1 model is open to all users ） , users can choose Deepseek R1 or Tencent Hunyuan T1 model to answer. The official version of Tencent Hunyuan T1 model will be launched soon, providing API access and other services to the outside world."</t>
  </si>
  <si>
    <t>Hunyuan Turbo S</t>
  </si>
  <si>
    <t>Fast thinking ("Instant reply"). "This is also the first time in the industry that the Mamba architecture has been successfully applied losslessly to a very large MoE model."</t>
  </si>
  <si>
    <t>Phi-4-multimodal</t>
  </si>
  <si>
    <t>https://huggingface.co/microsoft/Phi-4-multimodal-instruct</t>
  </si>
  <si>
    <t>https://huggingface.co/microsoft/Phi-4-multimodal-instruct/blob/main/phi_4_mm.tech_report.02252025.pdf</t>
  </si>
  <si>
    <r>
      <t/>
    </r>
    <r>
      <rPr>
        <sz val="14"/>
        <color rgb="FF073763"/>
        <rFont val="Calibri"/>
        <family val="2"/>
        <scheme val="minor"/>
      </rPr>
      <t xml:space="preserve">"Training data: 5T tokens, 2.3M speech hours, and 1.1T image-text tokens" Announce: </t>
    </r>
    <r>
      <rPr>
        <u/>
        <sz val="14"/>
        <color rgb="FF1155cc"/>
        <rFont val="Calibri"/>
        <family val="2"/>
        <scheme val="minor"/>
      </rPr>
      <t>https://azure.microsoft.com/en-us/blog/empowering-innovation-the-next-generation-of-the-phi-family/</t>
    </r>
  </si>
  <si>
    <t>Phi-4-mini</t>
  </si>
  <si>
    <t>https://huggingface.co/microsoft/Phi-4-mini-instruct</t>
  </si>
  <si>
    <r>
      <t/>
    </r>
    <r>
      <rPr>
        <sz val="14"/>
        <color rgb="FF073763"/>
        <rFont val="Calibri"/>
        <family val="2"/>
        <scheme val="minor"/>
      </rPr>
      <t xml:space="preserve">"Phi-4-mini’s training data includes a wide variety of sources, totaling 5 trillion tokens, and is a combination of publicly available documents filtered for quality, selected high-quality educational data, and code newly created synthetic, “textbook-like” data for the purpose of teaching math, coding, common sense reasoning, general knowledge of the world (e.g., science, daily activities, theory of mind, etc.) high quality chat format supervised data covering various topics to reflect human preferences" Announce: </t>
    </r>
    <r>
      <rPr>
        <u/>
        <sz val="14"/>
        <color rgb="FF1155cc"/>
        <rFont val="Calibri"/>
        <family val="2"/>
        <scheme val="minor"/>
      </rPr>
      <t>https://azure.microsoft.com/en-us/blog/empowering-innovation-the-next-generation-of-the-phi-family/</t>
    </r>
  </si>
  <si>
    <t>Mercury Coder Small</t>
  </si>
  <si>
    <t>https://www.inceptionlabs.ai/news</t>
  </si>
  <si>
    <r>
      <t/>
    </r>
    <r>
      <rPr>
        <sz val="14"/>
        <color theme="1"/>
        <rFont val="Calibri"/>
        <family val="2"/>
        <scheme val="minor"/>
      </rPr>
      <t xml:space="preserve">Diffusion large language model (dLLM). Very low 'IQ' performance (0/5 on all ALPrompts). Fast: 1,000tok/s. </t>
    </r>
    <r>
      <rPr>
        <u/>
        <sz val="14"/>
        <color rgb="FF1155cc"/>
        <rFont val="Calibri"/>
        <family val="2"/>
        <scheme val="minor"/>
      </rPr>
      <t>https://x.com/inceptionailabs/status/1894847921474150456</t>
    </r>
  </si>
  <si>
    <t>QwQ-Max-Preview</t>
  </si>
  <si>
    <t>https://qwenlm.github.io/blog/qwq-max-preview/</t>
  </si>
  <si>
    <r>
      <t/>
    </r>
    <r>
      <rPr>
        <sz val="14"/>
        <color rgb="FF073763"/>
        <rFont val="Calibri"/>
        <family val="2"/>
        <scheme val="minor"/>
      </rPr>
      <t xml:space="preserve">"As a sneak peek into our upcoming QwQ-Max release, this version offers a glimpse of its enhanced capabilities, with ongoing refinements and an official Apache 2.0-licensed open-source launch of QwQ-Max and Qwen2.5-Max planned soon." Announce: </t>
    </r>
    <r>
      <rPr>
        <u/>
        <sz val="14"/>
        <color rgb="FF1155cc"/>
        <rFont val="Calibri"/>
        <family val="2"/>
        <scheme val="minor"/>
      </rPr>
      <t>https://x.com/Alibaba_Qwen/status/1894130603513319842</t>
    </r>
  </si>
  <si>
    <t>Claude 3.7 Sonnet</t>
  </si>
  <si>
    <t>https://assets.anthropic.com/m/785e231869ea8b3b/original/claude-3-7-sonnet-system-card.pdf</t>
  </si>
  <si>
    <r>
      <t/>
    </r>
    <r>
      <rPr>
        <sz val="14"/>
        <color rgb="FF073763"/>
        <rFont val="Calibri"/>
        <family val="2"/>
        <scheme val="minor"/>
      </rPr>
      <t xml:space="preserve">Knowledge cutoff now November 2024 (was April 2024). "the first hybrid reasoning model on the market." </t>
    </r>
    <r>
      <rPr>
        <u/>
        <sz val="14"/>
        <color rgb="FF1155cc"/>
        <rFont val="Calibri"/>
        <family val="2"/>
        <scheme val="minor"/>
      </rPr>
      <t>https://www.anthropic.com/news/claude-3-7-sonnet</t>
    </r>
  </si>
  <si>
    <t>Moonlight</t>
  </si>
  <si>
    <t>https://huggingface.co/moonshotai/Moonlight-16B-A3B</t>
  </si>
  <si>
    <t>https://github.com/MoonshotAI/Moonlight/blob/master/Moonlight.pdf</t>
  </si>
  <si>
    <r>
      <t/>
    </r>
    <r>
      <rPr>
        <sz val="14"/>
        <color rgb="FF000000"/>
        <rFont val="Calibri"/>
        <family val="2"/>
        <scheme val="minor"/>
      </rPr>
      <t xml:space="preserve">"Scaling law experiments indicate that Muon achieves ∼ 2× computational efficiency compared to AdamW with compute optimal training." </t>
    </r>
    <r>
      <rPr>
        <u/>
        <sz val="14"/>
        <color rgb="FF073763"/>
        <rFont val="Calibri"/>
        <family val="2"/>
        <scheme val="minor"/>
      </rPr>
      <t>https://github.com/MoonshotAI/Moonlight?tab=readme-ov-file</t>
    </r>
  </si>
  <si>
    <t>S2</t>
  </si>
  <si>
    <t>https://www.figure.ai/news/helix</t>
  </si>
  <si>
    <t>Likely based on OpenVLA 7B (Jun/2024, based on Llama 2 7B) or Molmo 7B-O (Sep/2024, based on OLMo-7B-1024 with OpenAI CLIP). "high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</si>
  <si>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S1</t>
  </si>
  <si>
    <t>"high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</si>
  <si>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Baichuan-M1-14B</t>
  </si>
  <si>
    <t>https://huggingface.co/baichuan-inc/Baichuan-M1-14B-Base</t>
  </si>
  <si>
    <t>https://arxiv.org/abs/2502.12671</t>
  </si>
  <si>
    <t>Medical LLM. Huge increase to 20T tokens for 14B params standard.</t>
  </si>
  <si>
    <t>Evo 2</t>
  </si>
  <si>
    <t>Arc Institute</t>
  </si>
  <si>
    <t>https://github.com/arcinstitute/evo2</t>
  </si>
  <si>
    <t>"Evo 2 is a state of the art DNA language model for long context modeling and design. Evo 2 models DNA sequences at single-nucleotide resolution at up to 1 million base pair context length using the StripedHyena 2 architecture. Evo 2 was pretrained using Savanna. Evo 2 was trained autoregressively on OpenGenome2, a dataset containing 8.8 trillion tokens from all domains of life." Greg Brockman co-author.</t>
  </si>
  <si>
    <t>R1 1776</t>
  </si>
  <si>
    <t>Perplexity</t>
  </si>
  <si>
    <t>https://huggingface.co/perplexity-ai/r1-1776</t>
  </si>
  <si>
    <t>https://www.perplexity.ai/hub/blog/open-sourcing-r1-1776</t>
  </si>
  <si>
    <t>Censorship reduced, based on DeepSeek-R1.</t>
  </si>
  <si>
    <t>Grok-3</t>
  </si>
  <si>
    <t>https://x.ai/blog/grok-3</t>
  </si>
  <si>
    <r>
      <t/>
    </r>
    <r>
      <rPr>
        <u/>
        <sz val="14"/>
        <color rgb="FF1155cc"/>
        <rFont val="Calibri"/>
        <family val="2"/>
        <scheme val="minor"/>
      </rPr>
      <t>https://x.ai/blog/grok-3</t>
    </r>
    <r>
      <rPr>
        <sz val="14"/>
        <color rgb="FF073763"/>
        <rFont val="Calibri"/>
        <family val="2"/>
        <scheme val="minor"/>
      </rPr>
      <t xml:space="preserve"> My full analysis: </t>
    </r>
    <r>
      <rPr>
        <u/>
        <sz val="14"/>
        <color rgb="FF1155cc"/>
        <rFont val="Calibri"/>
        <family val="2"/>
        <scheme val="minor"/>
      </rPr>
      <t>https://lifearchitect.ai/whats-in-grok/</t>
    </r>
  </si>
  <si>
    <t>Mistral Saba</t>
  </si>
  <si>
    <t>https://mistral.ai/en/news/mistral-saba</t>
  </si>
  <si>
    <t>"Mistral Saba is a 24B parameter model trained on meticulously curated datasets from across the Middle East and South Asia."</t>
  </si>
  <si>
    <t>Salamandra</t>
  </si>
  <si>
    <t>Barcelona Supercomputing Center</t>
  </si>
  <si>
    <t>https://github.com/langtech-bsc/salamandra</t>
  </si>
  <si>
    <t>https://arxiv.org/abs/2502.08489</t>
  </si>
  <si>
    <t>"The final [pre-training] dataset is composed of 55.51% FineWeb-Edu, 25.32% Colossal Oscar, 8.38% Wikipedia, 7.17% Aya Collection, and 3.63% StarCoder, totalling 315 billion tokens."</t>
  </si>
  <si>
    <t>DeepHermes 3 Preview</t>
  </si>
  <si>
    <t>https://huggingface.co/NousResearch/DeepHermes-3-Llama-3-8B-Preview</t>
  </si>
  <si>
    <r>
      <t/>
    </r>
    <r>
      <rPr>
        <sz val="14"/>
        <color rgb="FF073763"/>
        <rFont val="Calibri"/>
        <family val="2"/>
        <scheme val="minor"/>
      </rPr>
      <t xml:space="preserve">Based on Llama 3 8B. GPQA score based on GPT-4o's analysis of the chart :-/ "one of the first models in the world to unify Reasoning (long chains of thought that improve answer accuracy) and normal LLM response modes into one model." </t>
    </r>
    <r>
      <rPr>
        <u/>
        <sz val="14"/>
        <color rgb="FF1155cc"/>
        <rFont val="Calibri"/>
        <family val="2"/>
        <scheme val="minor"/>
      </rPr>
      <t>https://x.com/NousResearch/status/1890148004029759612</t>
    </r>
  </si>
  <si>
    <t>OREAL-32B</t>
  </si>
  <si>
    <t>https://huggingface.co/internlm/OREAL-32B</t>
  </si>
  <si>
    <t>https://arxiv.org/abs/2502.06781</t>
  </si>
  <si>
    <t xml:space="preserve">OREAL=Outcome REwArd-based reinforcement Learning. </t>
  </si>
  <si>
    <t>Gemini 2.0 Pro</t>
  </si>
  <si>
    <t>https://blog.google/technology/google-deepmind/gemini-model-updates-february-2025/</t>
  </si>
  <si>
    <r>
      <t/>
    </r>
    <r>
      <rPr>
        <sz val="14"/>
        <color theme="1"/>
        <rFont val="Calibri"/>
        <family val="2"/>
        <scheme val="minor"/>
      </rPr>
      <t xml:space="preserve">Context=2M. Disappointing benchmarks, this is the 'pro' (medium) not 'ultra' (large) model. Note: Gemini outputs are watermarked. I do not use GDM models. </t>
    </r>
    <r>
      <rPr>
        <u/>
        <sz val="14"/>
        <color rgb="FF1155cc"/>
        <rFont val="Calibri"/>
        <family val="2"/>
        <scheme val="minor"/>
      </rPr>
      <t>https://lifearchitect.ai/watermarking/</t>
    </r>
  </si>
  <si>
    <t>s1-32B</t>
  </si>
  <si>
    <t>https://github.com/simplescaling/s1</t>
  </si>
  <si>
    <t>https://arxiv.org/abs/2501.19393</t>
  </si>
  <si>
    <t>Based on Qwen2.5-32B-Instruct. "we curate a small dataset s1K of 1,000 questions paired with reasoning traces relying on three criteria we validate through ablations: difficulty, diversity, and quality. Second, we develop budget forcing to control test-time compute by forcefully terminating the model’s thinking process or lengthening it by appending “Wait” multiple times to the model’s generation when it tries to end. This can lead the model to doublecheck its answer, often fixing incorrect reasoning steps. After supervised finetuning the Qwen2.5-32B-Instruct language model on s1K and equipping it with budget forcing, our model s1-32B exceeds o1-preview on competition math questions by up to 27% (MATH and AIME24)."</t>
  </si>
  <si>
    <t>o3-mini</t>
  </si>
  <si>
    <t>https://chatgpt.com/?model=o3-mini</t>
  </si>
  <si>
    <t>https://openai.com/index/o3-mini-system-card/</t>
  </si>
  <si>
    <t>GPQA=79.7 for 'high' thinking. ALPrompt 2025H1=1/5. My analysis is that this model’s performance is very poor, with responses often becoming disordered and illogical. OpenAI compared o3-mini to OpenAI’s software engineers, and it performed very poorly (o3-mini=0%, o1=12%). "o3-mini models have the lowest performance, with scores of 0%… We suspect o3-mini’s low performance is due to poor instruction following and confusion about specifying tools in the correct format. The model often attempts to use a hallucinated bash tool rather than python despite constant, multi-shot prompting and feedback that this format is incorrect. This resulted in long conversations that likely hurt its performance." (o3-mini paper, p31)</t>
  </si>
  <si>
    <t>Mistral Small 3</t>
  </si>
  <si>
    <t>https://huggingface.co/mistralai/Mistral-Small-24B-Instruct-2501</t>
  </si>
  <si>
    <t>MMLU=base, -Pro=base, GPQA=instruct. "When quantized, Mistral Small 3 can be run privately on a single RTX 4090 or a Macbook with 32GB RAM." "Mistral Small 3 is neither trained with RL nor synthetic data"</t>
  </si>
  <si>
    <t>Llama-3.1-Tulu-3-405B</t>
  </si>
  <si>
    <t>https://playground.allenai.org/</t>
  </si>
  <si>
    <t>https://huggingface.co/allenai/Llama-3.1-Tulu-3-405B</t>
  </si>
  <si>
    <t>Lower MMLU score than Llama 3.1 405B base.</t>
  </si>
  <si>
    <t>Qwen2.5-Max</t>
  </si>
  <si>
    <t>https://chat.qwenlm.ai/</t>
  </si>
  <si>
    <t>https://qwenlm.github.io/blog/qwen2.5-max/</t>
  </si>
  <si>
    <t>"Qwen2.5-Max emerges as a milestone in MoE development, featuring an impressive 325 billion parameters. The model has been pretrained on over 20 trillion tokens and further refined with advanced post-training methodologies such as Supervised Fine-Tuning (SFT) and Reinforcement Learning from Human Feedback (RLHF)." https://wandb.ai/byyoung3/ml-news/reports/Qwen2-5-Max-Advancing-Large-Scale-Mixture-of-Expert-Models---VmlldzoxMTEyMjUyNg</t>
  </si>
  <si>
    <t>EvaByte</t>
  </si>
  <si>
    <t>SambaNova</t>
  </si>
  <si>
    <t>https://huggingface.co/EvaByte/EvaByte</t>
  </si>
  <si>
    <t>https://hkunlp.github.io/blog/2025/evabyte/</t>
  </si>
  <si>
    <t>"efficient byte-level processing at scale... [compared to tokenizer-based LMs:] 5x less training data, excelling in coding tasks, and decoding up to 2x faster. Its token-free design also brings added flexibility, avoiding tokenizer quirks while naturally extending to multimodal applications without any architecture tweaks."</t>
  </si>
  <si>
    <t>UI-TARS-72B</t>
  </si>
  <si>
    <t>https://github.com/bytedance/UI-TARS-desktop?tab=readme-ov-file</t>
  </si>
  <si>
    <t>https://arxiv.org/abs/2501.12326</t>
  </si>
  <si>
    <t>VLM. SoTA agent 'computer use' model to 23/Jan/2024.</t>
  </si>
  <si>
    <t>Doubao-1.5-pro</t>
  </si>
  <si>
    <t>https://www.volcengine.com/docs/82379/1330310#474f7dec</t>
  </si>
  <si>
    <t>https://team.doubao.com/en/special/doubao_1_5_pro</t>
  </si>
  <si>
    <t>Includes 2.4B param ViT. "Doubao-1.5-pro uses a sparse MoE architecture. In the pre-training stage, the performance of the MoE model activated with only a small number of parameters can exceed that of ultra-large dense pre-trained models such as Llama3.1-405B. Through the study of the sparsity scaling law, the team determined the sparse ratio that balances performance and efficiency, and determined based on the MoE scaling law that a model activated with a small number of parameters can achieve the performance of a world-class model."</t>
  </si>
  <si>
    <t>Kimi k1.5</t>
  </si>
  <si>
    <t>https://github.com/MoonshotAI/kimi-k1.5?tab=readme-ov-file</t>
  </si>
  <si>
    <t>https://arxiv.org/abs/2501.12599</t>
  </si>
  <si>
    <t>"our system achieves state-of-the-art reasoning performance across multiple benchmarks and modalities---e.g., 77.5 on AIME, 96.2 on MATH 500, 94-th percentile on Codeforces, 74.9 on MathVista---matching OpenAI's o1". GPQA score is my estimate from pp13–14, noting that "the scores above come from an internal long-cot model with much smaller model size than k1.5 long-CoT model."</t>
  </si>
  <si>
    <t>DeepSeek-R1</t>
  </si>
  <si>
    <t>https://github.com/deepseek-ai/DeepSeek-R1/blob/main/DeepSeek_R1.pdf</t>
  </si>
  <si>
    <t>"DeepSeek-R1 achieves performance comparable to OpenAI-o1 across math, code, and reasoning tasks. To support the research community, we have open-sourced DeepSeek-R1-Zero, DeepSeek-R1, and six dense models distilled from DeepSeek-R1 based on Llama and Qwen. DeepSeek-R1-Distill-Qwen-32B outperforms OpenAI-o1-mini across various benchmarks"</t>
  </si>
  <si>
    <t>GPT-4b</t>
  </si>
  <si>
    <t>https://www.technologyreview.com/2025/01/17/1110086/openai-has-created-an-ai-model-for-longevity-science/</t>
  </si>
  <si>
    <r>
      <t/>
    </r>
    <r>
      <rPr>
        <sz val="14"/>
        <color rgb="FF073763"/>
        <rFont val="Calibri"/>
        <family val="2"/>
        <scheme val="minor"/>
      </rPr>
      <t xml:space="preserve">Protein sequence model. "The model was trained on examples of protein sequences from many species, as well as information on which proteins tend to interact with one another. While that’s a lot of data, it’s just a fraction of what OpenAI’s flagship chatbots were trained on, making GPT-4b an example of a “small language model” that works with a focused data set." </t>
    </r>
    <r>
      <rPr>
        <u/>
        <sz val="14"/>
        <color rgb="FF1155cc"/>
        <rFont val="Calibri"/>
        <family val="2"/>
        <scheme val="minor"/>
      </rPr>
      <t>https://www.technologyreview.com/2025/01/17/1110086/openai-has-created-an-ai-model-for-longevity-science/</t>
    </r>
  </si>
  <si>
    <t>Helium-1</t>
  </si>
  <si>
    <t>Kyutai</t>
  </si>
  <si>
    <t>https://huggingface.co/kyutai/helium-1-preview-2b</t>
  </si>
  <si>
    <t>https://kyutai.org/2025/01/13/helium.html</t>
  </si>
  <si>
    <t>"Helium-1 preview, an initial version of our new backbone language model with 2B parameters, targeting edge and mobile devices... We use token level distillation of a 7B parameters model to train Helium-1 preview."</t>
  </si>
  <si>
    <t>InternLM3</t>
  </si>
  <si>
    <t>https://huggingface.co/internlm/internlm3-8b-instruct</t>
  </si>
  <si>
    <r>
      <t/>
    </r>
    <r>
      <rPr>
        <sz val="14"/>
        <color rgb="FF073763"/>
        <rFont val="Calibri"/>
        <family val="2"/>
        <scheme val="minor"/>
      </rPr>
      <t xml:space="preserve">"InternLM3 is trained on only 4 trillion high-quality tokens, saving more than 75% of the training cost compared to other LLMs of similar scale." Playground: </t>
    </r>
    <r>
      <rPr>
        <u/>
        <sz val="14"/>
        <color rgb="FF1155cc"/>
        <rFont val="Calibri"/>
        <family val="2"/>
        <scheme val="minor"/>
      </rPr>
      <t>https://internlm-chat.intern-ai.org.cn/</t>
    </r>
    <r>
      <rPr>
        <sz val="14"/>
        <color rgb="FF073763"/>
        <rFont val="Calibri"/>
        <family val="2"/>
        <scheme val="minor"/>
      </rPr>
      <t xml:space="preserve"> </t>
    </r>
  </si>
  <si>
    <t>MiniMax-Text-01</t>
  </si>
  <si>
    <t>https://github.com/MiniMax-AI/MiniMax-01</t>
  </si>
  <si>
    <t>https://arxiv.org/abs/2501.08313</t>
  </si>
  <si>
    <r>
      <t/>
    </r>
    <r>
      <rPr>
        <sz val="14"/>
        <color theme="1"/>
        <rFont val="Calibri"/>
        <family val="2"/>
        <scheme val="minor"/>
      </rPr>
      <t xml:space="preserve">A45.9B. "The pre-training corpus for MiniMax-Text-01 encompasses a comprehensive and meticulously curated dataset, incorporating diverse sources including academic literature, books, web content, and programming code... repeatedly training high-quality documents can lead to enhanced downstream performance, with certain high-quality domains being trained up to 50 times... Our findings indicate that low-quality data suffer a substantial decrease in performance after training for more than two epochs, while high-quality data can be effectively trained for up to four epochs" Login playground: </t>
    </r>
    <r>
      <rPr>
        <u/>
        <sz val="14"/>
        <color rgb="FF1155cc"/>
        <rFont val="Calibri"/>
        <family val="2"/>
        <scheme val="minor"/>
      </rPr>
      <t>https://www.hailuo.ai/</t>
    </r>
  </si>
  <si>
    <t>Sky-T1-32B-Preview</t>
  </si>
  <si>
    <t>Berkeley</t>
  </si>
  <si>
    <t>https://huggingface.co/NovaSky-AI/Sky-T1-32B-Preview</t>
  </si>
  <si>
    <t>https://novasky-ai.github.io/posts/sky-t1/</t>
  </si>
  <si>
    <t>"To generate our training data we use QwQ-32B-Preview, an open-source model with reasoning capabilities comparable to o1-preview. We curate the data mixture (see later section) to cover diverse domains that require reasoning, and a reject sampling procedure to improve the data quality. We then rewrite QwQ traces with GPT-4o-mini into a well-formatted version, inspired by Still-2, to improve data quality and ease parsing... Rejection Sampling: We discard QwQ samples if they are incorrect according to the solutions provided in datasets."</t>
  </si>
  <si>
    <t>Cosmos Nemotron 34B</t>
  </si>
  <si>
    <t>https://build.nvidia.com/nvidia/cosmos-nemotron-34b</t>
  </si>
  <si>
    <r>
      <t/>
    </r>
    <r>
      <rPr>
        <sz val="14"/>
        <color theme="1"/>
        <rFont val="Calibri"/>
        <family val="2"/>
        <scheme val="minor"/>
      </rPr>
      <t xml:space="preserve">VLM. MMMU=47.33. "VILA project becomes part of Cosmos Nemotron family" </t>
    </r>
    <r>
      <rPr>
        <u/>
        <sz val="14"/>
        <color rgb="FF1155cc"/>
        <rFont val="Calibri"/>
        <family val="2"/>
        <scheme val="minor"/>
      </rPr>
      <t>https://github.com/NVlabs/Cosmos-Nemotron</t>
    </r>
    <r>
      <rPr>
        <sz val="14"/>
        <color theme="1"/>
        <rFont val="Calibri"/>
        <family val="2"/>
        <scheme val="minor"/>
      </rPr>
      <t xml:space="preserve"> Vision Encoder: SigLIP-400M, Language Encoder: Yi-34B </t>
    </r>
    <r>
      <rPr>
        <u/>
        <sz val="14"/>
        <color rgb="FF1155cc"/>
        <rFont val="Calibri"/>
        <family val="2"/>
        <scheme val="minor"/>
      </rPr>
      <t>https://blogs.nvidia.com/blog/nemotron-model-families/</t>
    </r>
    <r>
      <rPr>
        <sz val="14"/>
        <color theme="1"/>
        <rFont val="Calibri"/>
        <family val="2"/>
        <scheme val="minor"/>
      </rPr>
      <t xml:space="preserve"> </t>
    </r>
  </si>
  <si>
    <t>Cosmos 1.0</t>
  </si>
  <si>
    <t>https://huggingface.co/nvidia/Cosmos-1.0-Diffusion-14B-Video2World</t>
  </si>
  <si>
    <r>
      <t/>
    </r>
    <r>
      <rPr>
        <sz val="14"/>
        <color theme="1"/>
        <rFont val="Calibri"/>
        <family val="2"/>
        <scheme val="minor"/>
      </rPr>
      <t xml:space="preserve">WFM (world foundation model). "The models range in size from 4 billion to 14 billion parameters, with Nano being the smallest and Ultra being the largest... "Cosmos WFM models, were trained on 9,000 trillion tokens [9,000T] from 20 million hours of real-world human interactions, environment, industrial, robotics, and driving data..." </t>
    </r>
    <r>
      <rPr>
        <u/>
        <sz val="14"/>
        <color rgb="FF1155cc"/>
        <rFont val="Calibri"/>
        <family val="2"/>
        <scheme val="minor"/>
      </rPr>
      <t>https://techcrunch.com/2025/01/06/nvidia-releases-its-own-brand-of-world-models/</t>
    </r>
    <r>
      <rPr>
        <sz val="14"/>
        <color theme="1"/>
        <rFont val="Calibri"/>
        <family val="2"/>
        <scheme val="minor"/>
      </rPr>
      <t xml:space="preserve"> Actual working: </t>
    </r>
    <r>
      <rPr>
        <u/>
        <sz val="14"/>
        <color rgb="FF1155cc"/>
        <rFont val="Calibri"/>
        <family val="2"/>
        <scheme val="minor"/>
      </rPr>
      <t>https://lifearchitect.ai/cosmos/</t>
    </r>
  </si>
  <si>
    <t>METAGENE-1</t>
  </si>
  <si>
    <t>https://huggingface.co/metagene-ai</t>
  </si>
  <si>
    <t>https://metagene.ai/metagene-1-paper.pdf</t>
  </si>
  <si>
    <t>Llama-2-7B base. "METAGENE-1 is a 7B parameter metagenomic foundation model designed for pathogen detection and pandemic monitoring, trained on over 1.5 trillion base pairs [∼370 billion tokens (≈1.69 trillion base pairs)] of DNA and RNA collected via metagenomic sequencing of wastewater."</t>
  </si>
  <si>
    <t>Sonus-1 Reasoning</t>
  </si>
  <si>
    <t>Rubik's AI</t>
  </si>
  <si>
    <t>https://chat.sonus.ai/sonus/</t>
  </si>
  <si>
    <t>https://sonus.ai/blog/sonus-1</t>
  </si>
  <si>
    <t xml:space="preserve">Likely a Llama 3.1 405B wrapper. ALPrompt 2024H1=5/5. ALPrompt 2024H2=2/5. ALPrompt 2025H1=1/5. This is a strange model: slow and smart, but not as performant as o1. No arch details at all. </t>
  </si>
  <si>
    <t>YuLan-Mini</t>
  </si>
  <si>
    <t>Renmin</t>
  </si>
  <si>
    <t>https://github.com/RUC-GSAI/YuLan-Mini</t>
  </si>
  <si>
    <t>https://arxiv.org/abs/2412.17743</t>
  </si>
  <si>
    <t>"1.08T tokens for training. Among them are 481B English web data, 138B general English knowledge, 227B code pre-training data, 16.7B code instruction data, 93.8B mathematics pre-training data, 15.5B mathematics instruction data, and 108B Chinese data."</t>
  </si>
  <si>
    <t>DeepSeek-V3</t>
  </si>
  <si>
    <t>https://github.com/deepseek-ai/DeepSeek-V3/blob/main/DeepSeek_V3.pdf</t>
  </si>
  <si>
    <r>
      <t/>
    </r>
    <r>
      <rPr>
        <sz val="14"/>
        <color theme="1"/>
        <rFont val="Calibri"/>
        <family val="2"/>
        <scheme val="minor"/>
      </rPr>
      <t xml:space="preserve">37B active. Explain: </t>
    </r>
    <r>
      <rPr>
        <u/>
        <sz val="14"/>
        <color rgb="FF1155cc"/>
        <rFont val="Calibri"/>
        <family val="2"/>
        <scheme val="minor"/>
      </rPr>
      <t>https://threadreaderapp.com/thread/1872318161883959485.html</t>
    </r>
    <r>
      <rPr>
        <sz val="14"/>
        <color theme="1"/>
        <rFont val="Calibri"/>
        <family val="2"/>
        <scheme val="minor"/>
      </rPr>
      <t xml:space="preserve"> Announce: </t>
    </r>
    <r>
      <rPr>
        <u/>
        <sz val="14"/>
        <color rgb="FF1155cc"/>
        <rFont val="Calibri"/>
        <family val="2"/>
        <scheme val="minor"/>
      </rPr>
      <t>https://github.com/deepseek-ai/DeepSeek-V3?tab=readme-ov-file</t>
    </r>
  </si>
  <si>
    <t>EON-8B</t>
  </si>
  <si>
    <t>LinkedIn</t>
  </si>
  <si>
    <t>https://www.linkedin.com/blog/engineering/generative-ai/how-we-built-domain-adapted-foundation-genai-models-to-power-our-platform</t>
  </si>
  <si>
    <t>"We found the EON-8B model (a domain-adapted Llama 3.1-8B variant) to be 75x and 6x cost effective in comparison to GPT-4 and GPT-4o respectively (Figure 4)... On tasks seen during training, the EON-8B model outperformed base Llama-3-8B-Instruct and its performance was comparable to SOTA GPT models."</t>
  </si>
  <si>
    <t>o3-preview</t>
  </si>
  <si>
    <t>https://lifearchitect.ai/o3/</t>
  </si>
  <si>
    <t>SoTA model for Dec/2024. Parameter estimate is very rough centrepoint for range 400B-52T.</t>
  </si>
  <si>
    <t>RWKV-7 Goose</t>
  </si>
  <si>
    <t>RWKV</t>
  </si>
  <si>
    <t>https://github.com/BlinkDL/RWKV-LM/tree/main/RWKV-v7</t>
  </si>
  <si>
    <t>RWKV (pronounced RwaKuv) is an RNN: "multilingual, supporting over 100 languages and code.". Full run is 332B tokens of 3.1T dataset.</t>
  </si>
  <si>
    <t>ModernBERT</t>
  </si>
  <si>
    <t>https://huggingface.co/blog/modernbert</t>
  </si>
  <si>
    <t>https://arxiv.org/abs/2412.13663v1</t>
  </si>
  <si>
    <r>
      <t/>
    </r>
    <r>
      <rPr>
        <sz val="14"/>
        <color theme="1"/>
        <rFont val="Calibri"/>
        <family val="2"/>
        <scheme val="minor"/>
      </rPr>
      <t xml:space="preserve">"a proper workhorse model, for retrieval, classification, etc." </t>
    </r>
    <r>
      <rPr>
        <u/>
        <sz val="14"/>
        <color rgb="FF1155cc"/>
        <rFont val="Calibri"/>
        <family val="2"/>
        <scheme val="minor"/>
      </rPr>
      <t>https://bsky.app/profile/howard.fm/post/3ldod2afps62x</t>
    </r>
  </si>
  <si>
    <t>Granite 3.1 8B</t>
  </si>
  <si>
    <t>https://huggingface.co/ibm-granite/granite-3.1-8b-instruct</t>
  </si>
  <si>
    <t>https://github.com/ibm-granite/granite-3.1-language-models?tab=readme-ov-file</t>
  </si>
  <si>
    <t>Bamba-9B</t>
  </si>
  <si>
    <t>https://huggingface.co/blog/bamba</t>
  </si>
  <si>
    <t>"trained by IBM, Princeton, CMU, and UIUC on completely open data. At inference time, the model demonstrates 2.5x throughput improvement and 2x latency speedup compared to standard transformers in vLLM."</t>
  </si>
  <si>
    <t>o1-2024-12-17</t>
  </si>
  <si>
    <r>
      <t/>
    </r>
    <r>
      <rPr>
        <u/>
        <sz val="10"/>
        <color rgb="FF1155cc"/>
        <rFont val="Calibri"/>
        <family val="2"/>
        <scheme val="minor"/>
      </rPr>
      <t>https://chatgpt.com/</t>
    </r>
    <r>
      <rPr>
        <sz val="10"/>
        <color theme="1"/>
        <rFont val="Calibri"/>
        <family val="2"/>
        <scheme val="minor"/>
      </rPr>
      <t xml:space="preserve"> </t>
    </r>
  </si>
  <si>
    <t>https://openai.com/index/o1-and-new-tools-for-developers/</t>
  </si>
  <si>
    <t>"o1-2024-12-17 sets new state-of-the-art results on several benchmarks, improving cost-efficiency and performance."</t>
  </si>
  <si>
    <t>Falcon 3</t>
  </si>
  <si>
    <t>https://huggingface.co/tiiuae/Falcon3-10B-Base</t>
  </si>
  <si>
    <t>https://huggingface.co/blog/falcon3</t>
  </si>
  <si>
    <t>"We conducted a single large-scale pretraining run on the 7B model, using 1024 H100 GPU chips, leveraging 14 trillion tokens... upscaled the 7B model to a 10B parameters model by duplicating the redundant layers and continuing pre-training with 2 trillion tokens of high-quality data."</t>
  </si>
  <si>
    <t>Command R7B</t>
  </si>
  <si>
    <t>https://cohereforai-c4ai-command.hf.space/models/command-r7b-12-2024</t>
  </si>
  <si>
    <t>https://huggingface.co/CohereForAI/c4ai-command-r7b-12-2024</t>
  </si>
  <si>
    <t>Maya</t>
  </si>
  <si>
    <t>https://huggingface.co/maya-multimodal/maya</t>
  </si>
  <si>
    <t>https://arxiv.org/abs/2412.07112</t>
  </si>
  <si>
    <t>VLM.</t>
  </si>
  <si>
    <t>BLT</t>
  </si>
  <si>
    <t>https://github.com/facebookresearch/blt</t>
  </si>
  <si>
    <t>https://ai.meta.com/research/publications/byte-latent-transformer-patches-scale-better-than-tokens/</t>
  </si>
  <si>
    <t>Byte Latent Transformer (BLT), a new byte-level LLM architecture that, for the first time, matches tokenization-based LLM performance</t>
  </si>
  <si>
    <t>Large Concept Model</t>
  </si>
  <si>
    <t>https://github.com/facebookresearch/large_concept_model?tab=readme-ov-file</t>
  </si>
  <si>
    <t>https://ai.meta.com/research/publications/large-concept-models-language-modeling-in-a-sentence-representation-space/</t>
  </si>
  <si>
    <t>"autoregressive sentence prediction in an embedding space." 7.7T tokens is a misprint, should be 2.2T as in paper.</t>
  </si>
  <si>
    <t>Phi-4</t>
  </si>
  <si>
    <t>https://huggingface.co/microsoft/phi-4</t>
  </si>
  <si>
    <t>https://arxiv.org/abs/2412.08905</t>
  </si>
  <si>
    <r>
      <t/>
    </r>
    <r>
      <rPr>
        <sz val="14"/>
        <color rgb="FF073763"/>
        <rFont val="Calibri"/>
        <family val="2"/>
        <scheme val="minor"/>
      </rPr>
      <t xml:space="preserve">Use unsloth: </t>
    </r>
    <r>
      <rPr>
        <u/>
        <sz val="14"/>
        <color rgb="FF1155cc"/>
        <rFont val="Calibri"/>
        <family val="2"/>
        <scheme val="minor"/>
      </rPr>
      <t>https://huggingface.co/unsloth/phi-4-GGUF</t>
    </r>
    <r>
      <rPr>
        <sz val="14"/>
        <color rgb="FF073763"/>
        <rFont val="Calibri"/>
        <family val="2"/>
        <scheme val="minor"/>
      </rPr>
      <t xml:space="preserve"> &amp; </t>
    </r>
    <r>
      <rPr>
        <u/>
        <sz val="14"/>
        <color rgb="FF1155cc"/>
        <rFont val="Calibri"/>
        <family val="2"/>
        <scheme val="minor"/>
      </rPr>
      <t>https://www.reddit.com/r/singularity/comments/1i0kso4/i_fixed_4_bugs_in_microsofts_opensource_phi4_model/</t>
    </r>
  </si>
  <si>
    <t>Gemini 2.0 Flash exp</t>
  </si>
  <si>
    <t>https://console.cloud.google.com/vertex-ai/generative/multimodal/create/text?model=gemini-2.0-flash-exp</t>
  </si>
  <si>
    <t>https://cloud.google.com/vertex-ai/generative-ai/docs/gemini-v2</t>
  </si>
  <si>
    <r>
      <t/>
    </r>
    <r>
      <rPr>
        <sz val="14"/>
        <color theme="1"/>
        <rFont val="Calibri"/>
        <family val="2"/>
        <scheme val="minor"/>
      </rPr>
      <t xml:space="preserve">Gemini 2.0 Flash was first model released, 11/Dec/2024. "New Modalities: Gemini 2.0 introduces native image generation and controllable text-to-speech capabilities" Announce: </t>
    </r>
    <r>
      <rPr>
        <u/>
        <sz val="14"/>
        <color rgb="FF1155cc"/>
        <rFont val="Calibri"/>
        <family val="2"/>
        <scheme val="minor"/>
      </rPr>
      <t>https://blog.google/technology/google-deepmind/google-gemini-ai-update-december-2024/</t>
    </r>
    <r>
      <rPr>
        <sz val="14"/>
        <color theme="1"/>
        <rFont val="Calibri"/>
        <family val="2"/>
        <scheme val="minor"/>
      </rPr>
      <t xml:space="preserve"> Note: Gemini outputs are watermarked. I do not use GDM models. </t>
    </r>
    <r>
      <rPr>
        <u/>
        <sz val="14"/>
        <color rgb="FF1155cc"/>
        <rFont val="Calibri"/>
        <family val="2"/>
        <scheme val="minor"/>
      </rPr>
      <t>https://lifearchitect.ai/watermarking/</t>
    </r>
  </si>
  <si>
    <t>Moxin-7B</t>
  </si>
  <si>
    <t>https://github.com/moxin-org/Moxin-LLM</t>
  </si>
  <si>
    <t>https://arxiv.org/abs/2412.06845</t>
  </si>
  <si>
    <t>"Fully Open Source" with pre-training code, configurations, training and fine-tuning datasets, and intermediate checkpoints.</t>
  </si>
  <si>
    <t>1T</t>
  </si>
  <si>
    <t>https://cerebras.ai/press-release/cerebras-demonstrates-trillion-parameter-model-training-on-a-single-cs-3-system</t>
  </si>
  <si>
    <t>"For Sandia’s trillion parameter training run, Cerebras configured a 55 terabyte MemoryX device."</t>
  </si>
  <si>
    <t>InternVL 2.5</t>
  </si>
  <si>
    <t>https://huggingface.co/spaces/OpenGVLab/InternVL</t>
  </si>
  <si>
    <t>https://arxiv.org/abs/2412.05271</t>
  </si>
  <si>
    <r>
      <t/>
    </r>
    <r>
      <rPr>
        <sz val="14"/>
        <color rgb="FF073763"/>
        <rFont val="Calibri"/>
        <family val="2"/>
        <scheme val="minor"/>
      </rPr>
      <t xml:space="preserve">Benchmarks are estimates based on Qwen2.5 72B Instruct as the base LLM (InternVL 2.5=InternViT-6B-448px-V2.5 5.5B + Qwen2.5-72B-Instruct). "Notably, Qwen2-VL processed a cumulative total of 1.4T tokens, while our InternVL2.5-78B is trained on just ∼120B tokens [of vision]."Dataset... we identify repetitive generation as one of the most detrimental issues. In many open-source or synthetic datasets, a small number of repetitive samples—comprising merely thousands of examples in our Stage 2 data mixture—can cause the model to spiral into repetitive loops, particularly in long-form outputs or CoT reasoning tasks. This phenomenon undermines the effectiveness of test-time scaling strategies. To address this challenge and support future research, we designed an efficient data filtering pipeline to remove low-quality samples, thereby minimizing the risk of repetitive generation." Repo: </t>
    </r>
    <r>
      <rPr>
        <u/>
        <sz val="14"/>
        <color rgb="FF1155cc"/>
        <rFont val="Calibri"/>
        <family val="2"/>
        <scheme val="minor"/>
      </rPr>
      <t>https://github.com/OpenGVLab/InternVL</t>
    </r>
    <r>
      <rPr>
        <sz val="14"/>
        <color rgb="FF073763"/>
        <rFont val="Calibri"/>
        <family val="2"/>
        <scheme val="minor"/>
      </rPr>
      <t xml:space="preserve"> </t>
    </r>
  </si>
  <si>
    <t>Llama 3.3</t>
  </si>
  <si>
    <t>https://huggingface.co/meta-llama/Llama-3.3-70B-Instruct</t>
  </si>
  <si>
    <t>https://github.com/meta-llama/llama-models/blob/main/models/llama3_3/MODEL_CARD.md</t>
  </si>
  <si>
    <t>Drop-in replacement for Llama 3.1 70B, comparable performance to Llama 3.1 405B.</t>
  </si>
  <si>
    <t>EXAONE-3.5</t>
  </si>
  <si>
    <t>https://huggingface.co/collections/LGAI-EXAONE/exaone-35-674d0e1bb3dcd2ab6f39dbb4</t>
  </si>
  <si>
    <t>https://arxiv.org/abs/2412.04862</t>
  </si>
  <si>
    <t>“EXAONE”=“EXpert AI for EveryONE”. Training tokens/ratio dropped from EXAONE-3 7.8B with 8T (Aug/2024) to this (Dec/2024) 7.8B with 9T to 32B with 6.5T.</t>
  </si>
  <si>
    <t>Deepthought-8B</t>
  </si>
  <si>
    <t>Ruliad</t>
  </si>
  <si>
    <t>https://chat.ruliad.co/</t>
  </si>
  <si>
    <t>https://huggingface.co/ruliad/deepthought-8b-llama-v0.01-alpha</t>
  </si>
  <si>
    <t>No evals. Llama 3.1 8B base.</t>
  </si>
  <si>
    <t>Sailor2</t>
  </si>
  <si>
    <t>Sail</t>
  </si>
  <si>
    <t>https://huggingface.co/spaces/sail/Sailor2-20B-Chat</t>
  </si>
  <si>
    <t>https://github.com/sail-sg/sailor2</t>
  </si>
  <si>
    <r>
      <t/>
    </r>
    <r>
      <rPr>
        <sz val="14"/>
        <color theme="1"/>
        <rFont val="Calibri"/>
        <family val="2"/>
        <scheme val="minor"/>
      </rPr>
      <t xml:space="preserve">SEA languages. Continual pretraining based on Qwen2.5. Project page: </t>
    </r>
    <r>
      <rPr>
        <u/>
        <sz val="14"/>
        <color rgb="FF1155cc"/>
        <rFont val="Calibri"/>
        <family val="2"/>
        <scheme val="minor"/>
      </rPr>
      <t>https://sea-sailor.github.io/blog/sailor2/</t>
    </r>
  </si>
  <si>
    <t>Pleias 1.0</t>
  </si>
  <si>
    <t>https://huggingface.co/PleIAs/Pleias-3b-Preview</t>
  </si>
  <si>
    <t>https://huggingface.co/blog/Pclanglais/common-models</t>
  </si>
  <si>
    <t>Trained on the Jean Zay supercomputer, 192x H100s for 20 days. Dataset is new CC + Synthetic: https://huggingface.co/datasets/PleIAs/common_corpus</t>
  </si>
  <si>
    <t>https://openai.com/index/introducing-chatgpt-pro/</t>
  </si>
  <si>
    <r>
      <t/>
    </r>
    <r>
      <rPr>
        <sz val="14"/>
        <color rgb="FF073763"/>
        <rFont val="Calibri"/>
        <family val="2"/>
        <scheme val="minor"/>
      </rPr>
      <t xml:space="preserve">"a version of our most intelligent model that thinks longer for the most reliable responses" System card about safety only: </t>
    </r>
    <r>
      <rPr>
        <u/>
        <sz val="14"/>
        <color rgb="FF1155cc"/>
        <rFont val="Calibri"/>
        <family val="2"/>
        <scheme val="minor"/>
      </rPr>
      <t>https://cdn.openai.com/o1-system-card-20241205.pdf</t>
    </r>
  </si>
  <si>
    <t>Nova Pro</t>
  </si>
  <si>
    <t>https://www.amazon.science/publications/the-amazon-nova-family-of-models-technical-report-and-model-card</t>
  </si>
  <si>
    <r>
      <t/>
    </r>
    <r>
      <rPr>
        <sz val="14"/>
        <color theme="1"/>
        <rFont val="Calibri"/>
        <family val="2"/>
        <scheme val="minor"/>
      </rPr>
      <t xml:space="preserve">Multimodal, same performance as Llama 3.2 90B ∴ est 90B. Model card was hidden: </t>
    </r>
    <r>
      <rPr>
        <u/>
        <sz val="14"/>
        <color rgb="FF1155cc"/>
        <rFont val="Calibri"/>
        <family val="2"/>
        <scheme val="minor"/>
      </rPr>
      <t>https://assets.amazon.science/9f/a3/ae41627f4ab2bde091f1ebc6b830/the-amazon-nova-family-of-models-technical-report-and-model-card.pdf</t>
    </r>
    <r>
      <rPr>
        <sz val="14"/>
        <color theme="1"/>
        <rFont val="Calibri"/>
        <family val="2"/>
        <scheme val="minor"/>
      </rPr>
      <t xml:space="preserve"> via </t>
    </r>
    <r>
      <rPr>
        <u/>
        <sz val="14"/>
        <color rgb="FF1155cc"/>
        <rFont val="Calibri"/>
        <family val="2"/>
        <scheme val="minor"/>
      </rPr>
      <t>https://www.amazon.science/publications/the-amazon-nova-family-of-models-technical-report-and-model-card</t>
    </r>
  </si>
  <si>
    <t>EuroLLM</t>
  </si>
  <si>
    <t>https://huggingface.co/utter-project/EuroLLM-9B-Instruct</t>
  </si>
  <si>
    <t>https://arxiv.org/abs/2506.04079</t>
  </si>
  <si>
    <r>
      <t/>
    </r>
    <r>
      <rPr>
        <sz val="14"/>
        <color theme="1"/>
        <rFont val="Calibri"/>
        <family val="2"/>
        <scheme val="minor"/>
      </rPr>
      <t xml:space="preserve">24 official languages are Bulgarian, Croatian, Czech, Danish, Dutch, English, Estonian, Finnish, French, German, Greek, Hungarian, Irish, Italian, Latvian, Lithuanian, Maltese, Polish, Portuguese, Romanian, Slovak, Slovenian, Spanish, and Swedish. "we use 400 Nvidia H100 GPUs of the Marenostrum 5 supercomputer" Also: </t>
    </r>
    <r>
      <rPr>
        <u/>
        <sz val="14"/>
        <color rgb="FF1155cc"/>
        <rFont val="Calibri"/>
        <family val="2"/>
        <scheme val="minor"/>
      </rPr>
      <t>https://eurollm.io/</t>
    </r>
  </si>
  <si>
    <t>DisTrO 15B</t>
  </si>
  <si>
    <t>https://distro.nousresearch.com/</t>
  </si>
  <si>
    <t>https://github.com/NousResearch/DisTrO?tab=readme-ov-file</t>
  </si>
  <si>
    <r>
      <t/>
    </r>
    <r>
      <rPr>
        <sz val="14"/>
        <color theme="1"/>
        <rFont val="Calibri"/>
        <family val="2"/>
        <scheme val="minor"/>
      </rPr>
      <t xml:space="preserve">"About 14 DGXes scattered around the globe. Sometimes more sometimes less, it varies depending on availability. On average, around 112 H100s." </t>
    </r>
    <r>
      <rPr>
        <u/>
        <sz val="14"/>
        <color rgb="FF1155cc"/>
        <rFont val="Calibri"/>
        <family val="2"/>
        <scheme val="minor"/>
      </rPr>
      <t>https://x.com/bloc97_/status/1863675225810043331</t>
    </r>
    <r>
      <rPr>
        <sz val="14"/>
        <color theme="1"/>
        <rFont val="Calibri"/>
        <family val="2"/>
        <scheme val="minor"/>
      </rPr>
      <t xml:space="preserve"> "we introduce DisTrO, a family of architecture-agnostic and network-agnostic distributed optimizers that reduces the inter-GPU communication requirements by four to five orders of magnitude without relying on amortized analysis, enabling low-latency training of large neural networks on slow internet bandwidths with heterogeneous networking hardware."</t>
    </r>
  </si>
  <si>
    <t>INTELLECT-1</t>
  </si>
  <si>
    <t>https://huggingface.co/PrimeIntellect/INTELLECT-1</t>
  </si>
  <si>
    <t>https://github.com/PrimeIntellect-ai/prime/blob/main/INTELLECT_1_Technical_Report.pdf</t>
  </si>
  <si>
    <t>Training complete 22/Nov/2024. Fully distributed training: "the first decentralized training run of a 10-billion-parameter model, inviting anyone to contribute compute and participate. This brings us one step closer towards open source AGI."</t>
  </si>
  <si>
    <t>QwQ-32B-Preview</t>
  </si>
  <si>
    <t>https://huggingface.co/spaces/Qwen/QwQ-32B-preview</t>
  </si>
  <si>
    <t>https://qwenlm.github.io/blog/qwq-32b-preview/</t>
  </si>
  <si>
    <t>Scores 1/5 on latest ALPrompt 2024 H2. Qwen with Question=QwQ</t>
  </si>
  <si>
    <t>Teuken-7B</t>
  </si>
  <si>
    <t>OpenGPT-X</t>
  </si>
  <si>
    <t>https://huggingface.co/openGPT-X/Teuken-7B-instruct-research-v0.4</t>
  </si>
  <si>
    <t>https://arxiv.org/abs/2410.03730</t>
  </si>
  <si>
    <r>
      <t/>
    </r>
    <r>
      <rPr>
        <sz val="14"/>
        <color theme="1"/>
        <rFont val="Calibri"/>
        <family val="2"/>
        <scheme val="minor"/>
      </rPr>
      <t xml:space="preserve">24 EU languages (60% non-English): bg, cs, da, de, el, en, es, et, fi, fr, ga, hr, hu, it, lt, lv, mt, nl, pl, pt, ro, sk, sl, sv. </t>
    </r>
    <r>
      <rPr>
        <u/>
        <sz val="14"/>
        <color rgb="FF1155cc"/>
        <rFont val="Calibri"/>
        <family val="2"/>
        <scheme val="minor"/>
      </rPr>
      <t>https://opengpt-x.de/models/teuken-7b-de/</t>
    </r>
    <r>
      <rPr>
        <sz val="14"/>
        <color theme="1"/>
        <rFont val="Calibri"/>
        <family val="2"/>
        <scheme val="minor"/>
      </rPr>
      <t xml:space="preserve"> &amp; paper date is Sep/2024.</t>
    </r>
  </si>
  <si>
    <t>OLMo 2</t>
  </si>
  <si>
    <t>https://huggingface.co/collections/allenai/olmo-2-674117b93ab84e98afc72edc</t>
  </si>
  <si>
    <t>https://arxiv.org/abs/2501.00656</t>
  </si>
  <si>
    <r>
      <t/>
    </r>
    <r>
      <rPr>
        <sz val="14"/>
        <color theme="1"/>
        <rFont val="Calibri"/>
        <family val="2"/>
        <scheme val="minor"/>
      </rPr>
      <t xml:space="preserve">Open Language Model (OLMo) 2 Apache 2.0 license for research and educational use. Paper coming. Data: 5 trillion tokens (1.2 epochs of 4T tokens) + 100B tokens (3 runs) + 300B tokens (1 run) merged. </t>
    </r>
    <r>
      <rPr>
        <u/>
        <sz val="14"/>
        <color rgb="FF1155cc"/>
        <rFont val="Calibri"/>
        <family val="2"/>
        <scheme val="minor"/>
      </rPr>
      <t>https://huggingface.co/allenai/OLMo-2-1124-13B</t>
    </r>
    <r>
      <rPr>
        <sz val="14"/>
        <color theme="1"/>
        <rFont val="Calibri"/>
        <family val="2"/>
        <scheme val="minor"/>
      </rPr>
      <t xml:space="preserve"> &amp; playground: </t>
    </r>
    <r>
      <rPr>
        <u/>
        <sz val="14"/>
        <color rgb="FF1155cc"/>
        <rFont val="Calibri"/>
        <family val="2"/>
        <scheme val="minor"/>
      </rPr>
      <t>https://playground.allenai.org/</t>
    </r>
  </si>
  <si>
    <t>Bi-Mamba</t>
  </si>
  <si>
    <t>CMU</t>
  </si>
  <si>
    <t>https://arxiv.org/abs/2411.11843</t>
  </si>
  <si>
    <t>Unreleased, but will be replicated. "a scalable and powerful 1-bit Mamba architecture designed for more efficient large language models"</t>
  </si>
  <si>
    <t>k0-math</t>
  </si>
  <si>
    <t>https://kimi.moonshot.cn/</t>
  </si>
  <si>
    <t>https://www.globaltimes.cn/page/202411/1323248.shtml</t>
  </si>
  <si>
    <t>Reasoning, maths only. Very little info available. Chinese. Long context. No paper.</t>
  </si>
  <si>
    <t>Marco-o1</t>
  </si>
  <si>
    <t>https://huggingface.co/AIDC-AI/Marco-o1</t>
  </si>
  <si>
    <t>https://arxiv.org/abs/2411.14405</t>
  </si>
  <si>
    <t>No evals. Qwen2-7B-Instruct with a combination of the filtered Open-O1 CoT dataset, Marco-o1 CoT dataset, and Marco-o1 Instruction dataset.</t>
  </si>
  <si>
    <t>TÜLU 3</t>
  </si>
  <si>
    <t>https://allenai.org/papers/tulu-3-report.pdf</t>
  </si>
  <si>
    <t>Llama 3.1 post-training, worse performance on most benchmarks. Post training methods include new Reinforcement Learning with Verifiable Rewards (RLVR). "We perform supervised fine-tuning on new capability-focused synthetic data mixed with existing instruction datasets. We then perform preference tuning on on-policy synthetic preference data. We finish training Llama Tülu3 with our new method, Reinforcement Learning with Verifiable Rewards."</t>
  </si>
  <si>
    <t>gpt-4o-2024-11-20</t>
  </si>
  <si>
    <t>https://platform.openai.com/docs/models#gpt-4o</t>
  </si>
  <si>
    <r>
      <t/>
    </r>
    <r>
      <rPr>
        <sz val="14"/>
        <color rgb="FF073763"/>
        <rFont val="Calibri"/>
        <family val="2"/>
        <scheme val="minor"/>
      </rPr>
      <t xml:space="preserve">Material decrease in benchmark scores (GPQA: -13.37%, MMLU: -3.38%) compared to Aug/2024. Pruned? Quantized? </t>
    </r>
    <r>
      <rPr>
        <u/>
        <sz val="14"/>
        <color rgb="FF1155cc"/>
        <rFont val="Calibri"/>
        <family val="2"/>
        <scheme val="minor"/>
      </rPr>
      <t>https://github.com/openai/simple-evals</t>
    </r>
  </si>
  <si>
    <t>DeepSeek-R1-Lite</t>
  </si>
  <si>
    <t>https://x.com/deepseek_ai/status/1859200141355536422</t>
  </si>
  <si>
    <r>
      <t/>
    </r>
    <r>
      <rPr>
        <sz val="14"/>
        <color rgb="FF073763"/>
        <rFont val="Calibri"/>
        <family val="2"/>
        <scheme val="minor"/>
      </rPr>
      <t xml:space="preserve">Scores 0/5 on latest ALPrompt 2024 H2 "DeepSeek-R1-Lite is currently still in the iterative development stage. It currently only supports web usage and does not support API calls. The base model used by DeepSeek-R1-Lite is also a relatively small model, unable to fully unleash the potential of long reasoning chains. At present, we are continuously iterating on the inference series models. In the future, the official DeepSeek-R1 model will be fully open-sourced. We will publicly release the technical report and deploy API services." </t>
    </r>
    <r>
      <rPr>
        <u/>
        <sz val="14"/>
        <color rgb="FF1155cc"/>
        <rFont val="Calibri"/>
        <family val="2"/>
        <scheme val="minor"/>
      </rPr>
      <t>https://mp-weixin-qq-com.translate.goog/s/e1YnTxZlzFvjcmrLLTA8fw?_x_tr_sl=zh-CN&amp;_x_tr_tl=en&amp;_x_tr_hl=zh-TW</t>
    </r>
  </si>
  <si>
    <t>Xmodel-LM</t>
  </si>
  <si>
    <t>XiaoduoAI</t>
  </si>
  <si>
    <t>https://github.com/XiaoduoAILab/XmodelLM</t>
  </si>
  <si>
    <t>https://arxiv.org/abs/2411.10083</t>
  </si>
  <si>
    <t>SLM</t>
  </si>
  <si>
    <t>Pixtral Large</t>
  </si>
  <si>
    <t>https://huggingface.co/mistralai/Pixtral-Large-Instruct-2411</t>
  </si>
  <si>
    <t>https://mistral.ai/news/pixtral-large/</t>
  </si>
  <si>
    <t>Open-weights multimodal model built on top of Mistral Large 2.</t>
  </si>
  <si>
    <t>f1</t>
  </si>
  <si>
    <t>Fireworks</t>
  </si>
  <si>
    <t>https://fireworks.ai/models/fireworks/f1-preview/playground</t>
  </si>
  <si>
    <t>https://fireworks.ai/blog/fireworks-compound-ai-system-f1</t>
  </si>
  <si>
    <t>Compound</t>
  </si>
  <si>
    <t>"a compound AI model specialized in complex reasoning, that interweaves multiple open models at the inference layer. "</t>
  </si>
  <si>
    <t>Qwen2.5-Coder</t>
  </si>
  <si>
    <t>https://huggingface.co/Qwen/Qwen2.5-72B-Instruct</t>
  </si>
  <si>
    <t>https://arxiv.org/abs/2412.15115</t>
  </si>
  <si>
    <r>
      <t/>
    </r>
    <r>
      <rPr>
        <u/>
        <sz val="14"/>
        <color rgb="FF000000"/>
        <rFont val="Calibri"/>
        <family val="2"/>
        <scheme val="minor"/>
      </rPr>
      <t>https://qwenlm.github.io/blog/qwen2.5-coder-family/</t>
    </r>
    <r>
      <rPr>
        <sz val="14"/>
        <color theme="1"/>
        <rFont val="Calibri"/>
        <family val="2"/>
        <scheme val="minor"/>
      </rPr>
      <t xml:space="preserve"> Jack Clark from Anthropic is saying it’s actually 18T tokens from Qwen2.5 + 5.5T tokens for a total of 23.5T tokens. That doesn’t seem right from my interpretation of the technical report.</t>
    </r>
  </si>
  <si>
    <t>Fox-1</t>
  </si>
  <si>
    <t>TensorOpera</t>
  </si>
  <si>
    <t>https://huggingface.co/tensoropera/Fox-1-1.6B-Instruct-v0.1</t>
  </si>
  <si>
    <t>https://arxiv.org/abs/2411.05281</t>
  </si>
  <si>
    <t>Gold standard for dataset documentation</t>
  </si>
  <si>
    <t>Hunyuan-Large</t>
  </si>
  <si>
    <t>https://huggingface.co/tencent/Tencent-Hunyuan-Large</t>
  </si>
  <si>
    <t>https://arxiv.org/abs/2411.02265</t>
  </si>
  <si>
    <t>Hunyuan-Large is pre-trained on 7T tokens, which contains nearly 1.5T tokens of high-quality and diverse synthetic data.' '389 billion parameters and 52 billion activation parameters, capable of handling up to 256K tokens'</t>
  </si>
  <si>
    <t>SEA-LIONv3</t>
  </si>
  <si>
    <t>https://huggingface.co/aisingapore/gemma2-9b-cpt-sea-lionv3-base</t>
  </si>
  <si>
    <t>https://www.linkedin.com/posts/leslieteo01_ai-machinelearning-nlp-activity-7258042808891027456-Tqab/</t>
  </si>
  <si>
    <r>
      <t/>
    </r>
    <r>
      <rPr>
        <sz val="14"/>
        <color theme="1"/>
        <rFont val="Calibri"/>
        <family val="2"/>
        <scheme val="minor"/>
      </rPr>
      <t xml:space="preserve">SEA-LION is a collection of Large Language Models (LLMs) which has been pretrained and instruct-tuned for the Southeast Asia (SEA) region. The Gemma2 9B CPT SEA-LIONv3 base model which has undergone continued pre-training from the base Gemma-2-9B model. SEA-LION stands for Southeast Asian Languages In One Network.' News: </t>
    </r>
    <r>
      <rPr>
        <u/>
        <sz val="14"/>
        <color rgb="FF1155cc"/>
        <rFont val="Calibri"/>
        <family val="2"/>
        <scheme val="minor"/>
      </rPr>
      <t>https://www.techinasia.com/news/ai-singapore-boosts-sea-ai-sealion-v3-model</t>
    </r>
  </si>
  <si>
    <t>AMD OLMo</t>
  </si>
  <si>
    <t>https://huggingface.co/amd/AMD-OLMo</t>
  </si>
  <si>
    <t>https://www.amd.com/en/developer/resources/technical-articles/introducing-the-first-amd-1b-language-model.html</t>
  </si>
  <si>
    <t>1 billion parameter LMs trained from scratch using 1.3T tokens on a cluster of AMD Instinct MI250 GPUs.</t>
  </si>
  <si>
    <t>SmolLM2</t>
  </si>
  <si>
    <t>Hugging Face</t>
  </si>
  <si>
    <t>https://huggingface.co/collections/HuggingFaceTB/smollm2-6723884218bcda64b34d7db9</t>
  </si>
  <si>
    <t>Base and instruct versions, with Apache 2.0 license</t>
  </si>
  <si>
    <t>Aya-Expanse-32B</t>
  </si>
  <si>
    <t>https://huggingface.co/CohereForAI/aya-expanse-32b</t>
  </si>
  <si>
    <t>https://cohere.com/blog/aya-expanse-connecting-our-world</t>
  </si>
  <si>
    <t>"Aya Expanse, a family of highly performant multilingual models that excels across 23 languages and outperforms other leading open-weights models...we have collaborated with over 3,000 researchers from 119 countries to expand cutting-edge multilingual research... 220 language ambassadors from around the world who have been part of this release"</t>
  </si>
  <si>
    <t>Claude 3.5 Sonnet (new)</t>
  </si>
  <si>
    <t>https://assets.anthropic.com/m/61e7d27f8c8f5919/original/Claude-3-Model-Card.pdf#page=51</t>
  </si>
  <si>
    <t>Absurd naming scheme. Paper addendum pp51-64: https://assets.anthropic.com/m/61e7d27f8c8f5919/original/Claude-3-Model-Card.pdf#page=51</t>
  </si>
  <si>
    <t>Granite 3.0 8B</t>
  </si>
  <si>
    <t>https://huggingface.co/ibm-granite/granite-3.0-8b-base</t>
  </si>
  <si>
    <t>http://ibm.biz/granite-report</t>
  </si>
  <si>
    <t>Announce: https://www.ibm.com/new/ibm-granite-3-0-open-state-of-the-art-enterprise-models</t>
  </si>
  <si>
    <t>Granite-3.0-3B-A800M-Instruct</t>
  </si>
  <si>
    <t>https://huggingface.co/ibm-granite/granite-3.0-3b-a800m-instruct</t>
  </si>
  <si>
    <t>aiXcoder-7B</t>
  </si>
  <si>
    <t>aiXcoder</t>
  </si>
  <si>
    <t>https://github.com/aixcoder-plugin/aixcoder-7b</t>
  </si>
  <si>
    <t>https://arxiv.org/abs/2410.13187v1</t>
  </si>
  <si>
    <t>Dataset: The Stack</t>
  </si>
  <si>
    <t>Llama-3.1-Nemotron-70B</t>
  </si>
  <si>
    <t>https://build.nvidia.com/nvidia/llama-3_1-nemotron-70b-instruct</t>
  </si>
  <si>
    <t>https://build.nvidia.com/nvidia/llama-3_1-nemotron-70b-instruct/modelcard</t>
  </si>
  <si>
    <t>Related paper: https://arxiv.org/abs/2410.01257</t>
  </si>
  <si>
    <t>Ministral 8B</t>
  </si>
  <si>
    <t>https://huggingface.co/mistralai/Ministral-8B-Instruct-2410</t>
  </si>
  <si>
    <t>https://mistral.ai/news/ministraux/</t>
  </si>
  <si>
    <t>"Introducing the world’s best edge models"</t>
  </si>
  <si>
    <t>Yi-Lightning</t>
  </si>
  <si>
    <t>01-ai</t>
  </si>
  <si>
    <t>https://platform.lingyiwanwu.com/</t>
  </si>
  <si>
    <t>https://platform.lingyiwanwu.com/docs#%E6%A8%A1%E5%9E%8B%E4%B8%8E%E8%AE%A1%E8%B4%B9</t>
  </si>
  <si>
    <r>
      <t/>
    </r>
    <r>
      <rPr>
        <sz val="14"/>
        <color rgb="FF000000"/>
        <rFont val="Calibri"/>
        <family val="2"/>
        <scheme val="minor"/>
      </rPr>
      <t xml:space="preserve">"New MoE hybrid expert architecture" and </t>
    </r>
    <r>
      <rPr>
        <u/>
        <sz val="14"/>
        <color rgb="FF073763"/>
        <rFont val="Calibri"/>
        <family val="2"/>
        <scheme val="minor"/>
      </rPr>
      <t>https://x.com/01AI_Yi/status/1845776529185476613</t>
    </r>
  </si>
  <si>
    <t>Zamba2-7B</t>
  </si>
  <si>
    <t>https://huggingface.co/Zyphra/Zamba2-7B</t>
  </si>
  <si>
    <t>https://www.zyphra.com/post/zamba2-7b</t>
  </si>
  <si>
    <t>Mamba2 "trained on 128 H100 GPUS for approximately 50 days using our internal training framework developed atop Megatron-LM"</t>
  </si>
  <si>
    <t>nGPT</t>
  </si>
  <si>
    <t>https://github.com/lucidrains/nGPT-pytorch</t>
  </si>
  <si>
    <t>https://arxiv.org/abs/2410.01131</t>
  </si>
  <si>
    <t>"a novel neural network architecture, the normalized Transformer (nGPT) with representation learning on the hypersphere. In nGPT, all vectors forming the embeddings, MLP, attention matrices and hidden states are unit norm normalized...reducing the number of training steps required to achieve the same accuracy by a factor of 4 to 20, depending on the sequence length."</t>
  </si>
  <si>
    <t>Inflection-3 Pi (3.0)</t>
  </si>
  <si>
    <t>Inflection AI</t>
  </si>
  <si>
    <t>https://developers.inflection.ai/</t>
  </si>
  <si>
    <t>https://developers.inflection.ai/docs</t>
  </si>
  <si>
    <t>Inference via Intel Gaudi® 3 128 GB, on-premise available. Minimum spend $100 credits.</t>
  </si>
  <si>
    <t>Inflection-3 Productivity (3.0)</t>
  </si>
  <si>
    <t>LFM-40B</t>
  </si>
  <si>
    <t>https://labs.perplexity.ai/</t>
  </si>
  <si>
    <t>https://www.liquid.ai/liquid-foundation-models</t>
  </si>
  <si>
    <t>40BA12B. Some controversy/concern over company. Liquid Foundation Models (LFM). "Human preference optimization techniques have not been applied extensively to our models yet."</t>
  </si>
  <si>
    <t>SFR-LLaMA-3.1-70B-Judge</t>
  </si>
  <si>
    <t>https://blog.salesforceairesearch.com/sfr-judge/</t>
  </si>
  <si>
    <t>https://arxiv.org/abs/2409.14664</t>
  </si>
  <si>
    <r>
      <t/>
    </r>
    <r>
      <rPr>
        <sz val="14"/>
        <color rgb="FF073763"/>
        <rFont val="Calibri"/>
        <family val="2"/>
        <scheme val="minor"/>
      </rPr>
      <t xml:space="preserve">Code coming soon: </t>
    </r>
    <r>
      <rPr>
        <u/>
        <sz val="14"/>
        <color rgb="FF1155cc"/>
        <rFont val="Calibri"/>
        <family val="2"/>
        <scheme val="minor"/>
      </rPr>
      <t>https://github.com/SalesforceAIResearch/SFRJudge</t>
    </r>
    <r>
      <rPr>
        <sz val="14"/>
        <color rgb="FF073763"/>
        <rFont val="Calibri"/>
        <family val="2"/>
        <scheme val="minor"/>
      </rPr>
      <t xml:space="preserve"> "we opt to focus on datasets that evaluate modern (2023 and beyond) LLM responses, as older datasets likely contain lower quality responses from less capable models, with correspondingly stale annotations. We supplement human-annotated data with synthetically generated data to endow our judge models with specific capabilities (e.g., following fine-grained rubrics in evaluation)"</t>
    </r>
  </si>
  <si>
    <t>Emu3</t>
  </si>
  <si>
    <t>BAAI</t>
  </si>
  <si>
    <t>https://huggingface.co/BAAI/Emu3-Gen</t>
  </si>
  <si>
    <t>https://arxiv.org/abs/2409.18869</t>
  </si>
  <si>
    <r>
      <t/>
    </r>
    <r>
      <rPr>
        <sz val="14"/>
        <color theme="1"/>
        <rFont val="Calibri"/>
        <family val="2"/>
        <scheme val="minor"/>
      </rPr>
      <t xml:space="preserve">VLM. Dataset estimates are based on the unrelated UW/Salesforce dataset MINT-1T (3.4B images, 927M documents) </t>
    </r>
    <r>
      <rPr>
        <u/>
        <sz val="14"/>
        <color rgb="FF1155cc"/>
        <rFont val="Calibri"/>
        <family val="2"/>
        <scheme val="minor"/>
      </rPr>
      <t>https://arxiv.org/abs/2406.11271v1</t>
    </r>
  </si>
  <si>
    <t>NLVM 1.0</t>
  </si>
  <si>
    <t>https://huggingface.co/nvidia/NVLM-D-72B</t>
  </si>
  <si>
    <t>https://arxiv.org/abs/2409.11402</t>
  </si>
  <si>
    <t>Flamingo clone. "we use Qwen2-72B-Instruct as the default text-only LLM backbone. We also employ Nous-Hermes-2-Yi-34B for ablation study and faster experimentation... we use InternViT-6B as the default vision encoder"</t>
  </si>
  <si>
    <t>Unnamed 1T</t>
  </si>
  <si>
    <t>https://www.scmp.com/tech/big-tech/article/3280588/china-telecom-say-ai-model-1-trillion-parameters-trained-chinese-chips</t>
  </si>
  <si>
    <r>
      <t/>
    </r>
    <r>
      <rPr>
        <sz val="14"/>
        <color theme="1"/>
        <rFont val="Calibri"/>
        <family val="2"/>
        <scheme val="minor"/>
      </rPr>
      <t xml:space="preserve">Trained on Chinese GPUs: "Ascend Atlas 800T A2 training server – a Huawei product listed as supporting the Kunpeng 920 7265 or Kunpeng 920 5250 processors" </t>
    </r>
    <r>
      <rPr>
        <u/>
        <sz val="14"/>
        <color rgb="FF1155cc"/>
        <rFont val="Calibri"/>
        <family val="2"/>
        <scheme val="minor"/>
      </rPr>
      <t>https://www.theregister.com/2024/10/02/china_telecom_model_trained_local_tech/</t>
    </r>
  </si>
  <si>
    <t>TeleChat2-115B</t>
  </si>
  <si>
    <t>https://modelscope.cn/models/TeleAI/TeleChat2-115B</t>
  </si>
  <si>
    <t>AMD-Llama-135m</t>
  </si>
  <si>
    <t>https://huggingface.co/amd/AMD-Llama-135m</t>
  </si>
  <si>
    <t>books</t>
  </si>
  <si>
    <t>https://www.amd.com/en/developer/resources/technical-articles/introducing-amd-first-slm-135m-model-fuels-ai-advancements.html</t>
  </si>
  <si>
    <t>Small language model (SLM). Trained on AMD Instinct™ MI250 accelerators. "Pretrain Dataset: We employed the SlimPajama and Project Gutenberg dataset to pretrain the 135M model. Project Gutenberg is a library of over 70,000 free eBooks approximately.  This sums up to 670B tokens"</t>
  </si>
  <si>
    <t>Llama 3.2 90B</t>
  </si>
  <si>
    <t>https://www.llama.com/</t>
  </si>
  <si>
    <t>Vision (VLM)</t>
  </si>
  <si>
    <t>Llama 3.2 3B</t>
  </si>
  <si>
    <t>Text (LLM). "Pre-training. [For Llama 3.2 3B] We prune the models from their 8B siblings and use logits from the 8B and 70B models as token-level targets (token-level distillation). We then use knowledge distillation to recover performance."</t>
  </si>
  <si>
    <t>Molmo</t>
  </si>
  <si>
    <t>https://molmo.allenai.org/</t>
  </si>
  <si>
    <t>https://molmo.allenai.org/paper.pdf</t>
  </si>
  <si>
    <r>
      <t/>
    </r>
    <r>
      <rPr>
        <sz val="14"/>
        <color theme="1"/>
        <rFont val="Calibri"/>
        <family val="2"/>
        <scheme val="minor"/>
      </rPr>
      <t xml:space="preserve">ViT: Llava as Qwen2 (or Olmo) + CLIP. Multimodal Open Language Model built by Ai2. Announce: </t>
    </r>
    <r>
      <rPr>
        <u/>
        <sz val="14"/>
        <color rgb="FF1155cc"/>
        <rFont val="Calibri"/>
        <family val="2"/>
        <scheme val="minor"/>
      </rPr>
      <t>https://molmo.allenai.org/blog</t>
    </r>
  </si>
  <si>
    <t xml:space="preserve">Gemini-1.5-Pro-002 </t>
  </si>
  <si>
    <t>https://aistudio.google.com/app/prompts/new_chat</t>
  </si>
  <si>
    <t>https://developers.googleblog.com/en/updated-production-ready-gemini-models-reduced-15-pro-pricing-increased-rate-limits-and-more/</t>
  </si>
  <si>
    <r>
      <t/>
    </r>
    <r>
      <rPr>
        <sz val="14"/>
        <color theme="1"/>
        <rFont val="Calibri"/>
        <family val="2"/>
        <scheme val="minor"/>
      </rPr>
      <t xml:space="preserve">Sparse MoE. Context window=2M. Note: Gemini outputs are watermarked. I do not use GDM models. </t>
    </r>
    <r>
      <rPr>
        <u/>
        <sz val="14"/>
        <color rgb="FF1155cc"/>
        <rFont val="Calibri"/>
        <family val="2"/>
        <scheme val="minor"/>
      </rPr>
      <t>https://lifearchitect.ai/watermarking/</t>
    </r>
  </si>
  <si>
    <t>Qwen2.5</t>
  </si>
  <si>
    <t>GRIN MoE</t>
  </si>
  <si>
    <t>https://huggingface.co/microsoft/GRIN-MoE</t>
  </si>
  <si>
    <t>https://huggingface.co/microsoft/GRIN-MoE/blob/main/GRIN_MoE.pdf</t>
  </si>
  <si>
    <t>16x3.8B "only 6.6B activate parameters". GRIN=GRadient-INformed. "GRIN MoE is pre-trained on 4T tokens as a Causal Language Model. The same training dataset has been used to train Phi-3 dense models"</t>
  </si>
  <si>
    <t>Data-Gemma</t>
  </si>
  <si>
    <t>https://huggingface.co/google/datagemma-rig-27b-it</t>
  </si>
  <si>
    <t>https://docs.datacommons.org/papers/DataGemma-FullPaper.pdf</t>
  </si>
  <si>
    <t>RAG/RIG: "the LLM is fine-tuned to produce natural language Data Commons queries alongside statistics"</t>
  </si>
  <si>
    <t>o1-preview</t>
  </si>
  <si>
    <t>https://openai.com/index/introducing-openai-o1-preview/</t>
  </si>
  <si>
    <t>Reader-LM</t>
  </si>
  <si>
    <t>Jina AI</t>
  </si>
  <si>
    <t>https://huggingface.co/jinaai/reader-lm-1.5b</t>
  </si>
  <si>
    <t>https://jina.ai/news/reader-lm-small-language-models-for-cleaning-and-converting-html-to-markdown/</t>
  </si>
  <si>
    <t>HTML-&gt;Markdown. Specialist small model; outperforms GPT-4o general model, does not outperform Gemini Pro 1.5.</t>
  </si>
  <si>
    <t>Pixtral-12b-240910</t>
  </si>
  <si>
    <t>https://huggingface.co/mistralai/Pixtral-12B-2409</t>
  </si>
  <si>
    <t>https://mistral.ai/news/pixtral-12b/</t>
  </si>
  <si>
    <t>"Pixtral was trained to be a drop-in replacement for Mistral Nemo 12B."</t>
  </si>
  <si>
    <t>DeepSeek-V2.5</t>
  </si>
  <si>
    <t>https://huggingface.co/deepseek-ai/DeepSeek-V2.5</t>
  </si>
  <si>
    <t>https://github.com/deepseek-ai/DeepSeek-Coder-V2/blob/main/paper.pdf</t>
  </si>
  <si>
    <t>"DeepSeek-V2.5 is an upgraded version that combines DeepSeek-V2-Chat and DeepSeek-Coder-V2-Instruct."</t>
  </si>
  <si>
    <t>Yi-Coder</t>
  </si>
  <si>
    <t>https://huggingface.co/collections/01-ai/yi-coder-66bdb00f5bdd611f9a008f30</t>
  </si>
  <si>
    <t>https://01-ai.github.io/blog.html?post=en/2024-09-05-A-Small-but-Mighty-LLM-for-Code.md</t>
  </si>
  <si>
    <t>6B=3T tokens, 9B=+0.8T tokens, 9B-Coder=+2.4T tokens=6.2T tokens. See Yi 1.5 34B in this table</t>
  </si>
  <si>
    <t>OLMoE-1B-7B</t>
  </si>
  <si>
    <t>https://huggingface.co/collections/allenai/olmoe-66cf678c047657a30c8cd3da</t>
  </si>
  <si>
    <t>https://arxiv.org/abs/2409.02060v1</t>
  </si>
  <si>
    <t>Open Language (OL) Mixture of Experts (MoE). "We train OLMoE-1B-7B for 5 trillion tokens, however, some recent dense models train significantly longer, such as Llama 3 with 15 trillion tokens. To the best of our knowledge, there has been no large MoE that has been overtrained as much as OLMoE-1B-7B. Specifically, taking the active parameters of OLMoE-1B-7B, our token multiplier is around 5,000 (5T / 1B). There are likely benefits to training even longer, but to what degree overtraining is effective for MoEs and how it differs from dense models still requires more research."</t>
  </si>
  <si>
    <t>PLLuM</t>
  </si>
  <si>
    <t>https://opi.org.pl/en/the-launch-of-the-first-polish-open-large-language-model-pllum/</t>
  </si>
  <si>
    <t>Polish Large Language Model. Not yet available as of Sep/2024</t>
  </si>
  <si>
    <t>xLAM</t>
  </si>
  <si>
    <t>https://huggingface.co/Salesforce/xLAM-8x22b-r</t>
  </si>
  <si>
    <t>64K sequence length. Released under Apache-2.0.</t>
  </si>
  <si>
    <t>LTM-2-mini</t>
  </si>
  <si>
    <t>Magic</t>
  </si>
  <si>
    <t>https://magic.dev/blog/100m-token-context-windows</t>
  </si>
  <si>
    <t>Context=100M tokens equals ~10 million lines of code or ~750 novels.</t>
  </si>
  <si>
    <t>Rene</t>
  </si>
  <si>
    <t>Cartesia</t>
  </si>
  <si>
    <t>https://huggingface.co/cartesia-ai/Rene-v0.1-1.3b-pytorch</t>
  </si>
  <si>
    <t>https://cartesia.ai/blog/2024-08-27-on-device</t>
  </si>
  <si>
    <t>On-device. "hybrid architecture based on Mamba-2, with feedforward and sliding window attention layers interspersed"</t>
  </si>
  <si>
    <t>Gemini 1.5 Flash-8B</t>
  </si>
  <si>
    <t>https://ai.google.dev/</t>
  </si>
  <si>
    <t>https://arxiv.org/abs/2403.05530</t>
  </si>
  <si>
    <r>
      <t/>
    </r>
    <r>
      <rPr>
        <sz val="14"/>
        <color theme="1"/>
        <rFont val="Calibri"/>
        <family val="2"/>
        <scheme val="minor"/>
      </rPr>
      <t xml:space="preserve">Announce: </t>
    </r>
    <r>
      <rPr>
        <u/>
        <sz val="14"/>
        <color rgb="FF1155cc"/>
        <rFont val="Calibri"/>
        <family val="2"/>
        <scheme val="minor"/>
      </rPr>
      <t>https://x.com/OfficialLoganK/status/1828480085353234535</t>
    </r>
    <r>
      <rPr>
        <sz val="14"/>
        <color theme="1"/>
        <rFont val="Calibri"/>
        <family val="2"/>
        <scheme val="minor"/>
      </rPr>
      <t xml:space="preserve"> 1M context for all modalities. Note: Gemini outputs are watermarked. I do not use GDM models. </t>
    </r>
    <r>
      <rPr>
        <u/>
        <sz val="14"/>
        <color rgb="FF1155cc"/>
        <rFont val="Calibri"/>
        <family val="2"/>
        <scheme val="minor"/>
      </rPr>
      <t>https://lifearchitect.ai/watermarking/</t>
    </r>
  </si>
  <si>
    <t>Pharia-1-LLM-7B</t>
  </si>
  <si>
    <t>Aleph Alpha</t>
  </si>
  <si>
    <t>https://huggingface.co/Aleph-Alpha/Pharia-1-LLM-7B-control</t>
  </si>
  <si>
    <t>https://aleph-alpha.com/introducing-pharia-1-llm-transparent-and-compliant/</t>
  </si>
  <si>
    <t>TTT-Linear</t>
  </si>
  <si>
    <t>https://github.com/test-time-training/ttt-lm-jax</t>
  </si>
  <si>
    <t>https://arxiv.org/abs/2407.04620</t>
  </si>
  <si>
    <t>Test-Time Training (TTT) layers. Real-time learning by Stanford, UC, and Meta. Potential for frontier models in 2025+.</t>
  </si>
  <si>
    <t>Jamba 1.5</t>
  </si>
  <si>
    <t>https://huggingface.co/collections/ai21labs/jamba-15-66c44befa474a917fcf55251</t>
  </si>
  <si>
    <t>https://arxiv.org/abs/2408.12570</t>
  </si>
  <si>
    <t>Jamba 1.5 Mini (12B active/52B total) and Jamba 1.5 Large (94B active/398B total) are also optimized for business use cases and capabilities such as function calling, structured output (JSON), and grounded generation.</t>
  </si>
  <si>
    <t>phi-3.5-MoE</t>
  </si>
  <si>
    <t>https://huggingface.co/microsoft/Phi-3.5-MoE-instruct</t>
  </si>
  <si>
    <t>https://arxiv.org/abs/2407.13833https://arxiv.org/abs/2407.13833</t>
  </si>
  <si>
    <t>phi-3.5-mini</t>
  </si>
  <si>
    <t>https://huggingface.co/microsoft/Phi-3.5-mini-instruct</t>
  </si>
  <si>
    <t>https://arxiv.org/abs/2407.13833</t>
  </si>
  <si>
    <t>Minitron-4B</t>
  </si>
  <si>
    <t>https://huggingface.co/nvidia/Minitron-4B-Base</t>
  </si>
  <si>
    <t>https://arxiv.org/abs/2407.14679</t>
  </si>
  <si>
    <r>
      <t/>
    </r>
    <r>
      <rPr>
        <sz val="14"/>
        <color rgb="FF073763"/>
        <rFont val="Calibri"/>
        <family val="2"/>
        <scheme val="minor"/>
      </rPr>
      <t xml:space="preserve">Pruned and distilled from Nemotron-4 15B: </t>
    </r>
    <r>
      <rPr>
        <u/>
        <sz val="14"/>
        <color rgb="FF1155cc"/>
        <rFont val="Calibri"/>
        <family val="2"/>
        <scheme val="minor"/>
      </rPr>
      <t>https://developer.nvidia.com/blog/how-to-prune-and-distill-llama-3-1-8b-to-an-nvidia-llama-3-1-minitron-4b-model/</t>
    </r>
  </si>
  <si>
    <t>sarvam-2b</t>
  </si>
  <si>
    <t>Sarvam AI</t>
  </si>
  <si>
    <t>https://huggingface.co/sarvamai/sarvam-2b-v0.5</t>
  </si>
  <si>
    <t>Indic languages supported are: Bengali, Gujarati, Hindi, Kannada, Malayalam, Marathi, Oriya, Punjabi, Tamil, and Telugu.</t>
  </si>
  <si>
    <t>Grok-2</t>
  </si>
  <si>
    <t>https://huggingface.co/xai-org/grok-2</t>
  </si>
  <si>
    <t>https://x.ai/blog/grok-2</t>
  </si>
  <si>
    <r>
      <t/>
    </r>
    <r>
      <rPr>
        <sz val="14"/>
        <color theme="1"/>
        <rFont val="Calibri"/>
        <family val="2"/>
        <scheme val="minor"/>
      </rPr>
      <t xml:space="preserve">MMLU-Pro=75.5=SOTA. Claude 3.5S MMLU-Pro=72.83. "Grok-2 has been tested on the LMSYS leaderboard under the name "sus-column-r." At the time of this blog post, it is outperforming both Claude 3.5 Sonnet and GPT-4-Turbo." [Alan: Grok is Heinlein, Sixth Column is also Heinlein: </t>
    </r>
    <r>
      <rPr>
        <u/>
        <sz val="14"/>
        <color rgb="FF1155cc"/>
        <rFont val="Calibri"/>
        <family val="2"/>
        <scheme val="minor"/>
      </rPr>
      <t>https://en.wikipedia.org/wiki/Sixth_Column</t>
    </r>
    <r>
      <rPr>
        <sz val="14"/>
        <color theme="1"/>
        <rFont val="Calibri"/>
        <family val="2"/>
        <scheme val="minor"/>
      </rPr>
      <t xml:space="preserve"> ]</t>
    </r>
  </si>
  <si>
    <t>EXAONE 3.0</t>
  </si>
  <si>
    <t>https://huggingface.co/LGAI-EXAONE/EXAONE-3.0-7.8B-Instruct</t>
  </si>
  <si>
    <t>https://arxiv.org/abs/2408.03541</t>
  </si>
  <si>
    <t>“EXAONE”=“EXpert AI for EveryONE”</t>
  </si>
  <si>
    <t>Falcon Mamba 7B</t>
  </si>
  <si>
    <t>https://falconllm.tii.ae/falcon-models.html</t>
  </si>
  <si>
    <t>https://falconllm.tii.ae/tii-releases-first-sslm-with-falcon-mamba-7b.html</t>
  </si>
  <si>
    <t>https://huggingface.co/spaces/tiiuae/falcon-mamba-playground</t>
  </si>
  <si>
    <t>Palmyra-Med-70B</t>
  </si>
  <si>
    <t>Writer</t>
  </si>
  <si>
    <t>https://huggingface.co/Writer/Palmyra-Med-70B-32K</t>
  </si>
  <si>
    <t>https://writer.com/blog/palmyra-med-fin-models/</t>
  </si>
  <si>
    <t>Medical. MMLU Medical Genetics=94.0</t>
  </si>
  <si>
    <t>Palmyra-Fin-70B</t>
  </si>
  <si>
    <t>https://huggingface.co/Writer/Palmyra-Fin-70B-32K</t>
  </si>
  <si>
    <t>Financial. "across a variety of real-world financial use cases. It outperformed popular models like Claude 3.5 Sonnet, GPT-4o, and Mixtral-8x7b"</t>
  </si>
  <si>
    <t>Zamba2-small</t>
  </si>
  <si>
    <t>https://huggingface.co/Zyphra/Zamba2-2.7B</t>
  </si>
  <si>
    <t>https://www.zyphra.com/post/zamba2-small</t>
  </si>
  <si>
    <t>Mamba2</t>
  </si>
  <si>
    <t>Minitron-8B</t>
  </si>
  <si>
    <t>https://huggingface.co/nvidia/Mistral-NeMo-Minitron-8B-Base</t>
  </si>
  <si>
    <t>https://blogs.nvidia.com/blog/mistral-nemo-minitron-8b-small-language-model/</t>
  </si>
  <si>
    <t>Mistral Large 2</t>
  </si>
  <si>
    <t>https://huggingface.co/mistralai/Mistral-Large-Instruct-2407</t>
  </si>
  <si>
    <t>https://mistral.ai/news/mistral-large-2407/</t>
  </si>
  <si>
    <t>Fits on a single node for inference.</t>
  </si>
  <si>
    <t>Llama 3.1 405B</t>
  </si>
  <si>
    <t>https://www.meta.ai/</t>
  </si>
  <si>
    <t>https://ai.meta.com/research/publications/the-llama-3-herd-of-models/</t>
  </si>
  <si>
    <r>
      <t/>
    </r>
    <r>
      <rPr>
        <sz val="14"/>
        <color theme="1"/>
        <rFont val="Calibri"/>
        <family val="2"/>
        <scheme val="minor"/>
      </rPr>
      <t xml:space="preserve">Announce: </t>
    </r>
    <r>
      <rPr>
        <u/>
        <sz val="14"/>
        <color rgb="FF1155cc"/>
        <rFont val="Calibri"/>
        <family val="2"/>
        <scheme val="minor"/>
      </rPr>
      <t>https://ai.meta.com/blog/meta-llama-3-1/</t>
    </r>
    <r>
      <rPr>
        <sz val="14"/>
        <color theme="1"/>
        <rFont val="Calibri"/>
        <family val="2"/>
        <scheme val="minor"/>
      </rPr>
      <t xml:space="preserve"> Model card: </t>
    </r>
    <r>
      <rPr>
        <u/>
        <sz val="14"/>
        <color rgb="FF1155cc"/>
        <rFont val="Calibri"/>
        <family val="2"/>
        <scheme val="minor"/>
      </rPr>
      <t>https://github.com/meta-llama/llama-models/blob/main/models/llama3_1/MODEL_CARD.md</t>
    </r>
  </si>
  <si>
    <t>GPT-4o mini</t>
  </si>
  <si>
    <t>https://openai.com/index/gpt-4o-mini-advancing-cost-efficient-intelligence/</t>
  </si>
  <si>
    <r>
      <t/>
    </r>
    <r>
      <rPr>
        <sz val="14"/>
        <color theme="1"/>
        <rFont val="Calibri"/>
        <family val="2"/>
        <scheme val="minor"/>
      </rPr>
      <t xml:space="preserve">Omnimodel. "OpenAI would not disclose exactly how large GPT-4o mini is, but said it’s roughly in the same tier as other small AI models, such as Llama 3 8b, Claude Haiku and Gemini 1.5 Flash." </t>
    </r>
    <r>
      <rPr>
        <u/>
        <sz val="14"/>
        <color rgb="FF1155cc"/>
        <rFont val="Calibri"/>
        <family val="2"/>
        <scheme val="minor"/>
      </rPr>
      <t>https://techcrunch.com/2024/07/18/openai-unveils-gpt-4o-mini-a-small-ai-model-powering-chatgpt/</t>
    </r>
    <r>
      <rPr>
        <sz val="14"/>
        <color theme="1"/>
        <rFont val="Calibri"/>
        <family val="2"/>
        <scheme val="minor"/>
      </rPr>
      <t xml:space="preserve"> "tested GPT-4o to identify potential risks, which we have addressed and plan to share the details of in the forthcoming GPT-4o system card and Preparedness scorecard." And related paper about instruction hierarchy: </t>
    </r>
    <r>
      <rPr>
        <u/>
        <sz val="14"/>
        <color rgb="FF1155cc"/>
        <rFont val="Calibri"/>
        <family val="2"/>
        <scheme val="minor"/>
      </rPr>
      <t>https://arxiv.org/abs/2404.13208</t>
    </r>
    <r>
      <rPr>
        <sz val="14"/>
        <color theme="1"/>
        <rFont val="Calibri"/>
        <family val="2"/>
        <scheme val="minor"/>
      </rPr>
      <t xml:space="preserve"> </t>
    </r>
  </si>
  <si>
    <t>NeMo</t>
  </si>
  <si>
    <t>https://huggingface.co/mistralai/Mistral-Nemo-Base-2407</t>
  </si>
  <si>
    <t>https://mistral.ai/news/mistral-nemo/</t>
  </si>
  <si>
    <r>
      <t/>
    </r>
    <r>
      <rPr>
        <sz val="14"/>
        <color theme="1"/>
        <rFont val="Calibri"/>
        <family val="2"/>
        <scheme val="minor"/>
      </rPr>
      <t xml:space="preserve">With NVIDIA. "Drop-in replacement of Mistral 7B". "trained using Megatron-LM, part of NVIDIA NeMo, with 3,072 H100 80GB Tensor Core GPUs" </t>
    </r>
    <r>
      <rPr>
        <u/>
        <sz val="14"/>
        <color rgb="FF1155cc"/>
        <rFont val="Calibri"/>
        <family val="2"/>
        <scheme val="minor"/>
      </rPr>
      <t>https://blogs.nvidia.com/blog/mistral-nvidia-ai-model/</t>
    </r>
  </si>
  <si>
    <t>Codestral Mamba</t>
  </si>
  <si>
    <t>https://huggingface.co/mistralai/mamba-codestral-7B-v0.1</t>
  </si>
  <si>
    <t>https://mistral.ai/news/codestral-mamba/</t>
  </si>
  <si>
    <t>"Unlike Transformer models, Mamba models offer the advantage of linear time inference and the theoretical ability to model sequences of infinite length."</t>
  </si>
  <si>
    <t>Mathstral</t>
  </si>
  <si>
    <t>https://huggingface.co/mistralai/mathstral-7B-v0.1</t>
  </si>
  <si>
    <t>https://mistral.ai/news/mathstral/</t>
  </si>
  <si>
    <t>"We’re contributing Mathstral to the science community to bolster efforts in advanced mathematical problems requiring complex, multi-step logical reasoning."</t>
  </si>
  <si>
    <t>SpreadsheetLLM</t>
  </si>
  <si>
    <t>https://arxiv.org/abs/2407.09025v1</t>
  </si>
  <si>
    <t>Notable finetune of GPT4-0125-preview "outperforming the vanilla approach by 25.6% in GPT4’s in-context learning setting"</t>
  </si>
  <si>
    <t>Spectra</t>
  </si>
  <si>
    <t>https://huggingface.co/SpectraSuite</t>
  </si>
  <si>
    <t>https://arxiv.org/abs/2407.12327</t>
  </si>
  <si>
    <t>AKA TriLM. "Spectra LLM suite, the first open suite of LLMs spanning multiple bit-widths, including FloatLMs, QuantLMs, and TriLMs, ranging from 99M to 3.9B parameters trained on 300B tokens."</t>
  </si>
  <si>
    <t>next-gen</t>
  </si>
  <si>
    <t>DeepL</t>
  </si>
  <si>
    <t>https://www.deepl.com/en/translator</t>
  </si>
  <si>
    <t>https://www.deepl.com/en/blog/next-gen-language-model</t>
  </si>
  <si>
    <t>"Built using our own groundbreaking, specialized LLM technology and proprietary training data, designed specifically for translation"</t>
  </si>
  <si>
    <t>https://huggingface.co/collections/HuggingFaceTB/smollm-6695016cad7167254ce15966</t>
  </si>
  <si>
    <t>Dataset includes new Cosmopedia v2 synthetic data. 135M and 360M models,each trained on 600B tokens from Smollm-Corpus. 1.7B model trained on 1T tokens from Smollm-Corpus.</t>
  </si>
  <si>
    <t>Mockingbird</t>
  </si>
  <si>
    <t>Vectara</t>
  </si>
  <si>
    <t>https://vectara.com/platform/</t>
  </si>
  <si>
    <t>https://vectara.com/blog/mockingbird-a-rag-and-structured-output-focused-llm/</t>
  </si>
  <si>
    <t>"At &lt;10B parameters it's an LLM trained to provide optimal results for RAG and structured outputs."</t>
  </si>
  <si>
    <t>FLAMe</t>
  </si>
  <si>
    <t>dialogue</t>
  </si>
  <si>
    <t>https://arxiv.org/abs/2407.10817v1</t>
  </si>
  <si>
    <t>LLM-as-a-Judge autorater. Foundational Large Autorater Models (FLAMe). Uses an instruction-tuned PaLM-2-24B model. Unrelated to Microsoft FLAME Jan/2023.</t>
  </si>
  <si>
    <t>Step-2</t>
  </si>
  <si>
    <t>https://platform.stepfun.com/#language-step2</t>
  </si>
  <si>
    <t>https://platform.stepfun.com/docs/llm/text</t>
  </si>
  <si>
    <r>
      <t/>
    </r>
    <r>
      <rPr>
        <sz val="14"/>
        <color rgb="FF073763"/>
        <rFont val="Calibri"/>
        <family val="2"/>
        <scheme val="minor"/>
      </rPr>
      <t xml:space="preserve">Launched early Jul/2024: </t>
    </r>
    <r>
      <rPr>
        <u/>
        <sz val="14"/>
        <color rgb="FF1155cc"/>
        <rFont val="Calibri"/>
        <family val="2"/>
        <scheme val="minor"/>
      </rPr>
      <t>https://pandaily.com/stepfun-releases-three-large-models-of-the-step-series/</t>
    </r>
    <r>
      <rPr>
        <sz val="14"/>
        <color rgb="FF073763"/>
        <rFont val="Calibri"/>
        <family val="2"/>
        <scheme val="minor"/>
      </rPr>
      <t xml:space="preserve"> "StepFun, founded in April 2023 with the mission to “Scale-up possibilities for everyone,” unites top talent in artificial intelligence from both domestic and international backgrounds, and is dedicated to advancing toward AGI. The company has already launched the Step series of foundation models, which includes Step-2, a cutting-edge trillion-parameter Mixture of Experts (MoE) language model; Step-1.5V, a powerful multimodal large model; and Step-1V, an innovative image generation model, among others."</t>
    </r>
  </si>
  <si>
    <t>H2O-Danube3-4B</t>
  </si>
  <si>
    <t>H2O.ai</t>
  </si>
  <si>
    <t>https://h2o.ai/platform/danube/personal-gpt/</t>
  </si>
  <si>
    <t>https://arxiv.org/abs/2407.09276</t>
  </si>
  <si>
    <r>
      <t/>
    </r>
    <r>
      <rPr>
        <sz val="14"/>
        <color rgb="FF073763"/>
        <rFont val="Calibri"/>
        <family val="2"/>
        <scheme val="minor"/>
      </rPr>
      <t xml:space="preserve">Runs natively and fully offline on mobile phone. "H2O-Danube3 is a family of decoder only LLM models that use the general Llama model architecture adopting core principles from Llama 2 and Mistral with custom parameters determining the shape of each layer and total parameter count. We use the Mistral tokenizer..." MMLU for chat=54.74, base=55.18 via </t>
    </r>
    <r>
      <rPr>
        <u/>
        <sz val="14"/>
        <color rgb="FF1155cc"/>
        <rFont val="Calibri"/>
        <family val="2"/>
        <scheme val="minor"/>
      </rPr>
      <t>https://huggingface.co/h2oai/h2o-danube3-4b-base</t>
    </r>
  </si>
  <si>
    <t>Causal Axioms</t>
  </si>
  <si>
    <t>https://arxiv.org/abs/2407.07612v1</t>
  </si>
  <si>
    <t>"the training dataset follows a specific structure, we develop a custom tokenizer. Alphanumeric node names are tokenized at a character level, while special terms such as ‘causes’, ‘Does’, ‘cause’, ‘Yes’, and ‘No’ are tokenized at the word level... Our training setup consists of around 175k instances of sequential chains with size of chains ranging from 3 to 6 nodes... All models are trained for 100 epochs. [LifeArchitect.ai estimate is 12 tokens per node x 6 nodes x 175,000 instances x 100 epochs = 1.26B tokens]" Based on GPT-2 arch.</t>
  </si>
  <si>
    <t>SenseNova 5.5</t>
  </si>
  <si>
    <t>SenseTime</t>
  </si>
  <si>
    <t>https://platform.sensenova.cn/home#/home</t>
  </si>
  <si>
    <t>https://www.sensetime.com/en/news-detail/51168278?categoryId=1072</t>
  </si>
  <si>
    <t>"The model training was based on over 10TB tokens [sic, taken as 10T tokens instead of 10TB=2T tokens] of high-quality training data, including a large amount of synthetically-generated reasoning chain data, which help to enhance its reasoning capabilities." &amp; "The updates include SenseNova 5o, the first real-time multimodal model in China, which provides a new AI interaction model on par with GPT-4o’s streaming interaction capabilities"</t>
  </si>
  <si>
    <t>Helium 7B</t>
  </si>
  <si>
    <t>https://moshi.chat/</t>
  </si>
  <si>
    <t>https://youtu.be/hm2IJSKcYvo</t>
  </si>
  <si>
    <t>"1. The model is fine-tuned on 100K transcripts generated by Helium itself. 2. These transcripts are highly detailed, heavily annotated with emotion and style, and conversational. 3. Text to Speech Engine is further fine-tuned on 20 hours of audio recorded by Alice and licensed."</t>
  </si>
  <si>
    <t>InternLM2.5</t>
  </si>
  <si>
    <t>https://huggingface.co/internlm/internlm2_5-20b-chat</t>
  </si>
  <si>
    <t>https://github.com/InternLM/InternLM/blob/main/model_cards/internlm2.5_7b.md</t>
  </si>
  <si>
    <t>"The release of InternLM2.5 series contains 7B model size for now and we are going to release the 1.8B and 20B versions soon" [20B released around 1/Aug/2024]</t>
  </si>
  <si>
    <t>Tele-FLM-1T</t>
  </si>
  <si>
    <t>https://huggingface.co/CofeAI/Tele-FLM-1T</t>
  </si>
  <si>
    <t>https://arxiv.org/abs/2407.02783</t>
  </si>
  <si>
    <t>Technical arch testing only, ratio is too low for decent performance.</t>
  </si>
  <si>
    <t>YuLan-Base-12B</t>
  </si>
  <si>
    <t>https://github-com.translate.goog/RUC-GSAI/YuLan-Chat?_x_tr_sl=zh-CN&amp;_x_tr_tl=en&amp;_x_tr_hl=en&amp;_x_tr_pto=sc</t>
  </si>
  <si>
    <t>https://arxiv.org/abs/2406.19853</t>
  </si>
  <si>
    <t>"YuLan's training is finished on Jan, 2024 and has achieved performance on par with state-of-the-art LLMs across various English and Chinese benchmarks."</t>
  </si>
  <si>
    <t>ERNIE 4.0 Turbo</t>
  </si>
  <si>
    <t>https://www.reuters.com/technology/artificial-intelligence/baidu-launches-upgraded-ai-model-says-user-base-hits-300-mln-2024-06-28/</t>
  </si>
  <si>
    <t>"Ernie Bot has reached 300 million users since its launch [on 16/Mar/2023, public Aug/2023]" Jun/2024</t>
  </si>
  <si>
    <t>Gemma 2</t>
  </si>
  <si>
    <t>https://huggingface.co/google/gemma-2-27b-it</t>
  </si>
  <si>
    <t>https://storage.googleapis.com/deepmind-media/gemma/gemma-2-report.pdf</t>
  </si>
  <si>
    <r>
      <t/>
    </r>
    <r>
      <rPr>
        <sz val="14"/>
        <color rgb="FF000000"/>
        <rFont val="Calibri"/>
        <family val="2"/>
        <scheme val="minor"/>
      </rPr>
      <t xml:space="preserve">Announce: </t>
    </r>
    <r>
      <rPr>
        <u/>
        <sz val="14"/>
        <color rgb="FF1155cc"/>
        <rFont val="Calibri"/>
        <family val="2"/>
        <scheme val="minor"/>
      </rPr>
      <t>https://blog.google/technology/developers/google-gemma-2/</t>
    </r>
  </si>
  <si>
    <t>CriticGPT</t>
  </si>
  <si>
    <t>https://cdn.openai.com/llm-critics-help-catch-llm-bugs-paper.pdf</t>
  </si>
  <si>
    <r>
      <t/>
    </r>
    <r>
      <rPr>
        <sz val="14"/>
        <color rgb="FF073763"/>
        <rFont val="Calibri"/>
        <family val="2"/>
        <scheme val="minor"/>
      </rPr>
      <t xml:space="preserve">"LLM Critics Help Catch LLM Bugs" Announce: </t>
    </r>
    <r>
      <rPr>
        <u/>
        <sz val="14"/>
        <color rgb="FF1155cc"/>
        <rFont val="Calibri"/>
        <family val="2"/>
        <scheme val="minor"/>
      </rPr>
      <t>https://openai.com/index/finding-gpt4s-mistakes-with-gpt-4/</t>
    </r>
  </si>
  <si>
    <t>4M-21</t>
  </si>
  <si>
    <t>https://github.com/apple/ml-4m/</t>
  </si>
  <si>
    <t>https://arxiv.org/abs/2406.09406</t>
  </si>
  <si>
    <r>
      <t/>
    </r>
    <r>
      <rPr>
        <sz val="14"/>
        <color theme="1"/>
        <rFont val="Calibri"/>
        <family val="2"/>
        <scheme val="minor"/>
      </rPr>
      <t xml:space="preserve">Vision model based on T5-XXL. Modalities: RGB, Caption, Bounding boxes, Semantic segmentation, Depth, Human poses, Surface normals, CLIP, DINOv2, ImageBind, Metadata, Canny edges, SAM edges, SAM instances, Color palette. Project page: </t>
    </r>
    <r>
      <rPr>
        <u/>
        <sz val="14"/>
        <color rgb="FF1155cc"/>
        <rFont val="Calibri"/>
        <family val="2"/>
        <scheme val="minor"/>
      </rPr>
      <t>https://4m.epfl.ch/</t>
    </r>
  </si>
  <si>
    <t>ESM3</t>
  </si>
  <si>
    <t>EvolutionaryScale</t>
  </si>
  <si>
    <t>https://github.com/evolutionaryscale/esm</t>
  </si>
  <si>
    <t>https://www.evolutionaryscale.ai/blog/esm3-release</t>
  </si>
  <si>
    <t>Biology large language model: "sequence, structure, and function are all masked and predicted during training, ESM3 can generate in all three modalities." 1.4B only released.</t>
  </si>
  <si>
    <t>PanGu 5.0 Super</t>
  </si>
  <si>
    <t>https://www.huaweicloud.com/intl/en-us/product/modelarts.html</t>
  </si>
  <si>
    <t>https://www.huaweicentral.com/huawei-cloud-unveils-pangu-large-model-5-0/</t>
  </si>
  <si>
    <t>https://x.com/faridofanani96/status/1804079517193113850/photo/1</t>
  </si>
  <si>
    <t>https://poe.com/Claude-3.5-Sonnet</t>
  </si>
  <si>
    <r>
      <t/>
    </r>
    <r>
      <rPr>
        <sz val="14"/>
        <color rgb="FF073763"/>
        <rFont val="Calibri"/>
        <family val="2"/>
        <scheme val="minor"/>
      </rPr>
      <t xml:space="preserve">MMLU=90.4 with prompting. Model card: </t>
    </r>
    <r>
      <rPr>
        <u/>
        <sz val="14"/>
        <color rgb="FF1155cc"/>
        <rFont val="Calibri"/>
        <family val="2"/>
        <scheme val="minor"/>
      </rPr>
      <t>https://www-cdn.anthropic.com/fed9cc193a14b84131812372d8d5857f8f304c52/Model_Card_Claude_3_Addendum.pdf</t>
    </r>
    <r>
      <rPr>
        <sz val="14"/>
        <color rgb="FF073763"/>
        <rFont val="Calibri"/>
        <family val="2"/>
        <scheme val="minor"/>
      </rPr>
      <t xml:space="preserve"> </t>
    </r>
  </si>
  <si>
    <t>DeepSeek-Coder-V2</t>
  </si>
  <si>
    <t>https://chat.deepseek.com/coder</t>
  </si>
  <si>
    <t>DeepSeek-V2 with additional 6 trillion tokens.</t>
  </si>
  <si>
    <t>DCLM-Baseline 7B 2.6T</t>
  </si>
  <si>
    <t>https://huggingface.co/apple/DCLM-Baseline-7B</t>
  </si>
  <si>
    <r>
      <t/>
    </r>
    <r>
      <rPr>
        <sz val="14"/>
        <color rgb="FF073763"/>
        <rFont val="Calibri"/>
        <family val="2"/>
        <scheme val="minor"/>
      </rPr>
      <t xml:space="preserve">New dataset: 240T tokens: 8× larger than previous SOTA dataset. DCLM-Pool is 240T, DCLM-Baseline is 3.8T: "we combine our 3.8T DCLM-BASELINE with the StarCoder and ProofPile2 data to arrive at a 4.1T token dataset. We train a 7B model for 2.5T tokens" and "We release the DCLM benchmark, framework, models, and datasets at </t>
    </r>
    <r>
      <rPr>
        <u/>
        <sz val="14"/>
        <color rgb="FF1155cc"/>
        <rFont val="Calibri"/>
        <family val="2"/>
        <scheme val="minor"/>
      </rPr>
      <t>https://datacomp.ai/dclm.</t>
    </r>
    <r>
      <rPr>
        <sz val="14"/>
        <color rgb="FF073763"/>
        <rFont val="Calibri"/>
        <family val="2"/>
        <scheme val="minor"/>
      </rPr>
      <t>"</t>
    </r>
  </si>
  <si>
    <t>Nemotron-4-340B</t>
  </si>
  <si>
    <t>https://build.nvidia.com/nvidia/nemotron-4-340b-instruct</t>
  </si>
  <si>
    <t>https://d1qx31qr3h6wln.cloudfront.net/publications/Nemotron_4_340B_8T.pdf</t>
  </si>
  <si>
    <r>
      <t/>
    </r>
    <r>
      <rPr>
        <sz val="14"/>
        <color rgb="FF073763"/>
        <rFont val="Calibri"/>
        <family val="2"/>
        <scheme val="minor"/>
      </rPr>
      <t xml:space="preserve">Open-source equiv of Mar/2023 GPT-4 (1760MoE≈340B, 13T), same param count but 2x the tokens of May/2023 PaLM 2 (340B, 3.6T), competitor to Nov/2023 Grok-1 (314B, 6T). Trained on 6,144 H100s. ~1.3TB for inference. 50+ natural and 40+ coding languages. Trained between December 2023 and May 2024. MMLU 0-shot for instruct=78.7, 5-shot for base=81.1. Permalink for paper: </t>
    </r>
    <r>
      <rPr>
        <u/>
        <sz val="14"/>
        <color rgb="FF1155cc"/>
        <rFont val="Calibri"/>
        <family val="2"/>
        <scheme val="minor"/>
      </rPr>
      <t>https://research.nvidia.com/publication/2024-06_nemotron-4-340b</t>
    </r>
  </si>
  <si>
    <t>Apple On-Device model Jun/2024</t>
  </si>
  <si>
    <t>https://github.com/apple/corenet/tree/main/projects/openelm</t>
  </si>
  <si>
    <t>https://arxiv.org/abs/2404.14619</t>
  </si>
  <si>
    <r>
      <t/>
    </r>
    <r>
      <rPr>
        <u/>
        <sz val="14"/>
        <color rgb="FF1155cc"/>
        <rFont val="Calibri"/>
        <family val="2"/>
        <scheme val="minor"/>
      </rPr>
      <t>https://lifearchitect.ai/apple/</t>
    </r>
    <r>
      <rPr>
        <sz val="14"/>
        <color theme="1"/>
        <rFont val="Calibri"/>
        <family val="2"/>
        <scheme val="minor"/>
      </rPr>
      <t xml:space="preserve"> Likely to be the Apple OpenELM model (Apr/2024). "two of these models — a ~3 billion parameter on-device language model, and a larger server-based language model available with Private Cloud Compute". </t>
    </r>
    <r>
      <rPr>
        <u/>
        <sz val="14"/>
        <color rgb="FF1155cc"/>
        <rFont val="Calibri"/>
        <family val="2"/>
        <scheme val="minor"/>
      </rPr>
      <t>https://machinelearning.apple.com/research/introducing-apple-foundation-models</t>
    </r>
    <r>
      <rPr>
        <sz val="14"/>
        <color theme="1"/>
        <rFont val="Calibri"/>
        <family val="2"/>
        <scheme val="minor"/>
      </rPr>
      <t xml:space="preserve"> The server-based model is possibly Ferret, although it is more properly called a multimodal model (not just language). It could also be Apple GPT based on their Ajax framework: </t>
    </r>
    <r>
      <rPr>
        <u/>
        <sz val="14"/>
        <color rgb="FF1155cc"/>
        <rFont val="Calibri"/>
        <family val="2"/>
        <scheme val="minor"/>
      </rPr>
      <t>https://archive.md/f3C0r</t>
    </r>
  </si>
  <si>
    <t>MatMul-Free LM</t>
  </si>
  <si>
    <t>UCSC</t>
  </si>
  <si>
    <t>https://github.com/ridgerchu/matmulfreellm</t>
  </si>
  <si>
    <t>https://arxiv.org/abs/2406.02528</t>
  </si>
  <si>
    <t>"we explore alternative methods for mixing tokens without relying on matrix multiplications." Compared with Transformer++ based on Llama-2, not to be confused with the pre-GPT-3 American Express Transformer++ paper from 2/Mar/2020. Instead, Transformer++ is defined in the Mamba paper: 'Transformer++: A Transformer with an improved architecture, namely rotary positional encodings (Su et al. 2021) and SwiGLU MLP (Shazeer 2020)'</t>
  </si>
  <si>
    <t>Luna</t>
  </si>
  <si>
    <t>Galileo</t>
  </si>
  <si>
    <t>https://www.rungalileo.io/blog/introducing-galileo-luna-a-family-of-evaluation-foundation-models</t>
  </si>
  <si>
    <t>https://arxiv.org/abs/2406.00975</t>
  </si>
  <si>
    <t>Based on DeBERTA-large (440M). RoBERTa=162B token dataset.</t>
  </si>
  <si>
    <t>Qwen2</t>
  </si>
  <si>
    <t>https://huggingface.co/spaces/Qwen/Qwen2-72B-Instruct</t>
  </si>
  <si>
    <t>https://arxiv.org/abs/2407.10671</t>
  </si>
  <si>
    <r>
      <t/>
    </r>
    <r>
      <rPr>
        <sz val="14"/>
        <color theme="1"/>
        <rFont val="Calibri"/>
        <family val="2"/>
        <scheme val="minor"/>
      </rPr>
      <t xml:space="preserve">Instruct MMLU=82. Instruct GPQA=41.9. </t>
    </r>
    <r>
      <rPr>
        <u/>
        <sz val="14"/>
        <color rgb="FF1155cc"/>
        <rFont val="Calibri"/>
        <family val="2"/>
        <scheme val="minor"/>
      </rPr>
      <t>https://qwenlm.github.io/blog/qwen2/</t>
    </r>
  </si>
  <si>
    <t>Qwen2-57B-A14B</t>
  </si>
  <si>
    <t xml:space="preserve">https://github.com/QwenLM/Qwen2?tab=readme-ov-file </t>
  </si>
  <si>
    <t>https://qwenlm.github.io/blog/qwen2/</t>
  </si>
  <si>
    <t>Skywork MoE 16x13B</t>
  </si>
  <si>
    <t>Kunlun Tech</t>
  </si>
  <si>
    <t>https://huggingface.co/Skywork/Skywork-MoE-Base</t>
  </si>
  <si>
    <t>https://github.com/SkyworkAI/Skywork-MoE/blob/main/skywork-moe-tech-report.pdf</t>
  </si>
  <si>
    <t>CN + EN. "(MoE) model with 146 billion parameters, 16 experts, and 22 billion activated parameters. This model is initialized from the pre-existing dense checkpoints of our Skywork-13B model."</t>
  </si>
  <si>
    <t>Mamba-2</t>
  </si>
  <si>
    <t>https://github.com/state-spaces/mamba</t>
  </si>
  <si>
    <t>https://arxiv.org/abs/2405.21060</t>
  </si>
  <si>
    <r>
      <t/>
    </r>
    <r>
      <rPr>
        <sz val="14"/>
        <color theme="1"/>
        <rFont val="Calibri"/>
        <family val="2"/>
        <scheme val="minor"/>
      </rPr>
      <t xml:space="preserve">Analysis: </t>
    </r>
    <r>
      <rPr>
        <u/>
        <sz val="14"/>
        <color rgb="FF1155cc"/>
        <rFont val="Calibri"/>
        <family val="2"/>
        <scheme val="minor"/>
      </rPr>
      <t>https://tridao.me/blog/2024/mamba2-part1-model/</t>
    </r>
  </si>
  <si>
    <t>https://map-neo.github.io/</t>
  </si>
  <si>
    <t>https://arxiv.org/abs/2405.19327</t>
  </si>
  <si>
    <t>"first fully open-sourced bilingual LLM with comparable performance to existing state-of-the-art LLMs... we open-source all details to reproduce our MAP-Neo, where the cleaned pre-training corpus, data cleaning pipeline, checkpoints, and well-optimized training/evaluation framework are provided."</t>
  </si>
  <si>
    <t>K2</t>
  </si>
  <si>
    <t>LLM360</t>
  </si>
  <si>
    <t>https://huggingface.co/LLM360/K2</t>
  </si>
  <si>
    <t>https://www.llm360.ai/blog/several-new-releases-to-further-our-mission.html</t>
  </si>
  <si>
    <t>"K2-65B is a fully reproducible LLM outperforming Llama 2 70B using 35% less compute."</t>
  </si>
  <si>
    <t>Codestral</t>
  </si>
  <si>
    <t>https://huggingface.co/mistralai/Codestral-22B-v0.1</t>
  </si>
  <si>
    <t>https://mistral.ai/news/codestral/</t>
  </si>
  <si>
    <t>Fluent in 80+ programming languages</t>
  </si>
  <si>
    <t>Aya-23-35B</t>
  </si>
  <si>
    <t>https://huggingface.co/spaces/CohereForAI/aya-23</t>
  </si>
  <si>
    <t>https://drive.google.com/file/d/1YKBPo61pnl97C1c_1C2ZVOnPhqf7MLSc/view</t>
  </si>
  <si>
    <t>Yi-XLarge</t>
  </si>
  <si>
    <t>https://platform.01.ai/</t>
  </si>
  <si>
    <t>https://www.aixinzhijie.com/article/6845768</t>
  </si>
  <si>
    <r>
      <t/>
    </r>
    <r>
      <rPr>
        <sz val="14"/>
        <color rgb="FF073763"/>
        <rFont val="Calibri"/>
        <family val="2"/>
        <scheme val="minor"/>
      </rPr>
      <t xml:space="preserve">Still training as of May/2024: </t>
    </r>
    <r>
      <rPr>
        <u/>
        <sz val="14"/>
        <color rgb="FF1155cc"/>
        <rFont val="Calibri"/>
        <family val="2"/>
        <scheme val="minor"/>
      </rPr>
      <t>https://appserversrc.8btc.cn/FnDYlEC4STBhphu6M3NL4CKH43FW</t>
    </r>
    <r>
      <rPr>
        <sz val="14"/>
        <color rgb="FF073763"/>
        <rFont val="Calibri"/>
        <family val="2"/>
        <scheme val="minor"/>
      </rPr>
      <t xml:space="preserve"> dead link, use: </t>
    </r>
    <r>
      <rPr>
        <u/>
        <sz val="14"/>
        <color rgb="FF1155cc"/>
        <rFont val="Calibri"/>
        <family val="2"/>
        <scheme val="minor"/>
      </rPr>
      <t>https://finance.china.com.cn/roll/20240513/6116857.shtml</t>
    </r>
  </si>
  <si>
    <t>Yi-Large</t>
  </si>
  <si>
    <t>Chameleon</t>
  </si>
  <si>
    <t>https://ai.meta.com/resources/models-and-libraries/chameleon-downloads/?gk_enable=chameleon_web_flow_is_live</t>
  </si>
  <si>
    <t>https://arxiv.org/abs/2405.09818</t>
  </si>
  <si>
    <t>Multimodal</t>
  </si>
  <si>
    <t>LearnLM</t>
  </si>
  <si>
    <t>https://learning.google.com/experiments/learn-about/signup</t>
  </si>
  <si>
    <t>https://storage.googleapis.com/deepmind-media/LearnLM/LearnLM_paper.pdf</t>
  </si>
  <si>
    <t>Fine-tuned + prompted Gemini (Dec/2023). "The results of LearnLM-Tutor reproduce the performance of Gemini Pro, for example an MMLU score of 0.72 and MATH score of 0.33."</t>
  </si>
  <si>
    <t>Sparse Llama 7B</t>
  </si>
  <si>
    <t>https://huggingface.co/spaces/neuralmagic/llama-2-sparse-transfer-chat-deepsparse</t>
  </si>
  <si>
    <t>https://arxiv.org/abs/2405.03594</t>
  </si>
  <si>
    <t>Hybrid</t>
  </si>
  <si>
    <r>
      <t/>
    </r>
    <r>
      <rPr>
        <u/>
        <sz val="14"/>
        <color rgb="FF1155cc"/>
        <rFont val="Calibri"/>
        <family val="2"/>
        <scheme val="minor"/>
      </rPr>
      <t>https://www.cerebras.net/blog/introducing-sparse-llama-70-smaller-3x-faster-full-accuracy</t>
    </r>
    <r>
      <rPr>
        <sz val="14"/>
        <color rgb="FF000000"/>
        <rFont val="Calibri"/>
        <family val="2"/>
        <scheme val="minor"/>
      </rPr>
      <t xml:space="preserve"> "For the 50% sparse model, we utilized 45 billion tokens of pretraining data, while an additional 100 billion tokens were used for the 70% model. This represents approximately 2% to 8% of the original 2 trillion tokens used to train the base Llama-2 model."</t>
    </r>
  </si>
  <si>
    <t>Gemini 1.5 Flash</t>
  </si>
  <si>
    <t>https://goo.gle/GeminiV1-5</t>
  </si>
  <si>
    <r>
      <t/>
    </r>
    <r>
      <rPr>
        <sz val="14"/>
        <color theme="1"/>
        <rFont val="Calibri"/>
        <family val="2"/>
        <scheme val="minor"/>
      </rPr>
      <t xml:space="preserve">1M context length. Note: Gemini outputs are watermarked. I do not use GDM models. </t>
    </r>
    <r>
      <rPr>
        <u/>
        <sz val="14"/>
        <color rgb="FF1155cc"/>
        <rFont val="Calibri"/>
        <family val="2"/>
        <scheme val="minor"/>
      </rPr>
      <t>https://lifearchitect.ai/watermarking/</t>
    </r>
  </si>
  <si>
    <t>https://openai.com/index/gpt-4o-system-card/</t>
  </si>
  <si>
    <r>
      <t/>
    </r>
    <r>
      <rPr>
        <sz val="14"/>
        <color theme="1"/>
        <rFont val="Calibri"/>
        <family val="2"/>
        <scheme val="minor"/>
      </rPr>
      <t xml:space="preserve">gpt-4o-2024-05-13 no longer easily available, so hidden in the Model Table rankings. Omnimodel. ‘[GPT-4o is] likely an early checkpoint of GPT-5’. </t>
    </r>
    <r>
      <rPr>
        <u/>
        <sz val="14"/>
        <color rgb="FF1155cc"/>
        <rFont val="Calibri"/>
        <family val="2"/>
        <scheme val="minor"/>
      </rPr>
      <t>https://twitter.com/drjimfan/status/1790089671365767313</t>
    </r>
    <r>
      <rPr>
        <sz val="14"/>
        <color theme="1"/>
        <rFont val="Calibri"/>
        <family val="2"/>
        <scheme val="minor"/>
      </rPr>
      <t xml:space="preserve"> ELO: </t>
    </r>
    <r>
      <rPr>
        <u/>
        <sz val="14"/>
        <color rgb="FF1155cc"/>
        <rFont val="Calibri"/>
        <family val="2"/>
        <scheme val="minor"/>
      </rPr>
      <t>https://twitter.com/LiamFedus/status/1790064963966370209</t>
    </r>
    <r>
      <rPr>
        <sz val="14"/>
        <color theme="1"/>
        <rFont val="Calibri"/>
        <family val="2"/>
        <scheme val="minor"/>
      </rPr>
      <t xml:space="preserve"> Demo: </t>
    </r>
    <r>
      <rPr>
        <u/>
        <sz val="14"/>
        <color rgb="FF1155cc"/>
        <rFont val="Calibri"/>
        <family val="2"/>
        <scheme val="minor"/>
      </rPr>
      <t>https://youtu.be/DQacCB9tDaw</t>
    </r>
  </si>
  <si>
    <t>Falcon 2 11B</t>
  </si>
  <si>
    <t>https://huggingface.co/tiiuae/falcon-11B</t>
  </si>
  <si>
    <t>https://www.tii.ae/news/falcon-2-uaes-technology-innovation-institute-releases-new-ai-model-series-outperforming-metas</t>
  </si>
  <si>
    <r>
      <t/>
    </r>
    <r>
      <rPr>
        <sz val="14"/>
        <color rgb="FF073763"/>
        <rFont val="Calibri"/>
        <family val="2"/>
        <scheme val="minor"/>
      </rPr>
      <t xml:space="preserve">Announce: </t>
    </r>
    <r>
      <rPr>
        <u/>
        <sz val="14"/>
        <color rgb="FF1155cc"/>
        <rFont val="Calibri"/>
        <family val="2"/>
        <scheme val="minor"/>
      </rPr>
      <t>https://www.tii.ae/news/falcon-2-uaes-technology-innovation-institute-releases-new-ai-model-series-outperforming-metas</t>
    </r>
  </si>
  <si>
    <t>Fugaku-LLM</t>
  </si>
  <si>
    <t>Fujitsu</t>
  </si>
  <si>
    <t>https://huggingface.co/Fugaku-LLM/Fugaku-LLM-13B-instruct</t>
  </si>
  <si>
    <t>https://www.fujitsu.com/global/about/resources/news/press-releases/2024/0510-01.html</t>
  </si>
  <si>
    <r>
      <t/>
    </r>
    <r>
      <rPr>
        <sz val="14"/>
        <color rgb="FF073763"/>
        <rFont val="Calibri"/>
        <family val="2"/>
        <scheme val="minor"/>
      </rPr>
      <t xml:space="preserve">Japanese. CPU trained: 158,976+ A64FX CPUs (7M+ cores), zero GPUs. </t>
    </r>
    <r>
      <rPr>
        <u/>
        <sz val="14"/>
        <color rgb="FF1155cc"/>
        <rFont val="Calibri"/>
        <family val="2"/>
        <scheme val="minor"/>
      </rPr>
      <t>https://en.wikipedia.org/wiki/Fugaku_(supercomputer)</t>
    </r>
  </si>
  <si>
    <t>Yi 1.5 34B</t>
  </si>
  <si>
    <t>https://huggingface.co/01-ai/Yi-1.5-34B-Chat</t>
  </si>
  <si>
    <t>https://github.com/01-ai/Yi-1.5</t>
  </si>
  <si>
    <t>Uses 600B more training tokens than Yi 1.0 (Nov/2023).</t>
  </si>
  <si>
    <t>YOCO</t>
  </si>
  <si>
    <t>https://github.com/microsoft/unilm/tree/master/YOCO</t>
  </si>
  <si>
    <t>https://arxiv.org/abs/2405.05254</t>
  </si>
  <si>
    <t>With Tsingua. You Only Cache Once (YOCO). Long context "1M context length with near-perfect needle retrieval accuracy"</t>
  </si>
  <si>
    <t>DeepSeek-V2</t>
  </si>
  <si>
    <t>https://arxiv.org/abs/2405.04434</t>
  </si>
  <si>
    <t>Huge dataset, 12% Chinese "Therefore, we acknowledge that DeepSeek-V2 still has a slight gap in basic English capabilities with LLaMA3 70B".</t>
  </si>
  <si>
    <t>ChuXin</t>
  </si>
  <si>
    <t>https://huggingface.co/chuxin-llm/Chuxin-1.6B-Base</t>
  </si>
  <si>
    <t>https://arxiv.org/abs/2405.04828</t>
  </si>
  <si>
    <t>"results on the ”Needle In A Haystack”(NIAH) tests indicate that ChuXin-1M performs well across all context window lengths up to 1M."</t>
  </si>
  <si>
    <t>RWKV-v6 Finch</t>
  </si>
  <si>
    <t>https://huggingface.co/spaces/BlinkDL/RWKV-Gradio-2</t>
  </si>
  <si>
    <t>https://huggingface.co/BlinkDL/rwkv-6-world</t>
  </si>
  <si>
    <r>
      <t/>
    </r>
    <r>
      <rPr>
        <sz val="14"/>
        <color rgb="FF000000"/>
        <rFont val="Calibri"/>
        <family val="2"/>
        <scheme val="minor"/>
      </rPr>
      <t xml:space="preserve">RWKV (pronounced RwaKuv) is an RNN:  </t>
    </r>
    <r>
      <rPr>
        <u/>
        <sz val="14"/>
        <color rgb="FF1155cc"/>
        <rFont val="Calibri"/>
        <family val="2"/>
        <scheme val="minor"/>
      </rPr>
      <t>https://twitter.com/BlinkDL_AI/status/1787834625211158562</t>
    </r>
  </si>
  <si>
    <t>xLSTM</t>
  </si>
  <si>
    <t>ELLIS</t>
  </si>
  <si>
    <t>https://arxiv.org/abs/2405.04517</t>
  </si>
  <si>
    <t>New method LSTM to xLSTM, see also RNNs. Code/weights doesn't seem to be released. https://github.com/AI-Guru/xlstm-resources</t>
  </si>
  <si>
    <t>Granite Code</t>
  </si>
  <si>
    <t>https://github.com/ibm-granite/granite-code-models</t>
  </si>
  <si>
    <t>code</t>
  </si>
  <si>
    <t>https://github.com/ibm-granite/granite-code-models/blob/main/paper.pdf</t>
  </si>
  <si>
    <t>MMLU=50 for 8B model only. Dataset: publicly available datasets (e.g., GitHub Code Clean, Starcoder data), public code repositories, and issues from GitHub.</t>
  </si>
  <si>
    <t>Qwen-Max</t>
  </si>
  <si>
    <t>https://chat.lmsys.org/</t>
  </si>
  <si>
    <t>https://help.aliyun.com/zh/dashscope/developer-reference/model-introduction</t>
  </si>
  <si>
    <t>https://twitter.com/JustinLin610/status/1787584325367529509</t>
  </si>
  <si>
    <t>Med-Gemini-L 1.0</t>
  </si>
  <si>
    <t>https://twitter.com/alan_karthi/status/1785117450528264216</t>
  </si>
  <si>
    <t>https://arxiv.org/abs/2404.18416</t>
  </si>
  <si>
    <t>Med-Gemini-M 1.0 and Med-Gemini-L 1.0  (Pro and Ultra finetunes) "For language tasks that require less complex reasoning, such as summarizing medical notes and creating referral letters, we introduce Med-Gemini-M 1.0 by fine-tuning the Gemini 1.0 Pro model. For other tasks that require more advanced reasoning, we introduce Med-Gemini-L 1.0 by fine-tuning the Gemini 1.0 Ultra model using a self-training method to enable the models to efficiently use web search."</t>
  </si>
  <si>
    <t>TinyStories</t>
  </si>
  <si>
    <t>https://huggingface.co/roneneldan/TinyStories-33M</t>
  </si>
  <si>
    <t>https://arxiv.org/abs/2305.07759</t>
  </si>
  <si>
    <t>Precursor to phi.</t>
  </si>
  <si>
    <t>Tele-FLM</t>
  </si>
  <si>
    <t>https://huggingface.co/CofeAI/Tele-FLM</t>
  </si>
  <si>
    <t>https://arxiv.org/abs/2404.16645</t>
  </si>
  <si>
    <t xml:space="preserve">Also known as FLM-2. "We will open-source a 1T model checkpoint, namely Tele-FLM-1T, to advance further training and research." Discussion paper Jul/2024: https://arxiv.org/abs/2407.02783  </t>
  </si>
  <si>
    <t>Qwen-1.5 110B</t>
  </si>
  <si>
    <t>https://huggingface.co/spaces/Qwen/Qwen1.5-110B-Chat-demo</t>
  </si>
  <si>
    <t>https://qwenlm.github.io/blog/qwen1.5-110b/</t>
  </si>
  <si>
    <t>Worse performance on GPQA (72B=36.3, 110B=35.9).</t>
  </si>
  <si>
    <t>Arctic</t>
  </si>
  <si>
    <t>Snowflake AI Research</t>
  </si>
  <si>
    <t>https://arctic.streamlit.app/</t>
  </si>
  <si>
    <t>https://www.snowflake.com/blog/arctic-open-efficient-foundation-language-models-snowflake/</t>
  </si>
  <si>
    <t>"Arctic uses a unique Dense-MoE Hybrid transformer architecture. It combines a 10B dense transformer model with a residual 128×3.66B MoE MLP resulting in 480B total and 17B active parameters chosen using a top-2 gating."</t>
  </si>
  <si>
    <t>SenseNova 5.0</t>
  </si>
  <si>
    <t>https://news.futunn.com/en/post/41290101/a-large-shangtang-multi-modal-model-with-600-billion-parameters</t>
  </si>
  <si>
    <r>
      <t/>
    </r>
    <r>
      <rPr>
        <sz val="14"/>
        <color rgb="FF073763"/>
        <rFont val="Calibri"/>
        <family val="2"/>
        <scheme val="minor"/>
      </rPr>
      <t xml:space="preserve">GPT-4 scale; low media coverage; no demo in Western world. </t>
    </r>
    <r>
      <rPr>
        <u/>
        <sz val="14"/>
        <color rgb="FF1155cc"/>
        <rFont val="Calibri"/>
        <family val="2"/>
        <scheme val="minor"/>
      </rPr>
      <t>https://www.techinasia.com/sensetime-pauses-trading-stock-rises-30-model-launch</t>
    </r>
  </si>
  <si>
    <t>OpenELM</t>
  </si>
  <si>
    <t>https://huggingface.co/apple/OpenELM-3B-Instruct</t>
  </si>
  <si>
    <r>
      <t/>
    </r>
    <r>
      <rPr>
        <sz val="14"/>
        <color rgb="FF073763"/>
        <rFont val="Calibri"/>
        <family val="2"/>
        <scheme val="minor"/>
      </rPr>
      <t xml:space="preserve">On-device model (laptop, phone). Open-source Efficient Language Models (OpenELM). </t>
    </r>
    <r>
      <rPr>
        <u/>
        <sz val="14"/>
        <color rgb="FF1155cc"/>
        <rFont val="Calibri"/>
        <family val="2"/>
        <scheme val="minor"/>
      </rPr>
      <t>https://venturebeat.com/ai/apple-releases-openelm-small-open-source-ai-models-designed-to-run-on-device/</t>
    </r>
  </si>
  <si>
    <t>phi-3-medium</t>
  </si>
  <si>
    <t>https://huggingface.co/microsoft/Phi-3-medium-128k-instruct</t>
  </si>
  <si>
    <t>https://arxiv.org/abs/2404.14219</t>
  </si>
  <si>
    <t>Preview only, benchmarks being investigated as of May/2024.</t>
  </si>
  <si>
    <t>phi-3-mini</t>
  </si>
  <si>
    <t>https://huggingface.co/microsoft/Phi-3-mini-128k-instruct</t>
  </si>
  <si>
    <t>"phi3-mini can be quantized to 4-bits so that it only occupies ≈ 1.8GB of memory. We tested the quantized model by deploying phi-3-mini on iPhone 14 with A16 Bionic chip running natively on-device and fully offline achieving more than 12 tokens per second."</t>
  </si>
  <si>
    <t>https://meta.ai/</t>
  </si>
  <si>
    <t>https://ai.meta.com/blog/meta-llama-3/</t>
  </si>
  <si>
    <t>Instruct MMLU-Pro=56.2</t>
  </si>
  <si>
    <t>Zamba 7B</t>
  </si>
  <si>
    <t>https://huggingface.co/Zyphra/Zamba-7B-v1</t>
  </si>
  <si>
    <t>https://arxiv.org/html/2405.16712v1</t>
  </si>
  <si>
    <t>Mamba1</t>
  </si>
  <si>
    <t>HLAT</t>
  </si>
  <si>
    <t>https://arxiv.org/abs/2404.10630</t>
  </si>
  <si>
    <r>
      <t/>
    </r>
    <r>
      <rPr>
        <sz val="14"/>
        <color rgb="FF073763"/>
        <rFont val="Calibri"/>
        <family val="2"/>
        <scheme val="minor"/>
      </rPr>
      <t xml:space="preserve">HLAT=High-quality LLM pre-trained on AWS Trainium. Same arch as Llama 7B. The pre-training is performed up to 64 Amazon EC2 trn1.32xlarge instances with totalling up to 1024 AWS Trainium accelerators. Read more about Trainium: </t>
    </r>
    <r>
      <rPr>
        <u/>
        <sz val="14"/>
        <color rgb="FF1155cc"/>
        <rFont val="Calibri"/>
        <family val="2"/>
        <scheme val="minor"/>
      </rPr>
      <t>https://www.aboutamazon.com/news/aws/what-you-need-to-know-about-the-aws-ai-chips-powering-amazons-partnership-with-anthropic</t>
    </r>
  </si>
  <si>
    <t>Idefics2</t>
  </si>
  <si>
    <t>https://huggingface.co/HuggingFaceM4/idefics2-8b</t>
  </si>
  <si>
    <t>https://huggingface.co/blog/idefics2</t>
  </si>
  <si>
    <t>Clone of Flamingo now using Mistral 7B. Named after Asterix and Obelix's dog Idefix (Image-aware Decoder Enhanced à la Flamingo with Interleaved Cross-attentionS)</t>
  </si>
  <si>
    <t>Reka Core</t>
  </si>
  <si>
    <t>https://poe.com/RekaCore</t>
  </si>
  <si>
    <t>https://publications.reka.ai/reka-core-tech-report.pdf</t>
  </si>
  <si>
    <t>https://www.reka.ai/news/reka-core-our-frontier-class-multimodal-language-model</t>
  </si>
  <si>
    <t>WizardLM-2-8x22B</t>
  </si>
  <si>
    <t>https://huggingface.co/MaziyarPanahi/WizardLM-2-8x22B-GGUF</t>
  </si>
  <si>
    <t>https://wizardlm.github.io/WizardLM2/</t>
  </si>
  <si>
    <t>Base model = mistral-8x22b.</t>
  </si>
  <si>
    <t>Pile-T5</t>
  </si>
  <si>
    <t>https://huggingface.co/EleutherAI/pile-t5-xxl</t>
  </si>
  <si>
    <t>https://blog.eleuther.ai/pile-t5/</t>
  </si>
  <si>
    <t>Zephyr 141B-A35B</t>
  </si>
  <si>
    <t>Hugging Face H4</t>
  </si>
  <si>
    <t>https://huggingface.co/HuggingFaceH4/zephyr-orpo-141b-A35b-v0.1</t>
  </si>
  <si>
    <t>https://arxiv.org/abs/2403.07691</t>
  </si>
  <si>
    <t>mixtral-8x22b finetune using Odds Ratio Preference Optimization (ORPO).</t>
  </si>
  <si>
    <t>Rerank 3</t>
  </si>
  <si>
    <t>https://docs.cohere.com/reference/rerank-1</t>
  </si>
  <si>
    <t>https://txt.cohere.com/rerank-3/</t>
  </si>
  <si>
    <t>RAG + semantic search, possibly backed by Command-R+.</t>
  </si>
  <si>
    <t>gpt-4-turbo-2024-04-09</t>
  </si>
  <si>
    <t>https://chat.openai.com/</t>
  </si>
  <si>
    <t>https://cdn.openai.com/papers/gpt-4.pdf</t>
  </si>
  <si>
    <r>
      <t/>
    </r>
    <r>
      <rPr>
        <sz val="14"/>
        <color theme="1"/>
        <rFont val="Calibri"/>
        <family val="2"/>
        <scheme val="minor"/>
      </rPr>
      <t xml:space="preserve">This is such a significantly better model that I've added it here. This GPQA=46.5%, old GPT-4 GPQA=36%. </t>
    </r>
    <r>
      <rPr>
        <u/>
        <sz val="14"/>
        <color rgb="FF1155cc"/>
        <rFont val="Calibri"/>
        <family val="2"/>
        <scheme val="minor"/>
      </rPr>
      <t>https://twitter.com/EpochAIResearch/status/1778463039932584205</t>
    </r>
    <r>
      <rPr>
        <sz val="14"/>
        <color theme="1"/>
        <rFont val="Calibri"/>
        <family val="2"/>
        <scheme val="minor"/>
      </rPr>
      <t xml:space="preserve"> MMLU scores are unclear, but may have improved by 1%: </t>
    </r>
    <r>
      <rPr>
        <u/>
        <sz val="14"/>
        <color rgb="FF1155cc"/>
        <rFont val="Calibri"/>
        <family val="2"/>
        <scheme val="minor"/>
      </rPr>
      <t>https://twitter.com/OpenAI/status/1778602770784002136.</t>
    </r>
    <r>
      <rPr>
        <sz val="14"/>
        <color theme="1"/>
        <rFont val="Calibri"/>
        <family val="2"/>
        <scheme val="minor"/>
      </rPr>
      <t xml:space="preserve"> Final benchmarks are here: </t>
    </r>
    <r>
      <rPr>
        <u/>
        <sz val="14"/>
        <color rgb="FF1155cc"/>
        <rFont val="Calibri"/>
        <family val="2"/>
        <scheme val="minor"/>
      </rPr>
      <t>https://archive.md/6Cc0Z</t>
    </r>
  </si>
  <si>
    <t>MiniCPM-2.4B</t>
  </si>
  <si>
    <t>https://github.com/OpenBMB/MiniCPM/</t>
  </si>
  <si>
    <t>https://arxiv.org/abs/2404.06395</t>
  </si>
  <si>
    <t>MoE option=https://huggingface.co/openbmb/MiniCPM-MoE-8x2B</t>
  </si>
  <si>
    <t>Ferret-UI</t>
  </si>
  <si>
    <t>https://github.com/apple/ml-ferret</t>
  </si>
  <si>
    <t>web-scale, special</t>
  </si>
  <si>
    <t>https://arxiv.org/abs/2404.05719</t>
  </si>
  <si>
    <t>Vicuna base, multimodal. Extension of Ferret from Oct/2023.</t>
  </si>
  <si>
    <t>mixtral-8x22b</t>
  </si>
  <si>
    <t>https://huggingface.co/mistral-community/Mixtral-8x22B-v0.1</t>
  </si>
  <si>
    <t>https://mistral.ai/news/mixtral-8x22b/</t>
  </si>
  <si>
    <t>MoE=22Bx8, seq=65536.</t>
  </si>
  <si>
    <t>Sailor</t>
  </si>
  <si>
    <t>https://huggingface.co/sail</t>
  </si>
  <si>
    <t>https://arxiv.org/abs/2404.03608v1</t>
  </si>
  <si>
    <t>SEA languages. Based on Qwen-1.5. https://github.com/sail-sg/sailor-llm "Generally Sailor models consume around 200B tokens, completing a full pass through the SailCraft corpus once. However, the Sailor-0.5B model undergoes training with 400B tokens, equivalent to 2 epochs."</t>
  </si>
  <si>
    <t>JetMoE-8B</t>
  </si>
  <si>
    <t>MIT</t>
  </si>
  <si>
    <t>https://www.lepton.ai/playground/chat?model=jetmoe-8b-chat</t>
  </si>
  <si>
    <t>https://huggingface.co/jetmoe/jetmoe-8b</t>
  </si>
  <si>
    <t>Eurus</t>
  </si>
  <si>
    <t>https://huggingface.co/collections/openbmb/eurus-660bc40bec5376b3adc9d1c5</t>
  </si>
  <si>
    <t>Fine-tune of Mistral-7B and CodeLlama-70B.</t>
  </si>
  <si>
    <t>Command-R+</t>
  </si>
  <si>
    <t>https://huggingface.co/spaces/CohereForAI/c4ai-command-r-plus</t>
  </si>
  <si>
    <t>https://huggingface.co/CohereForAI/c4ai-command-r-plus</t>
  </si>
  <si>
    <t>purpose-built to excel at real-world enterprise use cases. Announce with no arch details: https://txt.cohere.com/command-r-plus-microsoft-azure/</t>
  </si>
  <si>
    <t>Viking</t>
  </si>
  <si>
    <t>Silo AI</t>
  </si>
  <si>
    <t>https://www.silo.ai/blog/viking-7b-13b-33b-sailing-the-nordic-seas-of-multilinguality</t>
  </si>
  <si>
    <t>Viking uses an architecture similar to Llama 2, with flash attention, rotary embeddings, grouped query attention and supports a 4k sequence length'</t>
  </si>
  <si>
    <t>OLMo-Bitnet-1B</t>
  </si>
  <si>
    <t>https://huggingface.co/NousResearch/OLMo-Bitnet-1B</t>
  </si>
  <si>
    <t>https://arxiv.org/abs/2402.17764</t>
  </si>
  <si>
    <t>1.58-bit quantized (ternary weights) means we can run a 70B model in ~14GB VRAM. See also BitNet b1.58</t>
  </si>
  <si>
    <t>Aurora-M</t>
  </si>
  <si>
    <t>https://huggingface.co/collections/aurora-m/aurora-m-models-65fdfdff62471e09812f5407</t>
  </si>
  <si>
    <t>https://arxiv.org/abs/2404.00399</t>
  </si>
  <si>
    <t>ReALM-3B</t>
  </si>
  <si>
    <t>https://arxiv.org/abs/2403.20329</t>
  </si>
  <si>
    <t>FLAN-T5 (Oct/2022) finetune.</t>
  </si>
  <si>
    <t>Qwen1.5-MoE-A2.7B</t>
  </si>
  <si>
    <t>https://qwenlm.github.io/blog/qwen-moe/</t>
  </si>
  <si>
    <t>MoE. "Of particular significance is the fact that, through upcycling, the necessity for training an equivalent volume of tokens as in the original model has been eliminated." I assumed half of the original 3T tokens</t>
  </si>
  <si>
    <t>Grok-1.5</t>
  </si>
  <si>
    <t>https://grok.x.ai/</t>
  </si>
  <si>
    <t>https://x.ai/blog/grok-1.5</t>
  </si>
  <si>
    <t>Context=128k.</t>
  </si>
  <si>
    <t>Jamba 1</t>
  </si>
  <si>
    <t>https://huggingface.co/ai21labs/Jamba-v0.1</t>
  </si>
  <si>
    <t>https://arxiv.org/abs/2403.19887</t>
  </si>
  <si>
    <r>
      <t/>
    </r>
    <r>
      <rPr>
        <sz val="14"/>
        <color rgb="FF073763"/>
        <rFont val="Calibri"/>
        <family val="2"/>
        <scheme val="minor"/>
      </rPr>
      <t xml:space="preserve">MoE. Open weights, licensed under Apache 2.0. Announce: </t>
    </r>
    <r>
      <rPr>
        <u/>
        <sz val="14"/>
        <color rgb="FF1155cc"/>
        <rFont val="Calibri"/>
        <family val="2"/>
        <scheme val="minor"/>
      </rPr>
      <t>https://arxiv.org/abs/2403.19887</t>
    </r>
  </si>
  <si>
    <t>DBRX</t>
  </si>
  <si>
    <t>MosaicML</t>
  </si>
  <si>
    <t>https://huggingface.co/spaces/databricks/dbrx-instruct</t>
  </si>
  <si>
    <t>https://www.databricks.com/blog/introducing-dbrx-new-state-art-open-llm</t>
  </si>
  <si>
    <t>MoE. Trained for $10M on 3,072 NVIDIA H100s connected by 3.2Tbps Infiniband.</t>
  </si>
  <si>
    <t>Stable Code Instruct 3B</t>
  </si>
  <si>
    <t>https://huggingface.co/stabilityai/stable-code-instruct-3b</t>
  </si>
  <si>
    <t>https://stability.ai/news/introducing-stable-code-instruct-3b</t>
  </si>
  <si>
    <t>Context window=16,384. Trained on The Stack dataset.</t>
  </si>
  <si>
    <t>EvoLLM-JP</t>
  </si>
  <si>
    <t>Sakana AI</t>
  </si>
  <si>
    <t>https://huggingface.co/SakanaAI/EvoLLM-JP-v1-10B</t>
  </si>
  <si>
    <t>https://arxiv.org/abs/2403.13187</t>
  </si>
  <si>
    <t xml:space="preserve">Japanese. Model merge 'our EvoLLM-JP-A is a merge of shisa-gamma-7b-v1, Arithmo2-Mistral-7B, and Abel7B-002' https://sakana.ai/evolutionary-model-merge/ </t>
  </si>
  <si>
    <t>RakutenAI-7B</t>
  </si>
  <si>
    <t>Rakuten Group</t>
  </si>
  <si>
    <t>https://huggingface.co/Rakuten/RakutenAI-7B</t>
  </si>
  <si>
    <t>https://arxiv.org/abs/2403.15484</t>
  </si>
  <si>
    <t>Japanese. Mistral 7B derivative.</t>
  </si>
  <si>
    <t>Parakeet</t>
  </si>
  <si>
    <t>https://colab.research.google.com/drive/1gI8CM9Bz9ov0-E6aL2jF808rE56UtZyF?usp=sharing</t>
  </si>
  <si>
    <t>https://news.ycombinator.com/item?id=39745700#39745702</t>
  </si>
  <si>
    <t>Tiny model (378M) for testing</t>
  </si>
  <si>
    <t>RWKV-v5 EagleX</t>
  </si>
  <si>
    <t>https://huggingface.co/recursal/EagleX_1-7T</t>
  </si>
  <si>
    <t>https://substack.recursal.ai/p/eaglex-17t-soaring-past-llama-7b</t>
  </si>
  <si>
    <t>RWKV (pronounced RwaKuv) is an RNN: Built on the RWKV-v5 architecture (a linear transformer with 10-100x+ lower inference cost)</t>
  </si>
  <si>
    <t>MM1</t>
  </si>
  <si>
    <t>https://arxiv.org/abs/2403.09611</t>
  </si>
  <si>
    <t>VLM, outperforms Flamingo 80B (Apr/2022) across benchmarks. 2T text tokens + ~10B+ other text (estimate). Unreleased.</t>
  </si>
  <si>
    <t>RFM-1</t>
  </si>
  <si>
    <t>Covariant</t>
  </si>
  <si>
    <t>https://vimeo.com/921866765</t>
  </si>
  <si>
    <t>https://covariant.ai/insights/introducing-rfm-1-giving-robots-human-like-reasoning-capabilities/</t>
  </si>
  <si>
    <t>Commercial, multimodal for robotics</t>
  </si>
  <si>
    <t>Command-R</t>
  </si>
  <si>
    <t>https://txt.cohere.com/command-r/</t>
  </si>
  <si>
    <t>RAG and tool use</t>
  </si>
  <si>
    <t>DeepSeek-VL</t>
  </si>
  <si>
    <t>https://github.com/deepseek-ai/DeepSeek-VL?tab=readme-ov-file</t>
  </si>
  <si>
    <t>https://arxiv.org/abs/2403.05525</t>
  </si>
  <si>
    <t>Vision, based on DeepSeek-LLM-7B</t>
  </si>
  <si>
    <t>AnyGPT</t>
  </si>
  <si>
    <t>Fudan University</t>
  </si>
  <si>
    <t>https://junzhan2000.github.io/AnyGPT.github.io/</t>
  </si>
  <si>
    <t>https://arxiv.org/abs/2402.12226</t>
  </si>
  <si>
    <t>Llama 2 7B backbone with new matrices ('reshaping the embedding matrix and prediction layer')</t>
  </si>
  <si>
    <t>Stable Beluga 2.5</t>
  </si>
  <si>
    <t>https://stability.ai/news/putting-the-ai-supercomputer-to-work</t>
  </si>
  <si>
    <t>Mentioned in Stability release about Intel chips 11/Mar/2024, availablity unknown</t>
  </si>
  <si>
    <t>Inflection-2.5</t>
  </si>
  <si>
    <t>https://inflection.ai/inflection-2</t>
  </si>
  <si>
    <t>https://inflection.ai/inflection-2-5</t>
  </si>
  <si>
    <t>SRIBD/CUHK</t>
  </si>
  <si>
    <t>https://apollo.llmzoo.com/</t>
  </si>
  <si>
    <t>https://arxiv.org/abs/2403.03640</t>
  </si>
  <si>
    <t>Qwen 1.8B as base. Medical focus.</t>
  </si>
  <si>
    <t>https://www.anthropic.com/claude-3-model-card</t>
  </si>
  <si>
    <t>Original MMLU=86.8  (GPT-4=86.4). MMLU=88.2 with CoT prompting. Original GPQA=50.4. 200k context, 1M for researchers.</t>
  </si>
  <si>
    <t>Nemotron-4 15B</t>
  </si>
  <si>
    <t>https://arxiv.org/abs/2402.16819</t>
  </si>
  <si>
    <t>TowerLLM</t>
  </si>
  <si>
    <t>Unbabel</t>
  </si>
  <si>
    <t>https://unbabel.com/meet-towerllm/</t>
  </si>
  <si>
    <t>https://arxiv.org/abs/2402.17733</t>
  </si>
  <si>
    <t>Commercial product, Llama-2 as base.</t>
  </si>
  <si>
    <t>Hawk</t>
  </si>
  <si>
    <t>https://arxiv.org/abs/2402.19427</t>
  </si>
  <si>
    <t>MMLU=35. RNN.</t>
  </si>
  <si>
    <t>Griffin</t>
  </si>
  <si>
    <t>MMLU=49.5. RNN.</t>
  </si>
  <si>
    <t>BitNet b1.58</t>
  </si>
  <si>
    <t>https://huggingface.co/1bitLLM/bitnet_b1_58-xl</t>
  </si>
  <si>
    <t>Samba-1</t>
  </si>
  <si>
    <t>https://trysambanova.ai/</t>
  </si>
  <si>
    <t>https://sambanova.ai/press/secure-one-trillion-parameter-generative-ai-model-for-the-enterprise</t>
  </si>
  <si>
    <t>CoE</t>
  </si>
  <si>
    <t>CoE: Collection of experts: Llama2 7B / 13B / 70B Mistral 7B DeepSeek Coder 1.3B / 6.7B / 33B Falcon 40B DePlot CLIP Llava</t>
  </si>
  <si>
    <t>Aya-101</t>
  </si>
  <si>
    <t>https://huggingface.co/CohereForAI/aya-101</t>
  </si>
  <si>
    <t>https://cohere.com/research/aya/aya-model-paper.pdf</t>
  </si>
  <si>
    <t>mT5 base.</t>
  </si>
  <si>
    <t>Cosmo-1B</t>
  </si>
  <si>
    <t>https://huggingface.co/HuggingFaceTB/cosmo-1b</t>
  </si>
  <si>
    <t>synthetic</t>
  </si>
  <si>
    <t>Synthetic data (25B tokens of synthetic data for 6 epochs + code). MMLU=32.4</t>
  </si>
  <si>
    <t>Poro</t>
  </si>
  <si>
    <t>https://huggingface.co/LumiOpen/Poro-34B</t>
  </si>
  <si>
    <t>Uses a BLOOM architecture with ALiBi embeddings to allow for context window extrapolation. While model architecture for the initial model has been kept simple, future models under progress will support additional capabilities, such as flash attention, rotary embeddings and grouped query attention.'</t>
  </si>
  <si>
    <t>HF/ServiceNow</t>
  </si>
  <si>
    <t>The Stack v2=900B tokens, 5 epochs to 4.3T tokens</t>
  </si>
  <si>
    <t>530B</t>
  </si>
  <si>
    <t>https://arxiv.org/abs/2402.15627</t>
  </si>
  <si>
    <t>Trained using 12,288 A100 GPUs, replicating MT-NLG size</t>
  </si>
  <si>
    <t>175B</t>
  </si>
  <si>
    <t>Trained using 12,288 A100 GPUs, replicating GPT-3 size</t>
  </si>
  <si>
    <t>Mistral Small</t>
  </si>
  <si>
    <t>https://mistral.ai/news/mistral-large/</t>
  </si>
  <si>
    <t>Optimised for latency and cost.</t>
  </si>
  <si>
    <t>Mistral Large</t>
  </si>
  <si>
    <t>https://poe.com/Mistral-Large</t>
  </si>
  <si>
    <t>MMLU=81.2 (same as Flan-PaLM 2 340B, higher than PaLM 2 340B MMLU=78.3), 32k context window. API only (not open source).</t>
  </si>
  <si>
    <t>Hanooman</t>
  </si>
  <si>
    <t>Reliance</t>
  </si>
  <si>
    <t>https://www.hanooman.ai/</t>
  </si>
  <si>
    <t>11 Indian languages like Hindi, Tamil, and Marathi</t>
  </si>
  <si>
    <t>Ask</t>
  </si>
  <si>
    <t>https://www.macrumors.com/2024/02/22/applecare-advisors-testing-new-ask-tool/</t>
  </si>
  <si>
    <t>Internal employee model only</t>
  </si>
  <si>
    <t>Reka Edge</t>
  </si>
  <si>
    <t>https://chat.reka.ai/</t>
  </si>
  <si>
    <t>Reka Flash</t>
  </si>
  <si>
    <t>https://poe.com/RekaFlash</t>
  </si>
  <si>
    <t>My testing shows very poor performance equiv with tiny model</t>
  </si>
  <si>
    <t>Gemma</t>
  </si>
  <si>
    <t>https://labs.pplx.ai/</t>
  </si>
  <si>
    <t>https://storage.googleapis.com/deepmind-media/gemma/gemma-report.pdf</t>
  </si>
  <si>
    <t>MMLU=64.3 (Llama 2 70B=68.9, ChatGPT 20B=70). Text only. Probably dense. Largest trained dataset (6T) besides frontier models.</t>
  </si>
  <si>
    <t>Gemini 1.5 Pro</t>
  </si>
  <si>
    <r>
      <t/>
    </r>
    <r>
      <rPr>
        <sz val="14"/>
        <color theme="1"/>
        <rFont val="Calibri"/>
        <family val="2"/>
        <scheme val="minor"/>
      </rPr>
      <t xml:space="preserve">Sparse MoE. Context window=1M and 10M for research. Note: Gemini outputs are watermarked. I do not use GDM models. </t>
    </r>
    <r>
      <rPr>
        <u/>
        <sz val="14"/>
        <color rgb="FF1155cc"/>
        <rFont val="Calibri"/>
        <family val="2"/>
        <scheme val="minor"/>
      </rPr>
      <t>https://lifearchitect.ai/watermarking/</t>
    </r>
  </si>
  <si>
    <t>Qwen-1.5 72B</t>
  </si>
  <si>
    <t>https://huggingface.co/spaces/Qwen/Qwen1.5-72B-Chat</t>
  </si>
  <si>
    <t>https://qwenlm.github.io/blog/qwen1.5/</t>
  </si>
  <si>
    <t>MobileLLM</t>
  </si>
  <si>
    <t>https://huggingface.co/collections/facebook/mobilellm-6722be18cb86c20ebe113e95</t>
  </si>
  <si>
    <t>https://arxiv.org/abs/2402.14905</t>
  </si>
  <si>
    <t>Optimizing Sub-billion Parameter Language Models for On-Device Use Cases</t>
  </si>
  <si>
    <t>GOODY-2</t>
  </si>
  <si>
    <t>BRAIN</t>
  </si>
  <si>
    <t>https://www.goody2.ai/chat</t>
  </si>
  <si>
    <t>https://www.goody2.ai/goody2-modelcard.pdf</t>
  </si>
  <si>
    <r>
      <t/>
    </r>
    <r>
      <rPr>
        <sz val="14"/>
        <color theme="1"/>
        <rFont val="Calibri"/>
        <family val="2"/>
        <scheme val="minor"/>
      </rPr>
      <t xml:space="preserve">Satire (and hilarious). Probably Llama 2 with aggressive prompt. Wired interview: </t>
    </r>
    <r>
      <rPr>
        <u/>
        <sz val="14"/>
        <color rgb="FF1155cc"/>
        <rFont val="Calibri"/>
        <family val="2"/>
        <scheme val="minor"/>
      </rPr>
      <t>https://archive.md/toxHq</t>
    </r>
  </si>
  <si>
    <t>Natural-SQL-7B</t>
  </si>
  <si>
    <t>ChatDB</t>
  </si>
  <si>
    <t>https://huggingface.co/chatdb/natural-sql-7b</t>
  </si>
  <si>
    <t>Based on DeepSeek-Coder 6.7B.</t>
  </si>
  <si>
    <t>Sea-Lion</t>
  </si>
  <si>
    <t>https://aisingapore.org/aiproducts/sea-lion/</t>
  </si>
  <si>
    <t>https://huggingface.co/aisingapore/sealion7b</t>
  </si>
  <si>
    <t>MPT base. MMLU=26.87. Southeast Asian languages like Thai, Vietnamese and Bahasa Indonesia. https://www.computerweekly.com/feature/Sea-Lion-explained-Southeast-Asias-first-large-language-model</t>
  </si>
  <si>
    <t>TimesFM</t>
  </si>
  <si>
    <t>https://blog.research.google/2024/02/a-decoder-only-foundation-model-for.html</t>
  </si>
  <si>
    <t>Time-series forecasting only. 'a large pretraining corpus of 100B real world time-points' may be more than 100B tokens.</t>
  </si>
  <si>
    <t>https://huggingface.co/allenai/OLMo-7B</t>
  </si>
  <si>
    <t>https://allenai.org/olmo/olmo-paper.pdf</t>
  </si>
  <si>
    <t>Open Language Model (OLMo)</t>
  </si>
  <si>
    <t>Audio Flamingo</t>
  </si>
  <si>
    <t>https://huggingface.co/spaces/nvidia/audio-flamingo-demo</t>
  </si>
  <si>
    <t>https://arxiv.org/abs/2402.01831</t>
  </si>
  <si>
    <r>
      <t/>
    </r>
    <r>
      <rPr>
        <sz val="14"/>
        <color rgb="FF073763"/>
        <rFont val="Calibri"/>
        <family val="2"/>
        <scheme val="minor"/>
      </rPr>
      <t xml:space="preserve">Project page: </t>
    </r>
    <r>
      <rPr>
        <u/>
        <sz val="14"/>
        <color rgb="FF1155cc"/>
        <rFont val="Calibri"/>
        <family val="2"/>
        <scheme val="minor"/>
      </rPr>
      <t>https://audioflamingo.github.io/</t>
    </r>
  </si>
  <si>
    <t>FLOR-6.3B</t>
  </si>
  <si>
    <t>https://huggingface.co/projecte-aina/FLOR-6.3B</t>
  </si>
  <si>
    <t>https://www.cerebras.net/press-release/cerebras-systems-and-barcelona-supercomputing-center-train-industry-leading-multilingual-spanish-catalan-english-llm</t>
  </si>
  <si>
    <t>Spanish, Catalan. Bloom-7.1B (341B tok) + continued pre-training on 140B tok. Trained on Cerebras hardware.</t>
  </si>
  <si>
    <t>Weaver</t>
  </si>
  <si>
    <t>AIWaves.cn</t>
  </si>
  <si>
    <t>https://www.wawawriter.com/</t>
  </si>
  <si>
    <t>https://arxiv.org/abs/2401.17268</t>
  </si>
  <si>
    <r>
      <t/>
    </r>
    <r>
      <rPr>
        <sz val="14"/>
        <color rgb="FF073763"/>
        <rFont val="Calibri"/>
        <family val="2"/>
        <scheme val="minor"/>
      </rPr>
      <t xml:space="preserve">Llama? 'All Weaver models are initialized from powerful open-source LLMs.' English waitlist: </t>
    </r>
    <r>
      <rPr>
        <u/>
        <sz val="14"/>
        <color rgb="FF1155cc"/>
        <rFont val="Calibri"/>
        <family val="2"/>
        <scheme val="minor"/>
      </rPr>
      <t>https://www.wawawriter.com/en/</t>
    </r>
  </si>
  <si>
    <t>miqu 70b</t>
  </si>
  <si>
    <t>https://huggingface.co/miqudev/miqu-1-70b</t>
  </si>
  <si>
    <r>
      <t/>
    </r>
    <r>
      <rPr>
        <sz val="14"/>
        <color rgb="FF073763"/>
        <rFont val="Calibri"/>
        <family val="2"/>
        <scheme val="minor"/>
      </rPr>
      <t xml:space="preserve">Leaked, proper version soon: </t>
    </r>
    <r>
      <rPr>
        <u/>
        <sz val="14"/>
        <color rgb="FF1155cc"/>
        <rFont val="Calibri"/>
        <family val="2"/>
        <scheme val="minor"/>
      </rPr>
      <t>https://venturebeat.com/ai/mistral-ceo-confirms-leak-of-new-open-source-ai-model-nearing-gpt-4-performance/</t>
    </r>
  </si>
  <si>
    <t>iFlytekSpark-13B</t>
  </si>
  <si>
    <t>iFlyTek</t>
  </si>
  <si>
    <t>https://gitee.com/iflytekopensource/iFlytekSpark-13B</t>
  </si>
  <si>
    <t>https://www.ithome.com/0/748/030.htm</t>
  </si>
  <si>
    <t>pre-trained on a massive high-quality data set with a total of more than 3 trillion tokens, and then fine-tuned on fine-tuned diversified alignment data.'</t>
  </si>
  <si>
    <t>Xinghuo 3.5 (Spark)</t>
  </si>
  <si>
    <t>https://www.laitimes.com/en/article/6f50u_6vhbm.html</t>
  </si>
  <si>
    <r>
      <t/>
    </r>
    <r>
      <rPr>
        <sz val="14"/>
        <color rgb="FF073763"/>
        <rFont val="Calibri"/>
        <family val="2"/>
        <scheme val="minor"/>
      </rPr>
      <t xml:space="preserve">GPT-4 competitor. </t>
    </r>
    <r>
      <rPr>
        <u/>
        <sz val="14"/>
        <color rgb="FF1155cc"/>
        <rFont val="Calibri"/>
        <family val="2"/>
        <scheme val="minor"/>
      </rPr>
      <t>https://www.shine.cn/biz/tech/2401304331/</t>
    </r>
  </si>
  <si>
    <t>MGIE</t>
  </si>
  <si>
    <t>https://github.com/tsujuifu/pytorch_mgie</t>
  </si>
  <si>
    <t>https://openreview.net/forum?id=S1RKWSyZ2Y</t>
  </si>
  <si>
    <t>MLLM and diffusion model initialized from LLaVA-7B (Llama 2 + Vicuna) + StableDiffusion-v1.5.</t>
  </si>
  <si>
    <t>CodeLlama-70B</t>
  </si>
  <si>
    <t>https://huggingface.co/codellama/CodeLlama-70b-hf</t>
  </si>
  <si>
    <t>https://ai.meta.com/research/publications/code-llama-open-foundation-models-for-code/</t>
  </si>
  <si>
    <t>Paper link is to 34B from Aug/2023. This 70B model finished training Jan/2024.</t>
  </si>
  <si>
    <t>RWKV-v5 Eagle 7B</t>
  </si>
  <si>
    <t>https://blog.rwkv.com/p/eagle-7b-soaring-past-transformers</t>
  </si>
  <si>
    <r>
      <t/>
    </r>
    <r>
      <rPr>
        <sz val="14"/>
        <color rgb="FF073763"/>
        <rFont val="Calibri"/>
        <family val="2"/>
        <scheme val="minor"/>
      </rPr>
      <t xml:space="preserve">RWKV (pronounced RwaKuv) is an RNN: Built on the RWKV-v5 architecture (a linear transformer with 10-100x+ lower inference cost), Trained on 1.1 Trillion Tokens across 100+ languages. Original paper: </t>
    </r>
    <r>
      <rPr>
        <u/>
        <sz val="14"/>
        <color rgb="FF1155cc"/>
        <rFont val="Calibri"/>
        <family val="2"/>
        <scheme val="minor"/>
      </rPr>
      <t>https://arxiv.org/abs/2305.13048</t>
    </r>
  </si>
  <si>
    <t>MaLA-500</t>
  </si>
  <si>
    <t>LMU</t>
  </si>
  <si>
    <t>https://huggingface.co/MaLA-LM/mala-500</t>
  </si>
  <si>
    <t>https://arxiv.org/abs/2401.13303</t>
  </si>
  <si>
    <t>Extends Llama 2 7B to 10B using 534 languages.</t>
  </si>
  <si>
    <t>MambaByte</t>
  </si>
  <si>
    <t>Cornell</t>
  </si>
  <si>
    <t>https://github.com/kyegomez/MambaByte</t>
  </si>
  <si>
    <t>books, code</t>
  </si>
  <si>
    <t>https://arxiv.org/abs/2401.13660</t>
  </si>
  <si>
    <t>Used bytes instead of tokens. 4 bytes≈1 token, so 150B bytes≈37.5B tokens</t>
  </si>
  <si>
    <t>DeepSeek-Coder</t>
  </si>
  <si>
    <t>https://coder.deepseek.com/</t>
  </si>
  <si>
    <t>https://arxiv.org/abs/2401.14196</t>
  </si>
  <si>
    <t>surpasses existing closed-source models like Codex and GPT-3.5... permissive license that allows for both research and unrestricted commercial use.'</t>
  </si>
  <si>
    <t>FuseLLM</t>
  </si>
  <si>
    <t>https://github.com/fanqiwan/FuseLLM</t>
  </si>
  <si>
    <t>https://arxiv.org/abs/2401.10491</t>
  </si>
  <si>
    <t>Fusion of Llama-2-7B (2T tok), OpenLLaMA-7B (2T tok), and MPT-7B (1T tok).</t>
  </si>
  <si>
    <t>Fuyu-Heavy</t>
  </si>
  <si>
    <t>Adept</t>
  </si>
  <si>
    <t>https://www.adept.ai/blog/adept-fuyu-heavy</t>
  </si>
  <si>
    <t>Fuyu-Heavy is the world’s third-most-capable multimodal model, behind only GPT4-V and Gemini Ultra, which are 10-20 times bigger.' Token estimate is based on Adept Persimmon-8B using many more tokens.</t>
  </si>
  <si>
    <t>Orion-14B</t>
  </si>
  <si>
    <t>OrionStar</t>
  </si>
  <si>
    <t>https://github.com/OrionStarAI/Orion</t>
  </si>
  <si>
    <t>https://arxiv.org/abs/2401.12246</t>
  </si>
  <si>
    <t xml:space="preserve">English, Chinese, Japanese, Korean, and other languages. </t>
  </si>
  <si>
    <t>InternLM2</t>
  </si>
  <si>
    <t>https://github.com/InternLM/InternLM</t>
  </si>
  <si>
    <t>https://arxiv.org/abs/2403.17297</t>
  </si>
  <si>
    <t>GLM-4</t>
  </si>
  <si>
    <t>https://open.bigmodel.cn/</t>
  </si>
  <si>
    <t>https://pandaily.com/zhipu-ai-unveils-glm-4-model-with-advanced-performance-paralleling-gpt-4/</t>
  </si>
  <si>
    <r>
      <t/>
    </r>
    <r>
      <rPr>
        <sz val="14"/>
        <color rgb="FF073763"/>
        <rFont val="Calibri"/>
        <family val="2"/>
        <scheme val="minor"/>
      </rPr>
      <t xml:space="preserve">Best Chinese model to date based on analysis. Follows OpenAI roadmap. MMLU=81.5. 'hundreds of billions of parameters' </t>
    </r>
    <r>
      <rPr>
        <u/>
        <sz val="14"/>
        <color rgb="FF1155cc"/>
        <rFont val="Calibri"/>
        <family val="2"/>
        <scheme val="minor"/>
      </rPr>
      <t>https://www.chatglm.cn/</t>
    </r>
    <r>
      <rPr>
        <sz val="14"/>
        <color rgb="FF073763"/>
        <rFont val="Calibri"/>
        <family val="2"/>
        <scheme val="minor"/>
      </rPr>
      <t xml:space="preserve"> </t>
    </r>
  </si>
  <si>
    <t>DeepSeekMoE</t>
  </si>
  <si>
    <t>https://arxiv.org/abs/2401.06066</t>
  </si>
  <si>
    <t>MoE activated parameters is 10-15% of dense, so I need to rethink ALScore for MoE. 'preliminary efforts to scale up DeepSeekMoE to 145B'</t>
  </si>
  <si>
    <t>DeepSeek</t>
  </si>
  <si>
    <t>https://arxiv.org/abs/2401.02954</t>
  </si>
  <si>
    <t>Chinese/English. Outperforms Llama 2. MMLU=71.3 outperforms GPT-3.5.</t>
  </si>
  <si>
    <t>LLaMA Pro</t>
  </si>
  <si>
    <t>https://huggingface.co/TencentARC/LLaMA-Pro-8B</t>
  </si>
  <si>
    <t>https://arxiv.org/abs/2401.02415</t>
  </si>
  <si>
    <t>We pre-train LLAMA PRO’s expanded blocks on 80B tokens using open-source code and math data for 2830 GPU Hours (16 NVIDIA H800 GPUs for about 7 days).</t>
  </si>
  <si>
    <t>Palmyra X</t>
  </si>
  <si>
    <t>https://writer.com/blog/palmyra-helm-benchmark/</t>
  </si>
  <si>
    <r>
      <t/>
    </r>
    <r>
      <rPr>
        <sz val="14"/>
        <color rgb="FF073763"/>
        <rFont val="Calibri"/>
        <family val="2"/>
        <scheme val="minor"/>
      </rPr>
      <t xml:space="preserve">Palmyra X V2, Palmyra X V3, Palmyra X V4. </t>
    </r>
    <r>
      <rPr>
        <u/>
        <sz val="14"/>
        <color rgb="FF1155cc"/>
        <rFont val="Calibri"/>
        <family val="2"/>
        <scheme val="minor"/>
      </rPr>
      <t>https://venturebeat.com/ai/why-writers-palmyra-llm-is-the-little-ai-model-that-could-for-enterprises/</t>
    </r>
  </si>
  <si>
    <t>TinyLlama</t>
  </si>
  <si>
    <t>SUTD/Independent</t>
  </si>
  <si>
    <t>https://github.com/jzhang38/TinyLlama</t>
  </si>
  <si>
    <t>https://arxiv.org/abs/2401.02385</t>
  </si>
  <si>
    <t>Overtrained' using 2,727 tokens per parameter. Dataset was 1T: 3 epochs to 3T seen. Singapore</t>
  </si>
  <si>
    <t>DocLLM</t>
  </si>
  <si>
    <t>JPMorgan</t>
  </si>
  <si>
    <t>https://arxiv.org/abs/2401.00908</t>
  </si>
  <si>
    <t>Document spatial layout structure.</t>
  </si>
  <si>
    <t>MACE-MP-0</t>
  </si>
  <si>
    <t>https://huggingface.co/mace-foundations/mace-mp-0</t>
  </si>
  <si>
    <t>materials science</t>
  </si>
  <si>
    <t>https://arxiv.org/abs/2401.00096</t>
  </si>
  <si>
    <t>"Uses 4-body equivariant messages; covers 89 elements; supports fine-tuning for ab initio accuracy with minimal data."</t>
  </si>
  <si>
    <t>Unified-IO 2</t>
  </si>
  <si>
    <t>https://unified-io-2.allenai.org/</t>
  </si>
  <si>
    <t>https://arxiv.org/abs/2312.17172</t>
  </si>
  <si>
    <t>600TB dataset (plus 120+ fine-tuning datasets) includes '1B imagetext pairs, 1T text tokens, 180M video clips, 130M interleaved image &amp; text, 3M 3D assets, and 1M agent trajectories.'</t>
  </si>
  <si>
    <t>WaveCoder-DS-6.7B</t>
  </si>
  <si>
    <t>https://arxiv.org/abs/2312.14187</t>
  </si>
  <si>
    <t>To obtain WaveCoder models, We choose StarCoder-15B, CodeLLaMa (7B and 13B), DeepseekCoder-6.7B as the base model and fine-tune all the base model for 3 epochs</t>
  </si>
  <si>
    <t>YunShan</t>
  </si>
  <si>
    <t>https://arxiv.org/abs/2312.17276</t>
  </si>
  <si>
    <t>Finance + law fine-tune of PanGu-π</t>
  </si>
  <si>
    <t>PanGu-Pi</t>
  </si>
  <si>
    <t>Dense, named PanGu-π</t>
  </si>
  <si>
    <t>YAYI 2</t>
  </si>
  <si>
    <t>Wenge</t>
  </si>
  <si>
    <t>https://huggingface.co/wenge-research/yayi2-30b</t>
  </si>
  <si>
    <t>https://arxiv.org/abs/2312.14862</t>
  </si>
  <si>
    <t>Dataset=240TB filtered to 10.6TB for 2.65T tokens</t>
  </si>
  <si>
    <t>Emu2</t>
  </si>
  <si>
    <t>https://baaivision.github.io/emu2/</t>
  </si>
  <si>
    <t>https://arxiv.org/abs/2312.13286</t>
  </si>
  <si>
    <t>VLM. Gemini clone. Outperforms Flamingo 80B. The Pile for text, but only sampled 3.6B tokens (1.4% of the dataset).</t>
  </si>
  <si>
    <t>MedLM</t>
  </si>
  <si>
    <t>https://cloud.google.com/vertex-ai/docs/generative-ai/model-reference/medlm</t>
  </si>
  <si>
    <t>https://cloud.google.com/static/vertex-ai/docs/generative-ai/medlm/MedLM-model-card.pdf</t>
  </si>
  <si>
    <t>Available to 'white-listed' orgs only.</t>
  </si>
  <si>
    <t>SOLAR-10.7B</t>
  </si>
  <si>
    <t>https://huggingface.co/upstage/SOLAR-10.7B-v1.0</t>
  </si>
  <si>
    <t>https://arxiv.org/abs/2312.15166</t>
  </si>
  <si>
    <t>South Korean. Llama-2 arch. SOTA for its size (Dec/2023).</t>
  </si>
  <si>
    <t>DeciLM-7B</t>
  </si>
  <si>
    <t>Deci</t>
  </si>
  <si>
    <t>https://console.deci.ai/infery-llm-demo</t>
  </si>
  <si>
    <t>https://deci.ai/blog/introducing-DeciLM-7b-the-fastest-and-most-accurate-7b-large-language-model-to-date</t>
  </si>
  <si>
    <t>4.4x times faster than Mistral. English only.</t>
  </si>
  <si>
    <t>Mistral-medium</t>
  </si>
  <si>
    <t>https://poe.com/</t>
  </si>
  <si>
    <t>https://mistral.ai/news/la-plateforme/</t>
  </si>
  <si>
    <t>MMLU=75.3% (GPT-3.5-turbo 20B=70%, Llama 2 70B=68.9%)</t>
  </si>
  <si>
    <t>mixtral-8x7b-32kseqlen</t>
  </si>
  <si>
    <t>https://www.together.ai/blog/mixtral</t>
  </si>
  <si>
    <t>https://arxiv.org/abs/2401.04088</t>
  </si>
  <si>
    <t>MoE=7Bx8, aka mistral-small. 'Concretely, Mixtral has 45B total parameters but only uses 12B parameters per token. It, therefore, processes input and generates output at the same speed and for the same cost as a 12B model.'</t>
  </si>
  <si>
    <t>StripedHyena 7B</t>
  </si>
  <si>
    <t>https://api.together.xyz/playground/language/togethercomputer/StripedHyena-Hessian-7B</t>
  </si>
  <si>
    <t>https://www.together.ai/blog/stripedhyena-7b</t>
  </si>
  <si>
    <t>RedPajama (C4), new arch beyond just Transformers</t>
  </si>
  <si>
    <t>NexusRaven-V2 13B</t>
  </si>
  <si>
    <t xml:space="preserve">Nexusflow.ai </t>
  </si>
  <si>
    <t>https://huggingface.co/spaces/Nexusflow/NexusRaven-V2-Demo</t>
  </si>
  <si>
    <t>https://github.com/nexusflowai/NexusRaven-V2/tree/master</t>
  </si>
  <si>
    <t>Based on CodeLlama. 'surpasses GPT-4 by up to 7% in function calling success rates in human-generated use cases involving nested and composite functions.'</t>
  </si>
  <si>
    <t>Gemini Ultra 1.0</t>
  </si>
  <si>
    <t>https://deepmind.google/technologies/gemini/</t>
  </si>
  <si>
    <t>https://storage.googleapis.com/deepmind-media/gemini/gemini_1_report.pdf</t>
  </si>
  <si>
    <r>
      <t/>
    </r>
    <r>
      <rPr>
        <sz val="14"/>
        <color theme="1"/>
        <rFont val="Calibri"/>
        <family val="2"/>
        <scheme val="minor"/>
      </rPr>
      <t xml:space="preserve">Original MMLU=83.7. MMLU=90.04 with prompting. Chinchilla (20:1), dense, maybe 600B-2000T. Note: Gemini outputs are watermarked. I do not use GDM models. </t>
    </r>
    <r>
      <rPr>
        <u/>
        <sz val="14"/>
        <color rgb="FF1155cc"/>
        <rFont val="Calibri"/>
        <family val="2"/>
        <scheme val="minor"/>
      </rPr>
      <t>https://lifearchitect.ai/watermarking/</t>
    </r>
  </si>
  <si>
    <t>Mamba</t>
  </si>
  <si>
    <t>https://huggingface.co/havenhq/mamba-chat</t>
  </si>
  <si>
    <t>https://arxiv.org/abs/2312.00752</t>
  </si>
  <si>
    <t>The Pile, new arch beyond just Transformers. 2.7B MMLU=26.2. 7B MMLU=33.3.</t>
  </si>
  <si>
    <t>LVM-3B</t>
  </si>
  <si>
    <t>Berkeley/JHU</t>
  </si>
  <si>
    <t>https://arxiv.org/abs/2312.00785</t>
  </si>
  <si>
    <t>Paper is 25MB. First Large Vision Model (LVM); no text. Based on Llama and LAION 5B (1.49B).</t>
  </si>
  <si>
    <t>SeaLLM-13b</t>
  </si>
  <si>
    <t>https://github.com/damo-nlp-sg/seallms</t>
  </si>
  <si>
    <t>https://arxiv.org/abs/2312.00738</t>
  </si>
  <si>
    <t>Llama 2 for Southeast Asian (SEA) languages: Vietnamese 🇻🇳, Indonesian 🇮🇩, Thai 🇹🇭, Malay 🇲🇾, Khmer🇰🇭, Lao🇱🇦, Tagalog🇵🇭 and Burmese🇲🇲</t>
  </si>
  <si>
    <t>pplx-70b-online</t>
  </si>
  <si>
    <t>https://blog.perplexity.ai/blog/introducing-pplx-online-llms</t>
  </si>
  <si>
    <t>Web access. Higher 'freshness' and 'truth' scores.</t>
  </si>
  <si>
    <t>SeamlessM4T-Large v2</t>
  </si>
  <si>
    <t>https://seamless.metademolab.com/expressive/</t>
  </si>
  <si>
    <t>https://ai.meta.com/research/publications/seamless-multilingual-expressive-and-streaming-speech-translation/</t>
  </si>
  <si>
    <r>
      <t/>
    </r>
    <r>
      <rPr>
        <sz val="14"/>
        <color theme="1"/>
        <rFont val="Calibri"/>
        <family val="2"/>
        <scheme val="minor"/>
      </rPr>
      <t xml:space="preserve">Based on NLLB and older models. </t>
    </r>
    <r>
      <rPr>
        <u/>
        <sz val="14"/>
        <color rgb="FF1155cc"/>
        <rFont val="Calibri"/>
        <family val="2"/>
        <scheme val="minor"/>
      </rPr>
      <t>https://github.com/facebookresearch/seamless_communication</t>
    </r>
  </si>
  <si>
    <t>Q-Transformer</t>
  </si>
  <si>
    <t>https://qtransformer.github.io/</t>
  </si>
  <si>
    <t>https://qtransformer.github.io/assets/qtransformer.pdf</t>
  </si>
  <si>
    <t>Robotics, builds on RT-1</t>
  </si>
  <si>
    <t>Yuan 2.0</t>
  </si>
  <si>
    <t>IEIT</t>
  </si>
  <si>
    <t>https://github.com/IEIT-Yuan/Yuan-2.0/blob/main/README-EN.md</t>
  </si>
  <si>
    <t>https://arxiv.org/abs/2311.15786</t>
  </si>
  <si>
    <t xml:space="preserve">Chinese + EN dataset include The Pile: DM, arxiv, wikipedia, book3, stack exchange, Freelaw and medical </t>
  </si>
  <si>
    <t>MEDITRON</t>
  </si>
  <si>
    <t>EPFL</t>
  </si>
  <si>
    <t>https://huggingface.co/epfl-llm/meditron-70b</t>
  </si>
  <si>
    <t>https://arxiv.org/abs/2311.16079</t>
  </si>
  <si>
    <t>Llama 2 trained on med data using NVIDIA Megatron-LM. "outperforms Llama-2-70B, GPT-3.5 (text-davinci-003, 8-shot), and Flan-PaLM on multiple medical reasoning tasks."</t>
  </si>
  <si>
    <t>Transformers-Arithmetic</t>
  </si>
  <si>
    <t>https://arxiv.org/abs/2311.14737</t>
  </si>
  <si>
    <t>Proving maths is not memorized. Uses GPT-2-style model. Sébastien Bubeck</t>
  </si>
  <si>
    <t>Starling-7B</t>
  </si>
  <si>
    <t>https://huggingface.co/berkeley-nest/Starling-LM-7B-alpha</t>
  </si>
  <si>
    <t>https://starling.cs.berkeley.edu/</t>
  </si>
  <si>
    <t>Llama 2 7B -&gt; OpenChat 7B -&gt; Starling-7B (RLAIF)</t>
  </si>
  <si>
    <t>Inflection-2</t>
  </si>
  <si>
    <t>“now the 2nd best LLM in the world”. Finished training 19/Nov/2023, waiting for fine-tuning and release.</t>
  </si>
  <si>
    <t>Claude 2.1</t>
  </si>
  <si>
    <t>https://www.anthropic.com/index/claude-2-1</t>
  </si>
  <si>
    <t>Less hallucinations, 200k context length, tool use</t>
  </si>
  <si>
    <t>TÜLU 2</t>
  </si>
  <si>
    <t>https://huggingface.co/allenai/tulu-2-dpo-70b</t>
  </si>
  <si>
    <t>https://arxiv.org/abs/2311.10702</t>
  </si>
  <si>
    <t>Llama 2 finetune with RLHF direct preference optimization (DPO).</t>
  </si>
  <si>
    <t>Nemotron-3 22B</t>
  </si>
  <si>
    <t>https://huggingface.co/nvidia/nemotron-3-8b-base-4k</t>
  </si>
  <si>
    <t>https://developer.nvidia.com/blog/nvidia-ai-foundation-models-build-custom-enterprise-chatbots-and-co-pilots-with-production-ready-llms/</t>
  </si>
  <si>
    <t>8B released, 22B internal.</t>
  </si>
  <si>
    <t>Nemotron-2 43B</t>
  </si>
  <si>
    <t>https://arxiv.org/abs/2311.09528</t>
  </si>
  <si>
    <r>
      <t/>
    </r>
    <r>
      <rPr>
        <sz val="14"/>
        <color rgb="FF073763"/>
        <rFont val="Calibri"/>
        <family val="2"/>
        <scheme val="minor"/>
      </rPr>
      <t xml:space="preserve">Used to train HelpSteer (16/Nov/2023): </t>
    </r>
    <r>
      <rPr>
        <u/>
        <sz val="14"/>
        <color rgb="FF1155cc"/>
        <rFont val="Calibri"/>
        <family val="2"/>
        <scheme val="minor"/>
      </rPr>
      <t>https://arxiv.org/abs/2311.09528</t>
    </r>
  </si>
  <si>
    <t>Orca 2</t>
  </si>
  <si>
    <t>https://arxiv.org/abs/2311.11045</t>
  </si>
  <si>
    <r>
      <t/>
    </r>
    <r>
      <rPr>
        <sz val="14"/>
        <color rgb="FF073763"/>
        <rFont val="Calibri"/>
        <family val="2"/>
        <scheme val="minor"/>
      </rPr>
      <t xml:space="preserve">Llama 2 13B (2T) -&gt; Orca 2 (GPT-4 finetune). Still an imitation model, overhyped: The False Promise of Imitating Proprietary LLMs </t>
    </r>
    <r>
      <rPr>
        <u/>
        <sz val="14"/>
        <color rgb="FF1155cc"/>
        <rFont val="Calibri"/>
        <family val="2"/>
        <scheme val="minor"/>
      </rPr>
      <t>https://arxiv.org/abs/2305.15717</t>
    </r>
    <r>
      <rPr>
        <sz val="14"/>
        <color rgb="FF073763"/>
        <rFont val="Calibri"/>
        <family val="2"/>
        <scheme val="minor"/>
      </rPr>
      <t xml:space="preserve"> </t>
    </r>
  </si>
  <si>
    <t>Phi-2</t>
  </si>
  <si>
    <t>https://replicate.com/lucataco/phi-2</t>
  </si>
  <si>
    <t>https://huggingface.co/microsoft/phi-2</t>
  </si>
  <si>
    <t>https://twitter.com/SebastienBubeck/status/1724854157004190095</t>
  </si>
  <si>
    <t>Florence-2</t>
  </si>
  <si>
    <t>https://huggingface.co/microsoft/Florence-2-large</t>
  </si>
  <si>
    <t>https://arxiv.org/abs/2311.06242</t>
  </si>
  <si>
    <t>VLM, Flamingo alt</t>
  </si>
  <si>
    <t>Mirasol3B</t>
  </si>
  <si>
    <t>https://arxiv.org/abs/2311.05698</t>
  </si>
  <si>
    <t>Combiner + autoregressive transformer for video/audio/text</t>
  </si>
  <si>
    <t>OtterHD-8B</t>
  </si>
  <si>
    <t>NTU</t>
  </si>
  <si>
    <t>https://github.com/Luodian/Otter</t>
  </si>
  <si>
    <t>https://arxiv.org/abs/2311.04219</t>
  </si>
  <si>
    <t>Evolution of Persimmon-9.3B and Fuyu 8B</t>
  </si>
  <si>
    <t>Gauss</t>
  </si>
  <si>
    <t>https://koreajoongangdaily.joins.com/news/2023-11-08/business/tech/Samsung-unveils-generative-AI-model-Gauss/1908889</t>
  </si>
  <si>
    <t xml:space="preserve">Gauss Language specializing in generating texts, Gauss Code on software and code description and Gauss Image for image creation.  </t>
  </si>
  <si>
    <t>Grok-1</t>
  </si>
  <si>
    <t>https://github.com/xai-org/grok-1</t>
  </si>
  <si>
    <r>
      <t/>
    </r>
    <r>
      <rPr>
        <sz val="14"/>
        <color rgb="FF073763"/>
        <rFont val="Calibri"/>
        <family val="2"/>
        <scheme val="minor"/>
      </rPr>
      <t xml:space="preserve">Context window=8192. UI: </t>
    </r>
    <r>
      <rPr>
        <u/>
        <sz val="14"/>
        <color rgb="FF1155cc"/>
        <rFont val="Calibri"/>
        <family val="2"/>
        <scheme val="minor"/>
      </rPr>
      <t>https://twitter.com/TobyPhln/status/1721053802235621734</t>
    </r>
    <r>
      <rPr>
        <sz val="14"/>
        <color rgb="FF073763"/>
        <rFont val="Calibri"/>
        <family val="2"/>
        <scheme val="minor"/>
      </rPr>
      <t xml:space="preserve"> </t>
    </r>
  </si>
  <si>
    <t>Grok-0</t>
  </si>
  <si>
    <t>https://web.archive.org/web/20231105051542/https://x.ai/</t>
  </si>
  <si>
    <t>Announced Nov/2023, trained Jul/2023</t>
  </si>
  <si>
    <t>Yi-34B</t>
  </si>
  <si>
    <t>https://huggingface.co/01-ai/Yi-34B</t>
  </si>
  <si>
    <t>https://github.com/01-ai/Yi</t>
  </si>
  <si>
    <r>
      <t/>
    </r>
    <r>
      <rPr>
        <sz val="14"/>
        <color rgb="FF073763"/>
        <rFont val="Calibri"/>
        <family val="2"/>
        <scheme val="minor"/>
      </rPr>
      <t xml:space="preserve">Controversy about Llama 2 base. </t>
    </r>
    <r>
      <rPr>
        <u/>
        <sz val="14"/>
        <color rgb="FF1155cc"/>
        <rFont val="Calibri"/>
        <family val="2"/>
        <scheme val="minor"/>
      </rPr>
      <t>https://twitter.com/kaifulee/status/1724673131875377465</t>
    </r>
    <r>
      <rPr>
        <sz val="14"/>
        <color rgb="FF073763"/>
        <rFont val="Calibri"/>
        <family val="2"/>
        <scheme val="minor"/>
      </rPr>
      <t xml:space="preserve"> MMLU=76.3 (PaLM 2=78.3) Outperforms Llama 2. Chinese and English. https://www.bloomberg.com/news/articles/2023-11-05/kai-fu-lee-s-open-source-01-ai-bests-llama-2-according-to-hugging-face</t>
    </r>
  </si>
  <si>
    <t>GPT-4 Turbo</t>
  </si>
  <si>
    <t>https://openai.com/blog/new-models-and-developer-products-announced-at-devday</t>
  </si>
  <si>
    <t>https://arxiv.org/abs/2310.07707</t>
  </si>
  <si>
    <t>Matryoshka Transformer or MatFormer model architecture. 850M (696M / 620M / 582M). "850M decoder-only MatFormer language model (MatLM) allows us to extract multiple smaller models spanning from 582M to 850M parameters, each exhibiting better validation loss and one-shot downstream evaluations than independently trained counterparts."</t>
  </si>
  <si>
    <t>Skywork-13B</t>
  </si>
  <si>
    <t>https://arxiv.org/abs/2310.19341</t>
  </si>
  <si>
    <t>CN + EN.</t>
  </si>
  <si>
    <t>Kimi Chat</t>
  </si>
  <si>
    <t>https://www.chinadaily.com.cn/a/202403/22/WS65fce476a31082fc043be1b1.html</t>
  </si>
  <si>
    <t>Chinese. Long context. No paper.</t>
  </si>
  <si>
    <t>jina-embeddings-v2</t>
  </si>
  <si>
    <t>https://huggingface.co/jinaai/jina-embeddings-v2-base-en</t>
  </si>
  <si>
    <t>https://jina.ai/news/jina-ai-launches-worlds-first-open-source-8k-text-embedding-rivaling-openai/</t>
  </si>
  <si>
    <r>
      <t/>
    </r>
    <r>
      <rPr>
        <sz val="14"/>
        <color rgb="FF073763"/>
        <rFont val="Calibri"/>
        <family val="2"/>
        <scheme val="minor"/>
      </rPr>
      <t xml:space="preserve">Alternative to text-embedding-ada-002. Related v1 paper: </t>
    </r>
    <r>
      <rPr>
        <u/>
        <sz val="14"/>
        <color rgb="FF1155cc"/>
        <rFont val="Calibri"/>
        <family val="2"/>
        <scheme val="minor"/>
      </rPr>
      <t>https://arxiv.org/abs/2307.11224</t>
    </r>
  </si>
  <si>
    <t>Fuyu</t>
  </si>
  <si>
    <t>https://huggingface.co/adept/fuyu-8b</t>
  </si>
  <si>
    <t>https://www.adept.ai/blog/fuyu-8b</t>
  </si>
  <si>
    <t>VLM. 8B available under open licence, Medium size is closed</t>
  </si>
  <si>
    <t>ERNIE 4.0</t>
  </si>
  <si>
    <t>https://reuters.com/technology/chinas-baidu-unveils-latest-version-its-ernie-ai-model-2023-10-17/</t>
  </si>
  <si>
    <t xml:space="preserve">Dense (confirmed). English-dubbed launch video (2h52m): https://twitter.com/i/broadcasts/1yNGaZaeallJj &amp; https://youtu.be/wYozcsavRuM </t>
  </si>
  <si>
    <t>Zephyr</t>
  </si>
  <si>
    <t>https://huggingface.co/HuggingFaceH4/zephyr-7b-alpha</t>
  </si>
  <si>
    <t>Mistral with 'aligned' data removed from dataset</t>
  </si>
  <si>
    <t>PaLI-3</t>
  </si>
  <si>
    <t>https://arxiv.org/abs/2310.09199</t>
  </si>
  <si>
    <r>
      <t/>
    </r>
    <r>
      <rPr>
        <sz val="14"/>
        <color theme="1"/>
        <rFont val="Calibri"/>
        <family val="2"/>
        <scheme val="minor"/>
      </rPr>
      <t xml:space="preserve">VLM. Next iteration of PaLI via Pathways. </t>
    </r>
    <r>
      <rPr>
        <u/>
        <sz val="14"/>
        <color rgb="FF1155cc"/>
        <rFont val="Calibri"/>
        <family val="2"/>
        <scheme val="minor"/>
      </rPr>
      <t>https://lifearchitect.ai/pathways/</t>
    </r>
  </si>
  <si>
    <t>Retro 48B</t>
  </si>
  <si>
    <t>https://arxiv.org/abs/2310.07713</t>
  </si>
  <si>
    <t>the largest LLM pretrained with retrieval before instruction tuning.'</t>
  </si>
  <si>
    <t>Ferret</t>
  </si>
  <si>
    <t>https://arxiv.org/abs/2310.07704</t>
  </si>
  <si>
    <t>Vicuna base, multimodal</t>
  </si>
  <si>
    <t>Lemur</t>
  </si>
  <si>
    <t>XLANG Lab</t>
  </si>
  <si>
    <t>https://github.com/OpenLemur/Lemur</t>
  </si>
  <si>
    <t>https://arxiv.org/abs/2310.06830</t>
  </si>
  <si>
    <t>AceGPT</t>
  </si>
  <si>
    <t>KAUST/Shenzhen</t>
  </si>
  <si>
    <t>https://huggingface.co/FreedomIntelligence/AceGPT-13B</t>
  </si>
  <si>
    <t>https://github.com/FreedomIntelligence/AceGPT/tree/main</t>
  </si>
  <si>
    <t>Arabic. Llama 2 + RLAIF</t>
  </si>
  <si>
    <t>Yasa-1</t>
  </si>
  <si>
    <t>https://reka.ai/announcing-our-multimodal-ai-assistant/</t>
  </si>
  <si>
    <t>https://reka.ai/product/</t>
  </si>
  <si>
    <t>Multi-modal. No public arch info. Researchers from DeepMind, Google, Baidu and Meta building enterprise models</t>
  </si>
  <si>
    <t>RT-X</t>
  </si>
  <si>
    <t>https://robotics-transformer-x.github.io/</t>
  </si>
  <si>
    <t>https://robotics-transformer-x.github.io/paper.pdf</t>
  </si>
  <si>
    <t>Robotics using UL2. 'RT-1 model trained using the robotic data mixture as RT-1-X, and the RT-2 model trained using the robotic data mixture as RT-2-X.'</t>
  </si>
  <si>
    <t>MotionLM</t>
  </si>
  <si>
    <t>Waymo</t>
  </si>
  <si>
    <t>https://arxiv.org/abs/2309.16534</t>
  </si>
  <si>
    <r>
      <t/>
    </r>
    <r>
      <rPr>
        <sz val="14"/>
        <color theme="1"/>
        <rFont val="Calibri"/>
        <family val="2"/>
        <scheme val="minor"/>
      </rPr>
      <t xml:space="preserve">LLM for autonomous vehicle forecasting. </t>
    </r>
    <r>
      <rPr>
        <u/>
        <sz val="14"/>
        <color rgb="FF1155cc"/>
        <rFont val="Calibri"/>
        <family val="2"/>
        <scheme val="minor"/>
      </rPr>
      <t>https://youtu.be/jrMMNmN21I8?t=1560</t>
    </r>
  </si>
  <si>
    <t>GAIA-1</t>
  </si>
  <si>
    <t>Wayve</t>
  </si>
  <si>
    <t>https://wayve.ai/thinking/scaling-gaia-1/</t>
  </si>
  <si>
    <t>https://arxiv.org/abs/2309.17080</t>
  </si>
  <si>
    <t>World model, generates video. Uses T5-large 770M for language + all vision parameters</t>
  </si>
  <si>
    <t>Qwen</t>
  </si>
  <si>
    <t>https://huggingface.co/Qwen</t>
  </si>
  <si>
    <t>https://arxiv.org/abs/2309.16609</t>
  </si>
  <si>
    <t>Chinese. Full name is 'Tongyi Qianwen' 通义千问. 'Lags behind both GPT-3.5 and GPT-4'. Originally 7B/14B params Apr/2023</t>
  </si>
  <si>
    <t>Llama 2 Long</t>
  </si>
  <si>
    <t>https://arxiv.org/abs/2309.16039</t>
  </si>
  <si>
    <t>Unreleased to date. Context window=32,768 tokens (compare to Llama 2=4096 tokens)</t>
  </si>
  <si>
    <t>LeoLM</t>
  </si>
  <si>
    <t>Hessian AI/LAION</t>
  </si>
  <si>
    <t>https://huggingface.co/LeoLM/leo-hessianai-13b</t>
  </si>
  <si>
    <t>https://laion.ai/blog/leo-lm/</t>
  </si>
  <si>
    <t>Llama 2 'extended' and pretrained on 2000B Llama 2 tokens + 65B tokens of German</t>
  </si>
  <si>
    <t>Mistral 7B</t>
  </si>
  <si>
    <t>https://huggingface.co/mistralai</t>
  </si>
  <si>
    <t>https://mistral.ai/news/announcing-mistral-7b/</t>
  </si>
  <si>
    <t>Apache 2.0, Sliding Window Attention (SWA) to handle longer sequences at smaller cost</t>
  </si>
  <si>
    <t>Kosmos-2.5</t>
  </si>
  <si>
    <t>https://arxiv.org/abs/2309.11419</t>
  </si>
  <si>
    <t>Baichuan 2</t>
  </si>
  <si>
    <t>https://github.com/baichuan-inc/Baichuan2/blob/main/README_EN.md</t>
  </si>
  <si>
    <t>https://cdn.baichuan-ai.com/paper/Baichuan2-technical-report.pdf</t>
  </si>
  <si>
    <t>Great paper. Chinese-English bilingual dataset</t>
  </si>
  <si>
    <t>BOLT2.5B</t>
  </si>
  <si>
    <t>ThirdAI</t>
  </si>
  <si>
    <t>https://huggingface.co/spaces/thirdai/BOLT2.5B</t>
  </si>
  <si>
    <t>https://medium.com/thirdai-blog/introducing-the-worlds-first-generative-llm-pre-trained-only-on-cpus-meet-thirdai-s-bolt2-5b-10c0600e1af4</t>
  </si>
  <si>
    <t>CPU trained</t>
  </si>
  <si>
    <t>DeciLM</t>
  </si>
  <si>
    <t>https://huggingface.co/Deci/DeciLM-6b</t>
  </si>
  <si>
    <t>https://deci.ai/blog/decilm-15-times-faster-than-llama2-nas-generated-llm-with-variable-gqa/</t>
  </si>
  <si>
    <t>Faster inference (4.8× throughput of Llama 2)</t>
  </si>
  <si>
    <t>MoLM</t>
  </si>
  <si>
    <t>https://github.com/ibm/moduleformer</t>
  </si>
  <si>
    <t>https://arxiv.org/abs/2306.04640</t>
  </si>
  <si>
    <t>ModuleFormer is based on the Sparse Mixture of Experts (MoE).</t>
  </si>
  <si>
    <t>NExT-GPT</t>
  </si>
  <si>
    <t>https://next-gpt.github.io/</t>
  </si>
  <si>
    <t>https://arxiv.org/abs/2309.05519</t>
  </si>
  <si>
    <t>Multimodal. Vicuna 7B + other modalities</t>
  </si>
  <si>
    <t>Phi-1.5</t>
  </si>
  <si>
    <t>https://huggingface.co/microsoft/phi-1_5</t>
  </si>
  <si>
    <t>https://arxiv.org/abs/2309.05463</t>
  </si>
  <si>
    <t>Textbooks only. 30B-token dataset</t>
  </si>
  <si>
    <t>UniLM</t>
  </si>
  <si>
    <t>https://jackcook.com/2023/09/08/predictive-text.html</t>
  </si>
  <si>
    <t>https://github.com/jackcook/predictive-spy</t>
  </si>
  <si>
    <t>Apple's Transformer model for iOS 17 + macOS Sonoma. Announce is actually Jun/2023. GPT-2 base? 128 token context window</t>
  </si>
  <si>
    <t>Persimmon-8B</t>
  </si>
  <si>
    <t>https://www.adept.ai/blog/persimmon-8b</t>
  </si>
  <si>
    <t>https://github.com/persimmon-ai-labs/adept-inference</t>
  </si>
  <si>
    <t xml:space="preserve">Open Apache license and publicly accessible weights. </t>
  </si>
  <si>
    <t>FLM-101B</t>
  </si>
  <si>
    <t>https://huggingface.co/CofeAI/FLM-101B</t>
  </si>
  <si>
    <t>https://arxiv.org/abs/2309.03852</t>
  </si>
  <si>
    <t>Train for $100k compute budget (on a cluster of 24 DGX-A800 GPU 8×80G servers for 21 days)</t>
  </si>
  <si>
    <t>Falcon 180B</t>
  </si>
  <si>
    <t>https://huggingface.co/spaces/tiiuae/falcon-180b-demo</t>
  </si>
  <si>
    <t>https://arxiv.org/abs/2311.16867</t>
  </si>
  <si>
    <t>Major milestone for open source models (largest open dense model to date).</t>
  </si>
  <si>
    <t>Hunyuan</t>
  </si>
  <si>
    <t>https://www.tencent.com/en-us/articles/2201685.html</t>
  </si>
  <si>
    <t>https://arxiv.org/abs/2402.01723v1</t>
  </si>
  <si>
    <t>phi-CTNL</t>
  </si>
  <si>
    <t>https://arxiv.org/abs/2309.08632</t>
  </si>
  <si>
    <t>Satire. MMLU=100. 'phi-CTNL (pronounced “fictional”) that achieves perfect results across diverse academic benchmarks'</t>
  </si>
  <si>
    <t>Granite</t>
  </si>
  <si>
    <t>https://www.ibm.com/granite</t>
  </si>
  <si>
    <t>https://www.ibm.com/downloads/cas/X9W4O6BM</t>
  </si>
  <si>
    <t>Original trained on 1T tokens, update 15/Feb/2024 trained on 2.5T tokens: granite-13b-chat-v2 (v2.1.0). "At IBM, we curated 6.48TB of data to train our LLM Granite.13B. This was reduced to 2.07 TB after pre-processing, a 68% decrease."</t>
  </si>
  <si>
    <t>Jais</t>
  </si>
  <si>
    <t>https://huggingface.co/inception-mbzuai</t>
  </si>
  <si>
    <t>https://arxiv.org/abs/2308.16149</t>
  </si>
  <si>
    <t>Arabic, trained in Abu Dhabi, UAE using Cerebras.</t>
  </si>
  <si>
    <t>Code Llama 34B</t>
  </si>
  <si>
    <t>https://github.com/facebookresearch/codellama</t>
  </si>
  <si>
    <t>Outperforms GPT-3.5. Initial Llama 2 (2T tokens) trained on 500B tokens of code, 100B tokens of python</t>
  </si>
  <si>
    <t>IDEFICS</t>
  </si>
  <si>
    <t>https://huggingface.co/spaces/HuggingFaceM4/idefics_playground</t>
  </si>
  <si>
    <t>https://huggingface.co/blog/idefics</t>
  </si>
  <si>
    <t>Clone of Flamingo using Llama-1 65B. Named after Asterix and Obelix's dog Idefix (Image-aware Decoder Enhanced à la Flamingo with Interleaved Cross-attentionS)</t>
  </si>
  <si>
    <t>Raven</t>
  </si>
  <si>
    <t>UI/NVIDIA</t>
  </si>
  <si>
    <t>https://arxiv.org/abs/2308.07922</t>
  </si>
  <si>
    <t>RAG Atlas</t>
  </si>
  <si>
    <t>DukunLM</t>
  </si>
  <si>
    <t>AzaleAI</t>
  </si>
  <si>
    <t>https://huggingface.co/azale-ai/DukunLM-13B-V1.0-Uncensored</t>
  </si>
  <si>
    <t>Indonesian fine-tune of WizardLM (which is a Llama fine-tune).</t>
  </si>
  <si>
    <t>WizardLM</t>
  </si>
  <si>
    <t>https://huggingface.co/WizardLM/WizardLM-70B-V1.0</t>
  </si>
  <si>
    <t>https://github.com/nlpxucan/WizardLM</t>
  </si>
  <si>
    <t>Assume Llama-2 fine-tune. Outperforms text-davinci-003. May merge this entry with the Apr/2023 7B release</t>
  </si>
  <si>
    <t>Platypus</t>
  </si>
  <si>
    <t>Boston University</t>
  </si>
  <si>
    <t>https://platypus-llm.github.io/</t>
  </si>
  <si>
    <t>https://platypus-llm.github.io/Platypus.pdf</t>
  </si>
  <si>
    <t>Fine-tune of Llama 2, family includes merges with Beluga, Dolphin, and Camel fine-tunes.</t>
  </si>
  <si>
    <t>Japanese StableLM Alpha 7B</t>
  </si>
  <si>
    <t>https://huggingface.co/stabilityai/japanese-stablelm-base-alpha-7b</t>
  </si>
  <si>
    <t>https://stability.ai/blog/stability-ai-new-jplm-japanese-language-model-stablelm</t>
  </si>
  <si>
    <t>Best-performing openly available language model for Japanese speakers.</t>
  </si>
  <si>
    <t>Stable Code 3B</t>
  </si>
  <si>
    <t>https://huggingface.co/stabilityai/stablecode-completion-alpha-3b-4k</t>
  </si>
  <si>
    <t>https://stability.ai/blog/stablecode-llm-generative-ai-coding</t>
  </si>
  <si>
    <t>Med-Flamingo</t>
  </si>
  <si>
    <t>https://github.com/snap-stanford/med-flamingo</t>
  </si>
  <si>
    <t>https://arxiv.org/abs/2307.15189</t>
  </si>
  <si>
    <t>Uses LAION OpenFlamingo 9B, based on LLaMA-7B text + 1.3B vision</t>
  </si>
  <si>
    <t>Alfred-40B-0723</t>
  </si>
  <si>
    <t>LightOn</t>
  </si>
  <si>
    <t>https://huggingface.co/lightonai/alfred-40b-0723</t>
  </si>
  <si>
    <t>https://www.lighton.ai/blog/lighton-s-blog-4/introducing-alfred-40b-0723-38</t>
  </si>
  <si>
    <t>First finetuned version of Falcon with RLHF. Enterprise: https://www.lighton.ai/paradigm</t>
  </si>
  <si>
    <t>LLaMA-2-7B-32K</t>
  </si>
  <si>
    <t>https://huggingface.co/togethercomputer/LLaMA-2-7B-32K</t>
  </si>
  <si>
    <t>https://together.ai/blog/llama-2-7b-32k</t>
  </si>
  <si>
    <t>32k context window instead of 4k (Llama 2)</t>
  </si>
  <si>
    <t>Med-PaLM M</t>
  </si>
  <si>
    <t>https://arxiv.org/abs/2307.14334</t>
  </si>
  <si>
    <t>Uses PaLM 1. Already outperformed by Med-PaLM 2. Med-PaLM Multimodal (Med-PaLM M).</t>
  </si>
  <si>
    <t>BTLM-3B-8K</t>
  </si>
  <si>
    <t>https://huggingface.co/cerebras/btlm-3b-8k-base</t>
  </si>
  <si>
    <t>https://www.cerebras.net/blog/btlm-3b-8k-7b-performance-in-a-3-billion-parameter-model/</t>
  </si>
  <si>
    <t>Runs on devices with as little as 3GB of memory [iPhone, Macbook] when quantized to 4-bit</t>
  </si>
  <si>
    <t>Stable Beluga 2</t>
  </si>
  <si>
    <t>https://huggingface.co/stabilityai/FreeWilly2</t>
  </si>
  <si>
    <t>https://stability.ai/blog/stable-beluga-large-instruction-fine-tuned-models</t>
  </si>
  <si>
    <t>Fine-tuned Llama 2. Non-commercial use license. Codename was FreeWilly2</t>
  </si>
  <si>
    <t>Stable Beluga 1</t>
  </si>
  <si>
    <t>https://huggingface.co/stabilityai/FreeWilly1-Delta-SafeTensor</t>
  </si>
  <si>
    <t>Fine-tuned LLaMA-1. Non-commercial use license. Codename was FreeWilly1</t>
  </si>
  <si>
    <t>Meta-Transformer</t>
  </si>
  <si>
    <t>Shanghai AI Laboratory/CUHK</t>
  </si>
  <si>
    <t>https://github.com/invictus717/MetaTransformer</t>
  </si>
  <si>
    <t>https://arxiv.org/abs/2307.10802</t>
  </si>
  <si>
    <t>Proto-AGI. 12 modalities (text, image, point cloud, audio, video, infrared, hyperspectral, X-ray, time-series, tabular, Inertial Measurement Unit (IMU), and graph data).</t>
  </si>
  <si>
    <t>https://www.llama2.ai/</t>
  </si>
  <si>
    <t>https://ai.meta.com/research/publications/llama-2-open-foundation-and-fine-tuned-chat-models/</t>
  </si>
  <si>
    <t>Context window=4096. MMLU=68.9 (GPT-3.5=70.0, GPT-4=86.4)</t>
  </si>
  <si>
    <t>WormGPT</t>
  </si>
  <si>
    <t>(Undisclosed)</t>
  </si>
  <si>
    <t>https://slashnext.com/blog/wormgpt-the-generative-ai-tool-cybercriminals-are-using-to-launch-business-email-compromise-attacks/</t>
  </si>
  <si>
    <t>GPT-J (2021) finetune/module.</t>
  </si>
  <si>
    <t>Claude 2</t>
  </si>
  <si>
    <t>https://www-files.anthropic.com/production/images/Model-Card-Claude-2.pdf</t>
  </si>
  <si>
    <t>More HHH, 200k context length</t>
  </si>
  <si>
    <t>LongLLaMA</t>
  </si>
  <si>
    <t>IDEAS/DeepMind</t>
  </si>
  <si>
    <t>https://github.com/CStanKonrad/long_llama</t>
  </si>
  <si>
    <t>https://arxiv.org/abs/2307.03170</t>
  </si>
  <si>
    <t>256k context length</t>
  </si>
  <si>
    <t>xTrimoPGLM</t>
  </si>
  <si>
    <t>https://www.biorxiv.org/content/10.1101/2023.07.05.547496v1</t>
  </si>
  <si>
    <t>Protein language model</t>
  </si>
  <si>
    <t>XGen</t>
  </si>
  <si>
    <t>https://github.com/salesforce/xgen</t>
  </si>
  <si>
    <t>https://blog.salesforceairesearch.com/xgen/</t>
  </si>
  <si>
    <t>8K sequence length. Released under Apache-2.0.</t>
  </si>
  <si>
    <t>Zhinao (Intellectual Brain)</t>
  </si>
  <si>
    <t>360 cn</t>
  </si>
  <si>
    <t>https://ai.360.com/</t>
  </si>
  <si>
    <t>Yasa</t>
  </si>
  <si>
    <t>No public arch info. Researchers from DeepMind, Google, Baidu and Meta building enterprise models</t>
  </si>
  <si>
    <t>Kosmos-2</t>
  </si>
  <si>
    <t>https://44e505515af066f4.gradio.app/</t>
  </si>
  <si>
    <t>https://arxiv.org/abs/2306.14824</t>
  </si>
  <si>
    <t>Proto-AGI. Multimodal large language model (MLLM).  a multimodal large language model with grounding capability built upon KOSMOS-1</t>
  </si>
  <si>
    <t>AudioPaLM</t>
  </si>
  <si>
    <t>https://google-research.github.io/seanet/audiopalm/examples/</t>
  </si>
  <si>
    <t>https://arxiv.org/abs/2306.12925</t>
  </si>
  <si>
    <t>a unified multimodal architecture that can process and generate text and speech with applications including speech recognition and speech-to-speech translation</t>
  </si>
  <si>
    <t>Inflection-1</t>
  </si>
  <si>
    <t>https://docs.google.com/forms/d/e/1FAIpQLScM9Iz1KzaRlfgDrYrldoPDnXbhO5LW3-hqmQCd56YpheEN7g/viewform</t>
  </si>
  <si>
    <t>https://inflection.ai/assets/Inflection-1_0622.pdf</t>
  </si>
  <si>
    <t>Comparable with benchmarking results from InternLM 104B, 1-2% better. ‘Inflection-1 was trained using thousands of NVIDIA H100 GPUs on a very large dataset.’</t>
  </si>
  <si>
    <t>Phi-1</t>
  </si>
  <si>
    <t>https://arxiv.org/abs/2306.11644</t>
  </si>
  <si>
    <t>Code model. ‘breaking existing scaling laws by training a 1.3B-parameter model, which we call phi-1, for roughly 8 passes over 7B tokens (slightly over 50B total tokens seen) followed by finetuning on less than 200M tokens.’</t>
  </si>
  <si>
    <t>https://internlm-org.translate.goog/?_x_tr_sl=zh&amp;_x_tr_tl=en</t>
  </si>
  <si>
    <t>https://github.com/InternLM/InternLM-techreport</t>
  </si>
  <si>
    <t>Outperforms ChatGPT, LLaMA on RACE-h, Chinese + English</t>
  </si>
  <si>
    <t>BlenderBot 3x</t>
  </si>
  <si>
    <t>https://parl.ai/projects/bb3x/</t>
  </si>
  <si>
    <t>https://arxiv.org/abs/2306.04707</t>
  </si>
  <si>
    <t>OPT-175B with new dialogue data</t>
  </si>
  <si>
    <t>Orca</t>
  </si>
  <si>
    <t>https://aka.ms/orca-lm</t>
  </si>
  <si>
    <t>https://arxiv.org/abs/2306.02707</t>
  </si>
  <si>
    <r>
      <t/>
    </r>
    <r>
      <rPr>
        <sz val="14"/>
        <color rgb="FF073763"/>
        <rFont val="Calibri"/>
        <family val="2"/>
        <scheme val="minor"/>
      </rPr>
      <t xml:space="preserve">LLaMA -&gt; Vicuna -&gt; Orca (GPT-4 finetune). Still an imitation model, overhyped: The False Promise of Imitating Proprietary LLMs </t>
    </r>
    <r>
      <rPr>
        <u/>
        <sz val="14"/>
        <color rgb="FF1155cc"/>
        <rFont val="Calibri"/>
        <family val="2"/>
        <scheme val="minor"/>
      </rPr>
      <t>https://arxiv.org/abs/2305.15717</t>
    </r>
    <r>
      <rPr>
        <sz val="14"/>
        <color rgb="FF073763"/>
        <rFont val="Calibri"/>
        <family val="2"/>
        <scheme val="minor"/>
      </rPr>
      <t xml:space="preserve"> </t>
    </r>
  </si>
  <si>
    <t>PassGPT</t>
  </si>
  <si>
    <t>https://arxiv.org/abs/2306.01545</t>
  </si>
  <si>
    <t>GPT-2 trained on leaked passwords</t>
  </si>
  <si>
    <t>https://ai.googleblog.com/2023/05/large-sequence-models-for-software.html</t>
  </si>
  <si>
    <t>Iterative coding model trained on Google's monorepo. Jacob: https://twitter.com/jacobaustin132/status/1663972128176128002</t>
  </si>
  <si>
    <t>LTM-1</t>
  </si>
  <si>
    <t>https://magic.dev/blog/ltm-1</t>
  </si>
  <si>
    <t>Context window=5M</t>
  </si>
  <si>
    <t>GPT-4 MathMix</t>
  </si>
  <si>
    <t>https://arxiv.org/abs/2305.20050</t>
  </si>
  <si>
    <t>Unreleased, includes step by step research</t>
  </si>
  <si>
    <t>PandaGPT</t>
  </si>
  <si>
    <t>Cambridge/Tencent</t>
  </si>
  <si>
    <t>https://panda-gpt.github.io/</t>
  </si>
  <si>
    <t>https://github.com/yxuansu/PandaGPT/blob/main/PandaGPT.pdf</t>
  </si>
  <si>
    <t>Proto-AGI. 6 modalities (text, image/video, audio, depth, thermal, and IMU/accelerometer/gyroscope/compass). Based on Vicuna.</t>
  </si>
  <si>
    <t>TS</t>
  </si>
  <si>
    <t>https://www.tii.ae/news/uaes-technology-innovation-institute-launches-open-source-falcon-40b-large-language-model</t>
  </si>
  <si>
    <t>Abu Dhabi</t>
  </si>
  <si>
    <t>202305-refact2b-mqa-lion</t>
  </si>
  <si>
    <t>Refact</t>
  </si>
  <si>
    <t>https://refact.ai/blog/2023/applying-recent-innovations-to-train-model/</t>
  </si>
  <si>
    <t>LiON vs Adam, code, RedPajama+The Stack</t>
  </si>
  <si>
    <t>Guanaco</t>
  </si>
  <si>
    <t>UW</t>
  </si>
  <si>
    <t>https://huggingface.co/spaces/uwnlp/guanaco-playground-tgi</t>
  </si>
  <si>
    <t>https://arxiv.org/abs/2305.14314</t>
  </si>
  <si>
    <t>LLaMA-65B via QLoRA</t>
  </si>
  <si>
    <t>LIMA</t>
  </si>
  <si>
    <t>https://arxiv.org/abs/2305.11206</t>
  </si>
  <si>
    <t>LLaMA-65B with nearly no fine-tuning, no RLHF</t>
  </si>
  <si>
    <t>Formosa (FFM)</t>
  </si>
  <si>
    <t>Asus/TWS</t>
  </si>
  <si>
    <t>https://www.asus.com/news/xxifirl2s2tzesl0/</t>
  </si>
  <si>
    <r>
      <t/>
    </r>
    <r>
      <rPr>
        <sz val="14"/>
        <color rgb="FF073763"/>
        <rFont val="Calibri"/>
        <family val="2"/>
        <scheme val="minor"/>
      </rPr>
      <t xml:space="preserve">BLOOMZ finetune? Chinese, Taiwan's first LLM. Subscription hardware: </t>
    </r>
    <r>
      <rPr>
        <u/>
        <sz val="14"/>
        <color rgb="FF1155cc"/>
        <rFont val="Calibri"/>
        <family val="2"/>
        <scheme val="minor"/>
      </rPr>
      <t>https://archive.md/cVdJt</t>
    </r>
    <r>
      <rPr>
        <sz val="14"/>
        <color rgb="FF073763"/>
        <rFont val="Calibri"/>
        <family val="2"/>
        <scheme val="minor"/>
      </rPr>
      <t xml:space="preserve"> </t>
    </r>
  </si>
  <si>
    <t>CodeT5+</t>
  </si>
  <si>
    <t>https://huggingface.co/Salesforce/codet5p-16b</t>
  </si>
  <si>
    <t>https://arxiv.org/abs/2305.07922</t>
  </si>
  <si>
    <t>InstructCodeT5+ 16B sets new SoTA results of 35.0% pass@1 and 54.5% pass@10 against other open code LLMs, even surpassing the closed-source OpenAI code-cushman-001'</t>
  </si>
  <si>
    <t>https://console.cloud.google.com/vertex-ai/generative/language/create/chat</t>
  </si>
  <si>
    <t>https://ai.google/static/documents/palm2techreport.pdf</t>
  </si>
  <si>
    <t>“What we found in our work is that it’s not really the sort of size of model — that the larger is not always better,” Deepmind VP Zoubin Ghahramani said in a press briefing ahead of today’s announcement. “That’s why we’ve provided a family of models of different sizes. We think that actually parameter count is not really a useful way of thinking about the capabilities of models and capabilities are really to be judged by people using the models and finding out  whether they’re useful in the tests that they try to achieve with these models.”</t>
  </si>
  <si>
    <t>StarCoder</t>
  </si>
  <si>
    <t>https://huggingface.co/bigcode/starcoderbase</t>
  </si>
  <si>
    <t>https://drive.google.com/file/d/1cN-b9GnWtHzQRoE7M7gAEyivY0kl4BYs/view</t>
  </si>
  <si>
    <t>https://huggingface.co/mosaicml/mpt-7b</t>
  </si>
  <si>
    <t>https://twitter.com/NaveenGRao/status/1654496162492084227</t>
  </si>
  <si>
    <t>Llongboi' -Apache 2.0 license suitable for commercial use. -Base 7B LLM trained on 1T tokens outperforms LLaMA and GPT3. -64K+ context length. -$200k to train from scratch.</t>
  </si>
  <si>
    <t>Pi</t>
  </si>
  <si>
    <t>https://pi.ai/talk</t>
  </si>
  <si>
    <t>https://www-cnbc-com.cdn.ampproject.org/c/s/www.cnbc.com/amp/2022/03/08/reid-hoffman-has-set-up-a-new-ai-company-with-deepminds-co-founder.html</t>
  </si>
  <si>
    <t>No indication of params/tokens. Devs from DeepMind.</t>
  </si>
  <si>
    <t>GPT-2B-001</t>
  </si>
  <si>
    <t>https://huggingface.co/nvidia/GPT-2B-001</t>
  </si>
  <si>
    <t>No paper yet</t>
  </si>
  <si>
    <t>https://aws.amazon.com/bedrock/titan/</t>
  </si>
  <si>
    <t>https://www.techrepublic.com/article/amazon-bedrock-titan-cloud-artificial-intelligence/</t>
  </si>
  <si>
    <r>
      <t/>
    </r>
    <r>
      <rPr>
        <sz val="14"/>
        <color rgb="FF073763"/>
        <rFont val="Calibri"/>
        <family val="2"/>
        <scheme val="minor"/>
      </rPr>
      <t xml:space="preserve">No official information at all. 2nd hand via Jack Clark: </t>
    </r>
    <r>
      <rPr>
        <u/>
        <sz val="14"/>
        <color rgb="FF1155cc"/>
        <rFont val="Calibri"/>
        <family val="2"/>
        <scheme val="minor"/>
      </rPr>
      <t>https://importai.substack.com/p/import-ai-365-wmd-benchmark-amazon</t>
    </r>
    <r>
      <rPr>
        <sz val="14"/>
        <color rgb="FF073763"/>
        <rFont val="Calibri"/>
        <family val="2"/>
        <scheme val="minor"/>
      </rPr>
      <t xml:space="preserve"> '$65m training run. Specifically, they trained a 200B dense model on 4T tokens of data across 13,760 NVIDIA A100 chips (using 1,720 P4d nodes). It took 48 days to train.'</t>
    </r>
  </si>
  <si>
    <t>https://6f8173a3550ed441ab.gradio.live/</t>
  </si>
  <si>
    <t>https://arxiv.org/abs/2304.12244</t>
  </si>
  <si>
    <t>LLaMA 7B self-instructed fine-tune.</t>
  </si>
  <si>
    <t>https://huggingface.co/mosaicml/mpt-1b-redpajama-200b-dolly</t>
  </si>
  <si>
    <t>https://twitter.com/jefrankle/status/1649060478910357504</t>
  </si>
  <si>
    <t>More 1B models coming with different datasets. Many more.</t>
  </si>
  <si>
    <t>https://huggingface.co/spaces/stabilityai/stablelm-tuned-alpha-chat</t>
  </si>
  <si>
    <t>https://github.com/stability-AI/stableLM/</t>
  </si>
  <si>
    <t>contains 1.5 trillion tokens, roughly 3x the size of The Pile. These models will be trained on up to 1.5 trillion tokens. The context length for these models is 4096 tokens.</t>
  </si>
  <si>
    <t>Dolly 2.0</t>
  </si>
  <si>
    <t>Databricks</t>
  </si>
  <si>
    <t>https://huggingface.co/databricks/dolly-v2-12b</t>
  </si>
  <si>
    <t>https://www.databricks.com/blog/2023/04/12/dolly-first-open-commercially-viable-instruction-tuned-llm</t>
  </si>
  <si>
    <t>Fine-tuned Pythia 12B</t>
  </si>
  <si>
    <t>Pythia</t>
  </si>
  <si>
    <t>https://huggingface.co/EleutherAI/pythia-12b</t>
  </si>
  <si>
    <t>https://arxiv.org/abs/2304.01373</t>
  </si>
  <si>
    <t>Koala-13B</t>
  </si>
  <si>
    <t>https://chat.lmsys.org/?model=koala-13b</t>
  </si>
  <si>
    <t>https://bair.berkeley.edu/blog/2023/04/03/koala/</t>
  </si>
  <si>
    <t>LLaMA base. Academic licence only.</t>
  </si>
  <si>
    <t>C1.2</t>
  </si>
  <si>
    <t>Character.ai</t>
  </si>
  <si>
    <t>https://blog.character.ai/character-ai/</t>
  </si>
  <si>
    <t>No details released.</t>
  </si>
  <si>
    <t>BloombergGPT</t>
  </si>
  <si>
    <t>Bloomberg</t>
  </si>
  <si>
    <t>https://arxiv.org/abs/2303.17564</t>
  </si>
  <si>
    <r>
      <t/>
    </r>
    <r>
      <rPr>
        <sz val="14"/>
        <color rgb="FF073763"/>
        <rFont val="Calibri"/>
        <family val="2"/>
        <scheme val="minor"/>
      </rPr>
      <t xml:space="preserve">Video: </t>
    </r>
    <r>
      <rPr>
        <u/>
        <sz val="14"/>
        <color rgb="FF1155cc"/>
        <rFont val="Calibri"/>
        <family val="2"/>
        <scheme val="minor"/>
      </rPr>
      <t>https://youtu.be/m2Scj2SO85Y</t>
    </r>
    <r>
      <rPr>
        <sz val="14"/>
        <color rgb="FF073763"/>
        <rFont val="Calibri"/>
        <family val="2"/>
        <scheme val="minor"/>
      </rPr>
      <t xml:space="preserve"> Underperforms GPT-3, based on BLOOM. Tokens: 'We select a model size motivated by Hoffmann et al. (2022) and train a 50 billion parameter model on 569 billion tokens from our corpus of over 700 billion tokens to produce a model that is competitive with larger models.'</t>
    </r>
  </si>
  <si>
    <t>OpenFlamingo-9B</t>
  </si>
  <si>
    <t>LAION</t>
  </si>
  <si>
    <t>https://huggingface.co/openflamingo/OpenFlamingo-9B</t>
  </si>
  <si>
    <t>https://laion.ai/blog/open-flamingo/</t>
  </si>
  <si>
    <r>
      <t/>
    </r>
    <r>
      <rPr>
        <sz val="14"/>
        <color rgb="FF073763"/>
        <rFont val="Calibri"/>
        <family val="2"/>
        <scheme val="minor"/>
      </rPr>
      <t xml:space="preserve">Uses LLaMA-7B. Demo: </t>
    </r>
    <r>
      <rPr>
        <u/>
        <sz val="14"/>
        <color rgb="FF1155cc"/>
        <rFont val="Calibri"/>
        <family val="2"/>
        <scheme val="minor"/>
      </rPr>
      <t>https://7164d2142d11.ngrok.app/</t>
    </r>
  </si>
  <si>
    <t>GPT4All-LoRa</t>
  </si>
  <si>
    <t>Nomic</t>
  </si>
  <si>
    <t>https://github.com/nomic-ai/gpt4all</t>
  </si>
  <si>
    <t>https://s3.amazonaws.com/static.nomic.ai/gpt4all/2023_GPT4All_Technical_Report.pdf</t>
  </si>
  <si>
    <t>chatbot trained on ~800k GPT-3.5-Turbo Generations based on LLaMa</t>
  </si>
  <si>
    <t>Cerebras-GPT</t>
  </si>
  <si>
    <t>https://huggingface.co/cerebras</t>
  </si>
  <si>
    <t>https://www.cerebras.net/blog/cerebras-gpt-a-family-of-open-compute-efficient-large-language-models/</t>
  </si>
  <si>
    <r>
      <t/>
    </r>
    <r>
      <rPr>
        <sz val="14"/>
        <color rgb="FF073763"/>
        <rFont val="Calibri"/>
        <family val="2"/>
        <scheme val="minor"/>
      </rPr>
      <t xml:space="preserve">20:1 tokens to parameters as per </t>
    </r>
    <r>
      <rPr>
        <u/>
        <sz val="14"/>
        <color rgb="FF1155cc"/>
        <rFont val="Calibri"/>
        <family val="2"/>
        <scheme val="minor"/>
      </rPr>
      <t>https://lifearchitect.ai/chinchilla/</t>
    </r>
  </si>
  <si>
    <t>PanGu-Sigma</t>
  </si>
  <si>
    <t>https://arxiv.org/abs/2303.10845</t>
  </si>
  <si>
    <t>Sparse. 1.085T parameters named PanGu-Σ.</t>
  </si>
  <si>
    <t>CoLT5</t>
  </si>
  <si>
    <t>q&amp;a, web</t>
  </si>
  <si>
    <t>https://arxiv.org/abs/2303.09752</t>
  </si>
  <si>
    <t>up to 64k context window [48k words or about 96 pages -Alan]</t>
  </si>
  <si>
    <t>Med-PaLM 2</t>
  </si>
  <si>
    <t>https://blog.google/technology/health/ai-llm-medpalm-research-thecheckup/</t>
  </si>
  <si>
    <t>Recently, our next iteration, Med-PaLM 2, consistently performed at an “expert” doctor level on medical exam questions, scoring 85%. This is an 18% improvement from Med-PaLM’s previous performance and far surpasses similar AI models.</t>
  </si>
  <si>
    <t>GPT-4 Classic (gpt-4-0314 &amp; gpt-4-0613, non-Turbo)</t>
  </si>
  <si>
    <t>Original MMLU=86.4. MMLU=90.1 with prompting. Proto-AGI. 1.76T parameters MoE.</t>
  </si>
  <si>
    <t>Alpaca</t>
  </si>
  <si>
    <t>https://crfm.stanford.edu/alpaca/</t>
  </si>
  <si>
    <t>https://github.com/tatsu-lab/stanford_alpaca</t>
  </si>
  <si>
    <t>Stanford Alpaca: An Instruction-following LLaMA model'</t>
  </si>
  <si>
    <t>Jurassic-2</t>
  </si>
  <si>
    <t>Studio</t>
  </si>
  <si>
    <t>https://www.ai21.com/blog/introducing-j2</t>
  </si>
  <si>
    <t>GPT-NeoX-Chat-Base-20B</t>
  </si>
  <si>
    <t>https://huggingface.co/spaces/togethercomputer/OpenChatKit</t>
  </si>
  <si>
    <t>https://github.com/togethercomputer/OpenChatKit</t>
  </si>
  <si>
    <t>instruction-tuned 20 billion parameter language model, a 6 billion parameter moderation model, and an extensible retrieval system for including up-to-date responses from custom repositories. It was trained on the OIG-43M training dataset, which was a collaboration between Together, LAION, and Ontocord.ai. '</t>
  </si>
  <si>
    <t>Kosmos-1</t>
  </si>
  <si>
    <t>https://arxiv.org/abs/2302.14045</t>
  </si>
  <si>
    <t>Proto-AGI. Multimodal large language model (MLLM). Raven’s Progressive Matrices as real images, not digits as in testing of text-davinci-003 at https://lifearchitect.ai/ravens/</t>
  </si>
  <si>
    <t>LLaMA-65B</t>
  </si>
  <si>
    <r>
      <t/>
    </r>
    <r>
      <rPr>
        <u/>
        <sz val="10"/>
        <color theme="1"/>
        <rFont val="Calibri"/>
        <family val="2"/>
        <scheme val="minor"/>
      </rPr>
      <t xml:space="preserve">Weights leaked: </t>
    </r>
    <r>
      <rPr>
        <u/>
        <sz val="10"/>
        <color theme="1"/>
        <rFont val="Calibri"/>
        <family val="2"/>
        <scheme val="minor"/>
      </rPr>
      <t>https://github.com/facebookresearch/llama/pull/73/files</t>
    </r>
    <r>
      <rPr>
        <u/>
        <sz val="10"/>
        <color theme="1"/>
        <rFont val="Calibri"/>
        <family val="2"/>
        <scheme val="minor"/>
      </rPr>
      <t xml:space="preserve"> </t>
    </r>
  </si>
  <si>
    <t>https://research.facebook.com/publications/llama-open-and-efficient-foundation-language-models/</t>
  </si>
  <si>
    <t>Researchers only, noncommercial only. 'LLaMA-65B is competitive with the best models, Chinchilla70B and PaLM-540B.'</t>
  </si>
  <si>
    <t>MOSS</t>
  </si>
  <si>
    <t>https://moss.fastnlp.top/</t>
  </si>
  <si>
    <t>https://txsun1997.github.io/blogs/moss.html</t>
  </si>
  <si>
    <t>Major bandwidth issues: https://www.reuters.com/technology/china-fudan-university-team-apologises-after-chatgpt-style-platform-crashes-2023-02-21/</t>
  </si>
  <si>
    <t>Palmyra</t>
  </si>
  <si>
    <t>https://huggingface.co/models?search=palmyra</t>
  </si>
  <si>
    <t>https://writer.com/blog/palmyra/</t>
  </si>
  <si>
    <r>
      <t/>
    </r>
    <r>
      <rPr>
        <sz val="14"/>
        <color rgb="FF000000"/>
        <rFont val="Calibri"/>
        <family val="2"/>
        <scheme val="minor"/>
      </rPr>
      <t xml:space="preserve">Only up to 5B available open-source 'trained on over 300 billion tokens of text data, and the size of the resulting model is over 20 billion parameters. ' </t>
    </r>
    <r>
      <rPr>
        <u/>
        <sz val="14"/>
        <color rgb="FF1155cc"/>
        <rFont val="Calibri"/>
        <family val="2"/>
        <scheme val="minor"/>
      </rPr>
      <t>https://writer.com/product/cowrite/</t>
    </r>
  </si>
  <si>
    <t>Luminous Supreme Control</t>
  </si>
  <si>
    <t>https://app.aleph-alpha.com/playground/completion</t>
  </si>
  <si>
    <t>https://www.aleph-alpha.com/pdf/2023_02_AA_Benchmarks_doc.pdf</t>
  </si>
  <si>
    <t>‘Control’ means instruction tuned</t>
  </si>
  <si>
    <t>Toolformer+Atlas 11B+NLLB 54B</t>
  </si>
  <si>
    <r>
      <t/>
    </r>
    <r>
      <rPr>
        <u/>
        <sz val="10"/>
        <color theme="1"/>
        <rFont val="Calibri"/>
        <family val="2"/>
        <scheme val="minor"/>
      </rPr>
      <t xml:space="preserve">Replicated: </t>
    </r>
    <r>
      <rPr>
        <u/>
        <sz val="10"/>
        <color theme="1"/>
        <rFont val="Calibri"/>
        <family val="2"/>
        <scheme val="minor"/>
      </rPr>
      <t>https://github.com/conceptofmind/toolformer</t>
    </r>
  </si>
  <si>
    <t>https://arxiv.org/abs/2302.04761</t>
  </si>
  <si>
    <t>Based on GPT-J 6.7B + access to other models via API</t>
  </si>
  <si>
    <t>Multimodal-CoT</t>
  </si>
  <si>
    <t>https://github.com/amazon-science/mm-cot</t>
  </si>
  <si>
    <t>https://arxiv.org/abs/2302.00923</t>
  </si>
  <si>
    <t>Models &lt;1B with vision CoT</t>
  </si>
  <si>
    <t>FLAME</t>
  </si>
  <si>
    <t>https://arxiv.org/abs/2301.13779</t>
  </si>
  <si>
    <t>T5 for Excel formulas, very small 60M params, "We start from a dataset of 927M formulas" estimate 10x multiplier for 9B tokens</t>
  </si>
  <si>
    <t>Med-PaLM 1</t>
  </si>
  <si>
    <t>https://arxiv.org/abs/2212.13138</t>
  </si>
  <si>
    <t>Collab between Google &amp; DeepMind. Makes 1% less errors than humans</t>
  </si>
  <si>
    <t>OPT-IML</t>
  </si>
  <si>
    <t>https://github.com/facebookresearch/metaseq/tree/main/projects/OPT-IML</t>
  </si>
  <si>
    <t>https://arxiv.org/abs/2212.12017</t>
  </si>
  <si>
    <t>Instruct</t>
  </si>
  <si>
    <t>RL-CAI</t>
  </si>
  <si>
    <t>https://arxiv.org/abs/2212.08073</t>
  </si>
  <si>
    <t>RLAIF=reinforcement learning with AI feedback</t>
  </si>
  <si>
    <t>ERNIE-Code</t>
  </si>
  <si>
    <t>https://arxiv.org/abs/2212.06742#baidu</t>
  </si>
  <si>
    <t>RT-1</t>
  </si>
  <si>
    <t>https://robotics-transformer.github.io/assets/rt1.pdf</t>
  </si>
  <si>
    <t>ChatGPT (gpt-3.5-turbo)</t>
  </si>
  <si>
    <t>https://openai.com/blog/chatgpt</t>
  </si>
  <si>
    <t>Instruct with strict policies ("extremely limited")</t>
  </si>
  <si>
    <t>GPT-JT</t>
  </si>
  <si>
    <t>https://huggingface.co/spaces/togethercomputer/GPT-JT</t>
  </si>
  <si>
    <t>https://www.together.xyz/blog/releasing-v1-of-gpt-jt-powered-by-open-source-ai</t>
  </si>
  <si>
    <t>RWKV-4</t>
  </si>
  <si>
    <t>https://huggingface.co/BlinkDL</t>
  </si>
  <si>
    <t>https://arxiv.org/abs/2305.13048</t>
  </si>
  <si>
    <r>
      <t/>
    </r>
    <r>
      <rPr>
        <sz val="14"/>
        <color rgb="FF000000"/>
        <rFont val="Calibri"/>
        <family val="2"/>
        <scheme val="minor"/>
      </rPr>
      <t xml:space="preserve">RWKV (pronounced RwaKuv) is an RNN: </t>
    </r>
    <r>
      <rPr>
        <u/>
        <sz val="14"/>
        <color rgb="FF1155cc"/>
        <rFont val="Calibri"/>
        <family val="2"/>
        <scheme val="minor"/>
      </rPr>
      <t>https://www.reddit.com/r/MachineLearning/comments/yxt8sa/r_rwkv4_7b_release_an_attentionfree_rnn_language/</t>
    </r>
  </si>
  <si>
    <t>Galactica</t>
  </si>
  <si>
    <t>https://galactica.org/</t>
  </si>
  <si>
    <t>journals</t>
  </si>
  <si>
    <t>https://galactica.org/static/paper.pdf</t>
  </si>
  <si>
    <t>scientific only</t>
  </si>
  <si>
    <t>SED</t>
  </si>
  <si>
    <t>https://arxiv.org/abs/2211.04236</t>
  </si>
  <si>
    <t>SED 420M (diffusion text model)</t>
  </si>
  <si>
    <t>mT0</t>
  </si>
  <si>
    <t>https://github.com/bigscience-workshop/xmtf</t>
  </si>
  <si>
    <t>https://arxiv.org/abs/2211.01786</t>
  </si>
  <si>
    <t>fine-tuned</t>
  </si>
  <si>
    <t>BLOOMZ</t>
  </si>
  <si>
    <t>PACT</t>
  </si>
  <si>
    <t>https://github.com/microsoft/PACT</t>
  </si>
  <si>
    <t>https://arxiv.org/abs/2209.11133</t>
  </si>
  <si>
    <t>Trained on ~5TB data, 2GB model download. 'In general we see an improvement in model performance as we increase the number of training tokens. Interestingly, larger models did not necessarily result in better performance for robot navigation. Even though larger models consistently presented better loss values for action prediction on a static dataset, (Fig. 7 b), when it comes to real-time deployment the larger network capacity introduces inference delays that become a disadvantage and lead to earlier crashes. For example, while LiDAR perception measurements arrive to the vehicle every 0.077s (13Hz), the largest model of 24 layers takes on average 0.023s for inference with a RTX3090 GPU, roughly 40% longer the 3 layer model (0.016s). These time differences can amount to even larger performance gaps in small embedded systems, and further emphasize the importance of multiple downstream task architectures sharing a common representation branch for real-time robotics applications.'</t>
  </si>
  <si>
    <t>Flan-T5</t>
  </si>
  <si>
    <t>https://arxiv.org/abs/2210.11416</t>
  </si>
  <si>
    <t>T5=1T tokens + LM-adapted T5 as 100B tokens</t>
  </si>
  <si>
    <t>Flan-PaLM</t>
  </si>
  <si>
    <t>U-PaLM</t>
  </si>
  <si>
    <t>https://arxiv.org/abs/2210.11399</t>
  </si>
  <si>
    <t>VIMA</t>
  </si>
  <si>
    <r>
      <t/>
    </r>
    <r>
      <rPr>
        <sz val="10"/>
        <color theme="1"/>
        <rFont val="Calibri"/>
        <family val="2"/>
        <scheme val="minor"/>
      </rPr>
      <t xml:space="preserve">Open: </t>
    </r>
    <r>
      <rPr>
        <u/>
        <sz val="10"/>
        <color theme="1"/>
        <rFont val="Calibri"/>
        <family val="2"/>
        <scheme val="minor"/>
      </rPr>
      <t>https://vimalabs.github.io/</t>
    </r>
  </si>
  <si>
    <t>https://arxiv.org/abs/2210.03094</t>
  </si>
  <si>
    <t>OpenChat</t>
  </si>
  <si>
    <t>https://huggingface.co/openchat/openchat_3.5</t>
  </si>
  <si>
    <t>https://arxiv.org/abs/2309.11235</t>
  </si>
  <si>
    <t>Llama 2 13B -&gt; OpenChat 13B</t>
  </si>
  <si>
    <t>WeLM</t>
  </si>
  <si>
    <t>https://welm.weixin.qq.com/docs/playground/</t>
  </si>
  <si>
    <t>https://arxiv.org/abs/2209.10372</t>
  </si>
  <si>
    <t>13% English tokens and 87% Chinese</t>
  </si>
  <si>
    <t>CodeGeeX</t>
  </si>
  <si>
    <t>https://github.com/THUDM/CodeGeeX</t>
  </si>
  <si>
    <t>Sparrow</t>
  </si>
  <si>
    <t>https://storage.googleapis.com/deepmind-media/DeepMind.com/Authors-Notes/sparrow/sparrow-final.pdf</t>
  </si>
  <si>
    <t>Chatbot as a fine-tuned version of Chinchilla 70B</t>
  </si>
  <si>
    <t>PaLI</t>
  </si>
  <si>
    <t>https://arxiv.org/abs/2209.06794</t>
  </si>
  <si>
    <t>PaLM Vision model, new datasets of 10B multilingual text-image pairs</t>
  </si>
  <si>
    <t>NeMo Megatron-GPT 20B</t>
  </si>
  <si>
    <t>https://huggingface.co/nvidia/nemo-megatron-gpt-20B</t>
  </si>
  <si>
    <t>Z-Code++</t>
  </si>
  <si>
    <t>https://arxiv.org/abs/2208.09770v1</t>
  </si>
  <si>
    <t>abstractive text summarization, 710M, outperforms PaLM 540B. "Due to the limited computational resource, Z-Code++LARGE is trained with only 500B tokens instead of 1T tokens as that for mT5 training."</t>
  </si>
  <si>
    <t>https://arxiv.org/abs/2208.03299</t>
  </si>
  <si>
    <t>BlenderBot 3</t>
  </si>
  <si>
    <r>
      <t/>
    </r>
    <r>
      <rPr>
        <u/>
        <sz val="10"/>
        <color theme="1"/>
        <rFont val="Calibri"/>
        <family val="2"/>
        <scheme val="minor"/>
      </rPr>
      <t>blenderbot.ai</t>
    </r>
    <r>
      <rPr>
        <sz val="10"/>
        <color theme="1"/>
        <rFont val="Calibri"/>
        <family val="2"/>
        <scheme val="minor"/>
      </rPr>
      <t xml:space="preserve"> (US only)</t>
    </r>
  </si>
  <si>
    <t>https://github.com/facebookresearch/ParlAI/blob/main/projects/bb3/BB3_main_tech_report.pdf</t>
  </si>
  <si>
    <t>GLM-130B</t>
  </si>
  <si>
    <t>https://huggingface.co/spaces/THUDM/GLM-130B</t>
  </si>
  <si>
    <t>https://arxiv.org/abs/2210.02414</t>
  </si>
  <si>
    <t>50% English (200B tokens), so included here</t>
  </si>
  <si>
    <t>AlexaTM 20B</t>
  </si>
  <si>
    <r>
      <t/>
    </r>
    <r>
      <rPr>
        <u/>
        <sz val="10"/>
        <color theme="1"/>
        <rFont val="Calibri"/>
        <family val="2"/>
        <scheme val="minor"/>
      </rPr>
      <t>Github</t>
    </r>
    <r>
      <rPr>
        <sz val="10"/>
        <color theme="1"/>
        <rFont val="Calibri"/>
        <family val="2"/>
        <scheme val="minor"/>
      </rPr>
      <t xml:space="preserve"> (train/deploy)</t>
    </r>
  </si>
  <si>
    <t>https://assets.amazon.science/ee/20/3abcf2304d9b8d68da2006ff7107/alexatm-20b-few-shot-learning-using-a-large-scale-multilingual-seq2seq-model.pdf</t>
  </si>
  <si>
    <t>Wikipedia and mC4 only. seq2seq</t>
  </si>
  <si>
    <t>6.9B FIM</t>
  </si>
  <si>
    <t>https://arxiv.org/pdf/2207.14255.pdf</t>
  </si>
  <si>
    <t>Several models: 8 sizes, NLP, Code, FIM/non-FIM. 100B tokens for 6.9B params... beyond chinchilla</t>
  </si>
  <si>
    <t>‘monorepo-Transformer’</t>
  </si>
  <si>
    <t>https://ai.googleblog.com/2022/07/ml-enhanced-code-completion-improves.html</t>
  </si>
  <si>
    <t>Unnamed. Writes &gt;3% of internal google code.</t>
  </si>
  <si>
    <t>PanGu-Coder</t>
  </si>
  <si>
    <t>https://arxiv.org/abs/2207.11280</t>
  </si>
  <si>
    <t>Python via GH</t>
  </si>
  <si>
    <t>NLLB</t>
  </si>
  <si>
    <t>https://research.facebook.com/publications/no-language-left-behind/</t>
  </si>
  <si>
    <t>54.5B MOE, 3.3B dense. 200+ languages</t>
  </si>
  <si>
    <t>J-1 RBG</t>
  </si>
  <si>
    <t>ask-rbg.ai</t>
  </si>
  <si>
    <t>https://www.ai21.com/blog/announcing-ai21-studio-and-jurassic-1</t>
  </si>
  <si>
    <t>J-1 fine-tuned with RBG law corpus</t>
  </si>
  <si>
    <t>BLOOM (tr11-176B-ml)</t>
  </si>
  <si>
    <t>https://huggingface.co/spaces/huggingface/bloom_demo</t>
  </si>
  <si>
    <t>https://github.com/bigscience-workshop/bigscience/tree/master/train/tr11-176B-ml</t>
  </si>
  <si>
    <t>Minerva</t>
  </si>
  <si>
    <t>https://ai.googleblog.com/2022/06/minerva-solving-quantitative-reasoning.html</t>
  </si>
  <si>
    <t>PaLM finetuned on LaTeX/arXiv maths</t>
  </si>
  <si>
    <t>GODEL-XL</t>
  </si>
  <si>
    <t>web-scale, dialogue</t>
  </si>
  <si>
    <t>https://arxiv.org/abs/2206.11309#microsoft</t>
  </si>
  <si>
    <t>XL: GPT-3 175B in paper, GPT-J 2.7B released</t>
  </si>
  <si>
    <t>YaLM 100B</t>
  </si>
  <si>
    <t>Yandex</t>
  </si>
  <si>
    <t>https://github.com/yandex/YaLM-100B</t>
  </si>
  <si>
    <r>
      <t/>
    </r>
    <r>
      <rPr>
        <sz val="14"/>
        <color rgb="FF073763"/>
        <rFont val="Calibri"/>
        <family val="2"/>
        <scheme val="minor"/>
      </rPr>
      <t xml:space="preserve">Megatron-LM clone, Russian/English: </t>
    </r>
    <r>
      <rPr>
        <u/>
        <sz val="14"/>
        <color rgb="FF1155cc"/>
        <rFont val="Calibri"/>
        <family val="2"/>
        <scheme val="minor"/>
      </rPr>
      <t>https://medium.com/yandex/yandex-publishes-yalm-100b-its-the-largest-gpt-like-neural-network-in-open-source-d1df53d0e9a6</t>
    </r>
  </si>
  <si>
    <t>Unified-IO</t>
  </si>
  <si>
    <t>Limited demo</t>
  </si>
  <si>
    <t>https://github.com/jiasenlu/unified-io/blob/main/UnifiedIOv1.pdf</t>
  </si>
  <si>
    <t>Based on T5. Demo only</t>
  </si>
  <si>
    <t>Perceiver AR</t>
  </si>
  <si>
    <t>https://arxiv.org/abs/2202.07765</t>
  </si>
  <si>
    <t xml:space="preserve">Context window=100,000. Params=364m wiki, 975M pg-19, 826M books, music=?, imagenet=770M, </t>
  </si>
  <si>
    <t>LIMoE</t>
  </si>
  <si>
    <t>https://ai.googleblog.com/2022/06/limoe-learning-multiple-modalities-with.html</t>
  </si>
  <si>
    <t>GPT-4chan</t>
  </si>
  <si>
    <t>https://huggingface.co/ykilcher/gpt-4chan/discussions/4</t>
  </si>
  <si>
    <t>https://arxiv.org/abs/2001.07487</t>
  </si>
  <si>
    <t>Warning for inappropriate content. GPT-J.</t>
  </si>
  <si>
    <t>Diffusion-LM</t>
  </si>
  <si>
    <t>dialogue, special</t>
  </si>
  <si>
    <t>https://arxiv.org/abs/2205.14217</t>
  </si>
  <si>
    <t>GPT-J with synthetic data</t>
  </si>
  <si>
    <t>UL2 20B</t>
  </si>
  <si>
    <t>https://arxiv.org/abs/2205.05131</t>
  </si>
  <si>
    <t>Unifying Language model. C4 only.</t>
  </si>
  <si>
    <t>Gato (Cat)</t>
  </si>
  <si>
    <t>https://storage.googleapis.com/deepmind-media/A%20Generalist%20Agent/Generalist%20Agent.pdf</t>
  </si>
  <si>
    <t>Proto-AGI. Generalist agent (LLM, VLM, robot)</t>
  </si>
  <si>
    <t>LaMDA 2</t>
  </si>
  <si>
    <r>
      <t/>
    </r>
    <r>
      <rPr>
        <i/>
        <u/>
        <sz val="10"/>
        <color theme="1"/>
        <rFont val="Calibri"/>
        <family val="2"/>
        <scheme val="minor"/>
      </rPr>
      <t>YouTube</t>
    </r>
    <r>
      <rPr>
        <i/>
        <u/>
        <sz val="10"/>
        <color theme="1"/>
        <rFont val="Calibri"/>
        <family val="2"/>
        <scheme val="minor"/>
      </rPr>
      <t xml:space="preserve"> (video only)</t>
    </r>
  </si>
  <si>
    <t>https://arxiv.org/abs/2201.08239</t>
  </si>
  <si>
    <t>Chatbot with tiny walled garden demo TBA</t>
  </si>
  <si>
    <t>OPT-175B</t>
  </si>
  <si>
    <r>
      <t/>
    </r>
    <r>
      <rPr>
        <u/>
        <sz val="10"/>
        <color theme="1"/>
        <rFont val="Calibri"/>
        <family val="2"/>
        <scheme val="minor"/>
      </rPr>
      <t>HF</t>
    </r>
    <r>
      <rPr>
        <sz val="10"/>
        <color theme="1"/>
        <rFont val="Calibri"/>
        <family val="2"/>
        <scheme val="minor"/>
      </rPr>
      <t xml:space="preserve"> (train/deploy)</t>
    </r>
  </si>
  <si>
    <t>https://arxiv.org/abs/2205.01068</t>
  </si>
  <si>
    <t>Only 30B available (Jun/2022)</t>
  </si>
  <si>
    <t>Tk-Instruct</t>
  </si>
  <si>
    <t>https://instructions.apps.allenai.org/demo</t>
  </si>
  <si>
    <t>https://arxiv.org/abs/2204.07705</t>
  </si>
  <si>
    <t>Based on T5.</t>
  </si>
  <si>
    <t>InCoder</t>
  </si>
  <si>
    <t>https://huggingface.co/spaces/facebook/incoder-demo</t>
  </si>
  <si>
    <t>https://arxiv.org/abs/2204.05999</t>
  </si>
  <si>
    <t>Python and JavaScript</t>
  </si>
  <si>
    <t>NOOR</t>
  </si>
  <si>
    <t>https://www.tii.ae/news/technology-innovation-institute-announces-launch-noor-worlds-largest-arabic-nlp-model</t>
  </si>
  <si>
    <t>Arabic. "World’s largest high-quality cross-domain Arabic dataset, combining web data with books, poetry, news articles, and technical information"</t>
  </si>
  <si>
    <t>mGPT</t>
  </si>
  <si>
    <t>Sber</t>
  </si>
  <si>
    <t>https://arxiv.org/abs/2204.07580</t>
  </si>
  <si>
    <t>60 languages. Only 1.3B model available</t>
  </si>
  <si>
    <t>PaLM-Coder</t>
  </si>
  <si>
    <t>web-scale, code</t>
  </si>
  <si>
    <t>https://storage.googleapis.com/pathways-language-model/PaLM-paper.pdf</t>
  </si>
  <si>
    <t>PaLM</t>
  </si>
  <si>
    <r>
      <t/>
    </r>
    <r>
      <rPr>
        <u/>
        <sz val="11"/>
        <color rgb="FF1155cc"/>
        <rFont val="Calibri"/>
        <family val="2"/>
        <scheme val="minor"/>
      </rPr>
      <t>https://storage.googleapis.com/pathways-language-model/PaLM-paper.pdf</t>
    </r>
    <r>
      <rPr>
        <u/>
        <sz val="11"/>
        <color rgb="FF1155cc"/>
        <rFont val="Calibri"/>
        <family val="2"/>
        <scheme val="minor"/>
      </rPr>
      <t>f</t>
    </r>
  </si>
  <si>
    <t>SeeKeR</t>
  </si>
  <si>
    <t>https://arxiv.org/abs/2203.13224</t>
  </si>
  <si>
    <t>BART and compared to GPT-2</t>
  </si>
  <si>
    <t>CodeGen</t>
  </si>
  <si>
    <t>TS, Goose</t>
  </si>
  <si>
    <t>code, BigQuery, BigPython</t>
  </si>
  <si>
    <t>https://arxiv.org/abs/2203.13474</t>
  </si>
  <si>
    <t>Code</t>
  </si>
  <si>
    <t>VLM-4</t>
  </si>
  <si>
    <t>Muse</t>
  </si>
  <si>
    <t>Params corrected 25/Apr/2022</t>
  </si>
  <si>
    <t>CM3</t>
  </si>
  <si>
    <t>wiki, web</t>
  </si>
  <si>
    <t>https://arxiv.org/abs/2201.0752</t>
  </si>
  <si>
    <t>LLM with multimodal capabilities</t>
  </si>
  <si>
    <t>Luminous</t>
  </si>
  <si>
    <t>AA playground</t>
  </si>
  <si>
    <t>https://www.aleph-alpha.de/pricing</t>
  </si>
  <si>
    <t>Devs from EleutherAI</t>
  </si>
  <si>
    <t>Chinchilla</t>
  </si>
  <si>
    <t>https://arxiv.org/abs/2203.15556</t>
  </si>
  <si>
    <t>First to double tokens per size increase</t>
  </si>
  <si>
    <t>GPT-NeoX-20B</t>
  </si>
  <si>
    <t>https://playground.helloforefront.com/models/free-gpt-j-playground</t>
  </si>
  <si>
    <t>https://github.com/EleutherAI/gpt-neox</t>
  </si>
  <si>
    <t>Latest model to Feb/2022</t>
  </si>
  <si>
    <t>ERNIE 3.0 Titan</t>
  </si>
  <si>
    <t>https://arxiv.org/abs/2112.12731</t>
  </si>
  <si>
    <t>XGLM</t>
  </si>
  <si>
    <t>https://arxiv.org/abs/2112.10668</t>
  </si>
  <si>
    <t xml:space="preserve">Multilingual: 30 languages, 16 families. </t>
  </si>
  <si>
    <t>Fairseq</t>
  </si>
  <si>
    <t>https://arxiv.org/abs/2112.10684</t>
  </si>
  <si>
    <t>13B &amp; 1100B param models.</t>
  </si>
  <si>
    <t>Gopher</t>
  </si>
  <si>
    <t>https://arxiv.org/abs/2112.11446</t>
  </si>
  <si>
    <r>
      <t/>
    </r>
    <r>
      <rPr>
        <sz val="14"/>
        <color rgb="FF073763"/>
        <rFont val="Calibri"/>
        <family val="2"/>
        <scheme val="minor"/>
      </rPr>
      <t xml:space="preserve">Dataset: </t>
    </r>
    <r>
      <rPr>
        <u/>
        <sz val="14"/>
        <color rgb="FF1155cc"/>
        <rFont val="Calibri"/>
        <family val="2"/>
        <scheme val="minor"/>
      </rPr>
      <t>https://lifearchitect.ai/whats-in-my-ai/</t>
    </r>
    <r>
      <rPr>
        <sz val="14"/>
        <color rgb="FF073763"/>
        <rFont val="Calibri"/>
        <family val="2"/>
        <scheme val="minor"/>
      </rPr>
      <t xml:space="preserve"> </t>
    </r>
  </si>
  <si>
    <t>GLaM</t>
  </si>
  <si>
    <t>https://arxiv.org/abs/2112.06905</t>
  </si>
  <si>
    <t>Anthropic-LM 52B</t>
  </si>
  <si>
    <t>https://arxiv.org/abs/2112.00861</t>
  </si>
  <si>
    <t>Internal research only</t>
  </si>
  <si>
    <t>RETRO</t>
  </si>
  <si>
    <t>https://arxiv.org/abs/2112.04426</t>
  </si>
  <si>
    <t>with retrieval</t>
  </si>
  <si>
    <t>DeBERTaV3</t>
  </si>
  <si>
    <t>https://arxiv.org/abs/2111.09543</t>
  </si>
  <si>
    <t>RoBERTa=162B token dataset.</t>
  </si>
  <si>
    <t>BERT-480</t>
  </si>
  <si>
    <t>https://cloud.google.com/blog/topics/tpus/google-showcases-cloud-tpu-v4-pods-for-large-model-training</t>
  </si>
  <si>
    <r>
      <t/>
    </r>
    <r>
      <rPr>
        <sz val="14"/>
        <color rgb="FF073763"/>
        <rFont val="Calibri"/>
        <family val="2"/>
        <scheme val="minor"/>
      </rPr>
      <t xml:space="preserve">Submission to benchmarks. Original dataset was BookCorpus + Wikipedia: </t>
    </r>
    <r>
      <rPr>
        <u/>
        <sz val="14"/>
        <color rgb="FF073763"/>
        <rFont val="Calibri"/>
        <family val="2"/>
        <scheme val="minor"/>
      </rPr>
      <t>https://arxiv.org/pdf/1810.04805.pdf</t>
    </r>
  </si>
  <si>
    <t>BERT-200</t>
  </si>
  <si>
    <r>
      <t/>
    </r>
    <r>
      <rPr>
        <u/>
        <sz val="11"/>
        <color rgb="FF1155cc"/>
        <rFont val="Calibri"/>
        <family val="2"/>
        <scheme val="minor"/>
      </rPr>
      <t>https://cloud.google.com/blog/topics/tpus/google-showcases-cloud-tpu-v4-pods-for-large-model-training</t>
    </r>
    <r>
      <rPr>
        <u/>
        <sz val="11"/>
        <color rgb="FF1155cc"/>
        <rFont val="Calibri"/>
        <family val="2"/>
        <scheme val="minor"/>
      </rPr>
      <t xml:space="preserve"> (same as above)</t>
    </r>
  </si>
  <si>
    <t>Cedille FR-Boris</t>
  </si>
  <si>
    <t>Coteries</t>
  </si>
  <si>
    <t>https://app.cedille.ai/</t>
  </si>
  <si>
    <t>https://github.com/coteries/cedille-ai</t>
  </si>
  <si>
    <t>French only. GPT-J.</t>
  </si>
  <si>
    <t>MT-NLG</t>
  </si>
  <si>
    <t>Microsoft/NVIDIA</t>
  </si>
  <si>
    <t>https://arxiv.org/abs/2201.11990</t>
  </si>
  <si>
    <t>FLAN</t>
  </si>
  <si>
    <t>reddit outbound, web, dialogue</t>
  </si>
  <si>
    <t>https://arxiv.org/abs/2109.01652</t>
  </si>
  <si>
    <t>Fine-tuned LaMDA</t>
  </si>
  <si>
    <t>Command xlarge</t>
  </si>
  <si>
    <t>books, special</t>
  </si>
  <si>
    <t>https://arxiv.org/abs/2108.07790</t>
  </si>
  <si>
    <t>Stealth 'ebooks and webpages'. 52B: https://crfm.stanford.edu/helm/v1.0/?models=1</t>
  </si>
  <si>
    <t>PLATO-XL</t>
  </si>
  <si>
    <t>reddit outbound, dialogue</t>
  </si>
  <si>
    <t>https://arxiv.org/abs/2109.09519</t>
  </si>
  <si>
    <t>Chatbot. Reddit comments + CN social</t>
  </si>
  <si>
    <t>Macaw</t>
  </si>
  <si>
    <r>
      <t/>
    </r>
    <r>
      <rPr>
        <i/>
        <u/>
        <sz val="10"/>
        <color theme="1"/>
        <rFont val="Calibri"/>
        <family val="2"/>
        <scheme val="minor"/>
      </rPr>
      <t>Allen</t>
    </r>
    <r>
      <rPr>
        <i/>
        <u/>
        <sz val="10"/>
        <color theme="1"/>
        <rFont val="Calibri"/>
        <family val="2"/>
        <scheme val="minor"/>
      </rPr>
      <t xml:space="preserve"> (static demo only)</t>
    </r>
  </si>
  <si>
    <t>https://arxiv.org/abs/2109.02593</t>
  </si>
  <si>
    <t>Chatbot</t>
  </si>
  <si>
    <t>CodeT5</t>
  </si>
  <si>
    <t>https://arxiv.org/abs/2109.00859</t>
  </si>
  <si>
    <r>
      <t/>
    </r>
    <r>
      <rPr>
        <sz val="14"/>
        <color rgb="FF073763"/>
        <rFont val="Calibri"/>
        <family val="2"/>
        <scheme val="minor"/>
      </rPr>
      <t xml:space="preserve">"Text-to-Text Transfer Transformer". Code. Large introduced in </t>
    </r>
    <r>
      <rPr>
        <u/>
        <sz val="14"/>
        <color rgb="FF1155cc"/>
        <rFont val="Calibri"/>
        <family val="2"/>
        <scheme val="minor"/>
      </rPr>
      <t>https://arxiv.org/pdf/2207.01780.pdf</t>
    </r>
  </si>
  <si>
    <t>Codex</t>
  </si>
  <si>
    <t>https://arxiv.org/abs/2107.03374</t>
  </si>
  <si>
    <t>Jurassic-1</t>
  </si>
  <si>
    <t>Deprecated</t>
  </si>
  <si>
    <t>Emulated GPT-3 dataset</t>
  </si>
  <si>
    <t>BlenderBot 2.0</t>
  </si>
  <si>
    <t>https://parl.ai/projects/blenderbot2/</t>
  </si>
  <si>
    <t>GPT-J</t>
  </si>
  <si>
    <t>https://github.com/kingoflolz/mesh-transformer-jax</t>
  </si>
  <si>
    <t>Popular</t>
  </si>
  <si>
    <t>ruGPT-3</t>
  </si>
  <si>
    <t>Huawei/Sberbank</t>
  </si>
  <si>
    <t>https://russiannlp.github.io/rugpt-demo/</t>
  </si>
  <si>
    <t>https://github.com/sberbank-ai/ru-gpts</t>
  </si>
  <si>
    <t>Russian GPT-3 with input from Huawei</t>
  </si>
  <si>
    <t>Switch</t>
  </si>
  <si>
    <t>q&amp;a</t>
  </si>
  <si>
    <t>https://arxiv.org/abs/2101.03961</t>
  </si>
  <si>
    <r>
      <t/>
    </r>
    <r>
      <rPr>
        <sz val="14"/>
        <color rgb="FF073763"/>
        <rFont val="Calibri"/>
        <family val="2"/>
        <scheme val="minor"/>
      </rPr>
      <t xml:space="preserve">No RLHF (base only). Popular: 3.1M wpm. Dataset: </t>
    </r>
    <r>
      <rPr>
        <u/>
        <sz val="14"/>
        <color rgb="FF1155cc"/>
        <rFont val="Calibri"/>
        <family val="2"/>
        <scheme val="minor"/>
      </rPr>
      <t>https://lifearchitect.ai/whats-in-my-ai/</t>
    </r>
    <r>
      <rPr>
        <sz val="14"/>
        <color rgb="FF073763"/>
        <rFont val="Calibri"/>
        <family val="2"/>
        <scheme val="minor"/>
      </rPr>
      <t xml:space="preserve"> </t>
    </r>
  </si>
  <si>
    <t>Megatron-11B</t>
  </si>
  <si>
    <t>InferKit</t>
  </si>
  <si>
    <t>https://github.com/pytorch/fairseq/tree/main/examples/megatron_11b</t>
  </si>
  <si>
    <r>
      <t/>
    </r>
    <r>
      <rPr>
        <sz val="14"/>
        <color rgb="FF073763"/>
        <rFont val="Calibri"/>
        <family val="2"/>
        <scheme val="minor"/>
      </rPr>
      <t xml:space="preserve">My favourite model until GPT-3 and GPT-4 came along: </t>
    </r>
    <r>
      <rPr>
        <u/>
        <sz val="14"/>
        <color rgb="FF1155cc"/>
        <rFont val="Calibri"/>
        <family val="2"/>
        <scheme val="minor"/>
      </rPr>
      <t>https://github.com/facebookresearch/fairseq/blob/main/examples/megatron_11b/README.md</t>
    </r>
  </si>
  <si>
    <t>Transformer++</t>
  </si>
  <si>
    <t>American Express</t>
  </si>
  <si>
    <t>https://arxiv.org/abs/2003.04974</t>
  </si>
  <si>
    <t>Not to be confused with the more common usage of Transformer++, the ~2023 Transformer++ based on Llama. See Mamba paper.</t>
  </si>
  <si>
    <t>Meena</t>
  </si>
  <si>
    <t>https://arxiv.org/abs/2001.09977</t>
  </si>
  <si>
    <t>Dialogue model. Trained 61B tokens for 164x epochs to 10T tokens!</t>
  </si>
  <si>
    <t>T5</t>
  </si>
  <si>
    <t>https://huggingface.co/google-t5/t5-base</t>
  </si>
  <si>
    <t>https://arxiv.org/abs/1910.10683</t>
  </si>
  <si>
    <t>"Text-to-Text Transfer Transformer". C4 + NLP language problems. "compared the following three configurations: First, the standard baseline model, which was pre-trained on 235 ≈ 34B tokens; second, the baseline trained instead for about 1 trillion tokens (i.e. the same amount of pre-training used for T5), which we refer to as “baseline-1T”; and third, T5-Base."</t>
  </si>
  <si>
    <t>Megatron-LM</t>
  </si>
  <si>
    <t>https://arxiv.org/abs/1909.08053</t>
  </si>
  <si>
    <t>RoBERTa</t>
  </si>
  <si>
    <t>https://huggingface.co/FacebookAI/roberta-large</t>
  </si>
  <si>
    <t>https://arxiv.org/abs/1907.11692</t>
  </si>
  <si>
    <r>
      <t/>
    </r>
    <r>
      <rPr>
        <sz val="14"/>
        <color theme="1"/>
        <rFont val="Calibri"/>
        <family val="2"/>
        <scheme val="minor"/>
      </rPr>
      <t xml:space="preserve">calcs: "In total, this batch size and number of steps corresponds to pre-training on 235 ≈ 34B tokens. This is considerably less than BERT (Devlin et al., 2018), which used roughly 137B tokens, or RoBERTa (Liu et al., 2019c), which used roughly 2.2T tokens. Using only 2 35 tokens results in a reasonable computational budget while still providing a sufficient amount of pre-training for acceptable performance. We consider the effect of pre-training for more steps in Sections 3.6 and 3.7. Note that 2 35 tokens only covers a fraction of the entire C4 data set, so we never repeat any data during pre-training." </t>
    </r>
    <r>
      <rPr>
        <u/>
        <sz val="14"/>
        <color rgb="FF1155cc"/>
        <rFont val="Calibri"/>
        <family val="2"/>
        <scheme val="minor"/>
      </rPr>
      <t>https://arxiv.org/pdf/1910.10683.pdf</t>
    </r>
    <r>
      <rPr>
        <sz val="14"/>
        <color theme="1"/>
        <rFont val="Calibri"/>
        <family val="2"/>
        <scheme val="minor"/>
      </rPr>
      <t xml:space="preserve"> MMLU shows RoBERTa-base 125M only=27.9 (not 355M)</t>
    </r>
  </si>
  <si>
    <t>https://huggingface.co/openai-community/gpt2-large</t>
  </si>
  <si>
    <t>reddit outbound</t>
  </si>
  <si>
    <t>https://openai.com/blog/better-language-models/</t>
  </si>
  <si>
    <t>WebText 10B token corpus × 4 epochs → 40B tokens processed. Reddit outbound only</t>
  </si>
  <si>
    <t>BERT</t>
  </si>
  <si>
    <t>https://huggingface.co/google-bert/bert-base-uncased</t>
  </si>
  <si>
    <t>wiki, books</t>
  </si>
  <si>
    <t>https://arxiv.org/abs/1810.04805</t>
  </si>
  <si>
    <t>"BERT — 128 000 tokens per step × 1 000 000 steps → 128 B tokens processed"</t>
  </si>
  <si>
    <t>https://huggingface.co/openai-community/openai-gpt</t>
  </si>
  <si>
    <t>https://openai.com/blog/language-unsupervised/</t>
  </si>
  <si>
    <t>"GPT-1 — 984 M tokens corpus × 100 epochs × 1 token per word → 98.4 B tokens processed" Books only. "We train for 100 epochs on minibatches of 64 randomly sampled, contiguous sequences of 512 tokens." =3,276,800</t>
  </si>
  <si>
    <t>ULMFiT</t>
  </si>
  <si>
    <t>Fast.ai</t>
  </si>
  <si>
    <t>https://docs.fast.ai/tutorial.text.html</t>
  </si>
  <si>
    <t xml:space="preserve">wiki </t>
  </si>
  <si>
    <t>https://arxiv.org/abs/1801.06146</t>
  </si>
  <si>
    <r>
      <t/>
    </r>
    <r>
      <rPr>
        <sz val="14"/>
        <color rgb="FF073763"/>
        <rFont val="Calibri"/>
        <family val="2"/>
        <scheme val="minor"/>
      </rPr>
      <t xml:space="preserve">"ULMFiT — 103 M tokens corpus × 14 epochs → 1.44 B tokens processed" "Corpus size. WikiText-103 contains about 103 million word-level tokens. Training schedule. The reference pre-training run trains for 14 full epochs on that corpus. Total tokens seen. 103 M tokens × 14 epochs → roughly 1.44 billion token prediction steps." Aussie Prof Jeremy Howard: </t>
    </r>
    <r>
      <rPr>
        <u/>
        <sz val="14"/>
        <color rgb="FF1155cc"/>
        <rFont val="Calibri"/>
        <family val="2"/>
        <scheme val="minor"/>
      </rPr>
      <t>https://www.abc.net.au/news/science/2023-11-15/jeremy-howard-taught-ai-to-the-world-and-helped-invent-chatgpt/103092474</t>
    </r>
  </si>
  <si>
    <t>Transformer (big)</t>
  </si>
  <si>
    <t>https://github.com/tensorflow/tensor2tensor?tab=readme-ov-file#walkthrough</t>
  </si>
  <si>
    <t>https://arxiv.org/abs/1706.03762</t>
  </si>
  <si>
    <t>"Transformer Big — 32 768 tokens per step × 300 000 steps → 9.83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</si>
  <si>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Transformer (base)</t>
  </si>
  <si>
    <t>"Transformer Base — 32 768 tokens per step × 100 000 steps → 3.28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</si>
</sst>
</file>

<file path=xl/styles.xml><?xml version="1.0" encoding="utf-8"?>
<styleSheet xmlns="http://schemas.openxmlformats.org/spreadsheetml/2006/main" xmlns:x14ac="http://schemas.microsoft.com/office/spreadsheetml/2009/9/ac" xmlns:mc="http://schemas.openxmlformats.org/markup-compatibility/2006" mc:Ignorable="x14ac">
  <numFmts count="10">
    <numFmt numFmtId="164" formatCode="$#,##0_);($#,##0)"/>
    <numFmt numFmtId="165" formatCode="m-d"/>
    <numFmt numFmtId="166" formatCode="mmm/yyyy"/>
    <numFmt numFmtId="167" formatCode="#,##0 days"/>
    <numFmt numFmtId="168" formatCode="#,##0 years"/>
    <numFmt numFmtId="169" formatCode="#,##0.0"/>
    <numFmt numFmtId="170" formatCode="d/mmm/yyyy"/>
    <numFmt numFmtId="171" formatCode="d/mmmm/yyyy"/>
    <numFmt numFmtId="172" formatCode="#,##:1"/>
    <numFmt numFmtId="173" formatCode="#,##0.00%"/>
  </numFmts>
  <fonts count="108" x14ac:knownFonts="1">
    <font>
      <sz val="11"/>
      <color theme="1"/>
      <name val="Calibri"/>
      <family val="2"/>
      <scheme val="minor"/>
    </font>
    <font>
      <b/>
      <sz val="14"/>
      <color rgb="FFffffff"/>
      <name val="Proxima Nova"/>
      <family val="2"/>
    </font>
    <font>
      <sz val="14"/>
      <color rgb="FF000000"/>
      <name val="Proxima Nova"/>
      <family val="2"/>
    </font>
    <font>
      <u/>
      <sz val="14"/>
      <color rgb="FF0000ff"/>
      <name val="Proxima Nova"/>
      <family val="2"/>
    </font>
    <font>
      <b/>
      <sz val="14"/>
      <color rgb="FFffffff"/>
      <name val="Calibri"/>
      <family val="2"/>
    </font>
    <font>
      <b/>
      <sz val="14"/>
      <color rgb="FF000000"/>
      <name val="Calibri"/>
      <family val="2"/>
    </font>
    <font>
      <u/>
      <sz val="14"/>
      <color rgb="FF0000ff"/>
      <name val="Calibri"/>
      <family val="2"/>
    </font>
    <font>
      <sz val="14"/>
      <color rgb="FF000000"/>
      <name val="Calibri"/>
      <family val="2"/>
    </font>
    <font>
      <sz val="10"/>
      <color rgb="FF000000"/>
      <name val="Calibri"/>
      <family val="2"/>
    </font>
    <font>
      <sz val="10"/>
      <color rgb="FF000000"/>
      <name val="Arial"/>
      <family val="2"/>
    </font>
    <font>
      <u/>
      <sz val="10"/>
      <color rgb="FF0000ff"/>
      <name val="Calibri"/>
      <family val="2"/>
    </font>
    <font>
      <b/>
      <sz val="12"/>
      <color rgb="FF000000"/>
      <name val="Proxima Nova"/>
      <family val="2"/>
    </font>
    <font>
      <b/>
      <sz val="12"/>
      <color rgb="FF0000ff"/>
      <name val="Proxima Nova"/>
      <family val="2"/>
    </font>
    <font>
      <sz val="12"/>
      <color rgb="FF000000"/>
      <name val="Proxima Nova"/>
      <family val="2"/>
    </font>
    <font>
      <i/>
      <sz val="12"/>
      <color rgb="FF000000"/>
      <name val="Proxima Nova"/>
      <family val="2"/>
    </font>
    <font>
      <b/>
      <sz val="11"/>
      <color rgb="FF000000"/>
      <name val="Proxima Nova"/>
      <family val="2"/>
    </font>
    <font>
      <sz val="11"/>
      <color rgb="FF000000"/>
      <name val="Proxima Nova"/>
      <family val="2"/>
    </font>
    <font>
      <u/>
      <sz val="11"/>
      <color rgb="FF0000ff"/>
      <name val="Proxima Nova"/>
      <family val="2"/>
    </font>
    <font>
      <u/>
      <sz val="12"/>
      <color rgb="FF0000ff"/>
      <name val="Proxima Nova"/>
      <family val="2"/>
    </font>
    <font>
      <u/>
      <sz val="11"/>
      <color rgb="FF000000"/>
      <name val="Proxima Nova"/>
      <family val="2"/>
    </font>
    <font>
      <sz val="11"/>
      <color rgb="FF000000"/>
      <name val="Arial"/>
      <family val="2"/>
    </font>
    <font>
      <b/>
      <sz val="14"/>
      <color rgb="FF073763"/>
      <name val="Calibri"/>
      <family val="2"/>
    </font>
    <font>
      <sz val="14"/>
      <color rgb="FF073763"/>
      <name val="Calibri"/>
      <family val="2"/>
    </font>
    <font>
      <u/>
      <sz val="14"/>
      <color rgb="FF073763"/>
      <name val="Calibri"/>
      <family val="2"/>
    </font>
    <font>
      <sz val="11"/>
      <color rgb="FF000000"/>
      <name val="Arial"/>
      <family val="2"/>
    </font>
    <font>
      <b/>
      <sz val="11"/>
      <color rgb="FF000000"/>
      <name val="Arial"/>
      <family val="2"/>
    </font>
    <font>
      <b/>
      <u/>
      <sz val="14"/>
      <color rgb="FF073763"/>
      <name val="Calibri"/>
      <family val="2"/>
    </font>
    <font>
      <sz val="14"/>
      <color rgb="FFb7b7b7"/>
      <name val="Calibri"/>
      <family val="2"/>
    </font>
    <font>
      <u/>
      <sz val="14"/>
      <color rgb="FFb7b7b7"/>
      <name val="Calibri"/>
      <family val="2"/>
    </font>
    <font>
      <b/>
      <sz val="14"/>
      <color rgb="FFb7b7b7"/>
      <name val="Calibri"/>
      <family val="2"/>
    </font>
    <font>
      <u/>
      <sz val="14"/>
      <color rgb="FF1155cc"/>
      <name val="Calibri"/>
      <family val="2"/>
    </font>
    <font>
      <i/>
      <sz val="14"/>
      <color rgb="FF000000"/>
      <name val="Calibri"/>
      <family val="2"/>
    </font>
    <font>
      <u/>
      <sz val="14"/>
      <color rgb="FF000000"/>
      <name val="Calibri"/>
      <family val="2"/>
    </font>
    <font>
      <sz val="14"/>
      <color rgb="FF34a853"/>
      <name val="Calibri"/>
      <family val="2"/>
    </font>
    <font>
      <b/>
      <u/>
      <sz val="14"/>
      <color rgb="FF000000"/>
      <name val="Calibri"/>
      <family val="2"/>
    </font>
    <font>
      <sz val="11"/>
      <color rgb="FF000000"/>
      <name val="Calibri"/>
      <family val="2"/>
    </font>
    <font>
      <sz val="13"/>
      <color rgb="FF000000"/>
      <name val="Calibri"/>
      <family val="2"/>
    </font>
    <font>
      <b/>
      <sz val="13"/>
      <color rgb="FF000000"/>
      <name val="Calibri"/>
      <family val="2"/>
    </font>
    <font>
      <i/>
      <sz val="13"/>
      <color rgb="FF000000"/>
      <name val="Calibri"/>
      <family val="2"/>
    </font>
    <font>
      <u/>
      <sz val="13"/>
      <color rgb="FF0000ff"/>
      <name val="Calibri"/>
      <family val="2"/>
    </font>
    <font>
      <sz val="13"/>
      <color rgb="FF4285f4"/>
      <name val="Calibri"/>
      <family val="2"/>
    </font>
    <font>
      <sz val="13"/>
      <color rgb="FFff6d01"/>
      <name val="Calibri"/>
      <family val="2"/>
    </font>
    <font>
      <sz val="14"/>
      <color rgb="FFffffff"/>
      <name val="Calibri"/>
      <family val="2"/>
    </font>
    <font>
      <i/>
      <sz val="14"/>
      <color rgb="FF073763"/>
      <name val="Calibri"/>
      <family val="2"/>
    </font>
    <font>
      <sz val="8"/>
      <color rgb="FF9900ff"/>
      <name val="Calibri"/>
      <family val="2"/>
    </font>
    <font>
      <u/>
      <sz val="11"/>
      <color rgb="FF1155cc"/>
      <name val="Calibri"/>
      <family val="2"/>
    </font>
    <font>
      <sz val="8"/>
      <color rgb="FF073763"/>
      <name val="Calibri"/>
      <family val="2"/>
    </font>
    <font>
      <u/>
      <sz val="9"/>
      <color rgb="FF1155cc"/>
      <name val="Calibri"/>
      <family val="2"/>
    </font>
    <font>
      <sz val="9"/>
      <color rgb="FF000000"/>
      <name val="Calibri"/>
      <family val="2"/>
    </font>
    <font>
      <b/>
      <sz val="55"/>
      <color rgb="FFd9d9d9"/>
      <name val="Proxima Nova"/>
      <family val="2"/>
    </font>
    <font>
      <b/>
      <sz val="20"/>
      <color rgb="FFffffff"/>
      <name val="Proxima Nova"/>
      <family val="2"/>
    </font>
    <font>
      <b/>
      <sz val="20"/>
      <color rgb="FF073763"/>
      <name val="Proxima Nova"/>
      <family val="2"/>
    </font>
    <font>
      <b/>
      <sz val="14"/>
      <color rgb="FF073763"/>
      <name val="Proxima Nova"/>
      <family val="2"/>
    </font>
    <font>
      <sz val="14"/>
      <color rgb="FF073763"/>
      <name val="Proxima Nova"/>
      <family val="2"/>
    </font>
    <font>
      <u/>
      <sz val="14"/>
      <color rgb="FF073763"/>
      <name val="Proxima Nova"/>
      <family val="2"/>
    </font>
    <font>
      <b/>
      <sz val="20"/>
      <color rgb="FF999999"/>
      <name val="Proxima Nova"/>
      <family val="2"/>
    </font>
    <font>
      <b/>
      <sz val="14"/>
      <color rgb="FF999999"/>
      <name val="Proxima Nova"/>
      <family val="2"/>
    </font>
    <font>
      <u/>
      <sz val="14"/>
      <color rgb="FF999999"/>
      <name val="Proxima Nova"/>
      <family val="2"/>
    </font>
    <font>
      <sz val="14"/>
      <color rgb="FF999999"/>
      <name val="Proxima Nova"/>
      <family val="2"/>
    </font>
    <font>
      <b/>
      <sz val="20"/>
      <color rgb="FFcccccc"/>
      <name val="Proxima Nova"/>
      <family val="2"/>
    </font>
    <font>
      <b/>
      <sz val="20"/>
      <color rgb="FF000000"/>
      <name val="Proxima Nova"/>
      <family val="2"/>
    </font>
    <font>
      <i/>
      <sz val="20"/>
      <color rgb="FF999999"/>
      <name val="Proxima Nova"/>
      <family val="2"/>
    </font>
    <font>
      <b/>
      <i/>
      <sz val="14"/>
      <color rgb="FF999999"/>
      <name val="Proxima Nova"/>
      <family val="2"/>
    </font>
    <font>
      <b/>
      <i/>
      <sz val="20"/>
      <color rgb="FF999999"/>
      <name val="Proxima Nova"/>
      <family val="2"/>
    </font>
    <font>
      <b/>
      <sz val="11"/>
      <color rgb="FFffffff"/>
      <name val="Proxima Nova"/>
      <family val="2"/>
    </font>
    <font>
      <b/>
      <u/>
      <sz val="11"/>
      <color rgb="FFffffff"/>
      <name val="Proxima Nova"/>
      <family val="2"/>
    </font>
    <font>
      <b/>
      <sz val="17"/>
      <color rgb="FF999999"/>
      <name val="Proxima Nova"/>
      <family val="2"/>
    </font>
    <font>
      <b/>
      <sz val="16"/>
      <color rgb="FF000000"/>
      <name val="Proxima Nova"/>
      <family val="2"/>
    </font>
    <font>
      <sz val="16"/>
      <color rgb="FF000000"/>
      <name val="Proxima Nova"/>
      <family val="2"/>
    </font>
    <font>
      <b/>
      <sz val="14"/>
      <color rgb="FF000000"/>
      <name val="Proxima Nova"/>
      <family val="2"/>
    </font>
    <font>
      <b/>
      <sz val="14"/>
      <color rgb="FFcccccc"/>
      <name val="Proxima Nova"/>
      <family val="2"/>
    </font>
    <font>
      <sz val="14"/>
      <color rgb="FFcccccc"/>
      <name val="Proxima Nova"/>
      <family val="2"/>
    </font>
    <font>
      <b/>
      <sz val="18"/>
      <color rgb="FFffffff"/>
      <name val="Proxima Nova"/>
      <family val="2"/>
    </font>
    <font>
      <b/>
      <u/>
      <sz val="18"/>
      <color rgb="FFffffff"/>
      <name val="Proxima Nova"/>
      <family val="2"/>
    </font>
    <font>
      <sz val="12"/>
      <color rgb="FFcccccc"/>
      <name val="Calibri"/>
      <family val="2"/>
    </font>
    <font>
      <u/>
      <sz val="12"/>
      <color rgb="FFcccccc"/>
      <name val="Calibri"/>
      <family val="2"/>
    </font>
    <font>
      <b/>
      <sz val="12"/>
      <color rgb="FFcccccc"/>
      <name val="Calibri"/>
      <family val="2"/>
    </font>
    <font>
      <b/>
      <sz val="10"/>
      <color rgb="FFffffff"/>
      <name val="Calibri"/>
      <family val="2"/>
    </font>
    <font>
      <sz val="8"/>
      <color rgb="FF34a853"/>
      <name val="Calibri"/>
      <family val="2"/>
    </font>
    <font>
      <sz val="14"/>
      <color rgb="FFea4335"/>
      <name val="Calibri"/>
      <family val="2"/>
    </font>
    <font>
      <u/>
      <sz val="8"/>
      <color rgb="FF073763"/>
      <name val="Calibri"/>
      <family val="2"/>
    </font>
    <font>
      <i/>
      <sz val="8"/>
      <color rgb="FF000000"/>
      <name val="Calibri"/>
      <family val="2"/>
    </font>
    <font>
      <u/>
      <sz val="10"/>
      <color rgb="FF073763"/>
      <name val="Calibri"/>
      <family val="2"/>
    </font>
    <font>
      <i/>
      <u/>
      <sz val="14"/>
      <color rgb="FF0000ff"/>
      <name val="Calibri"/>
      <family val="2"/>
    </font>
    <font>
      <i/>
      <sz val="10"/>
      <color rgb="FF000000"/>
      <name val="Calibri"/>
      <family val="2"/>
    </font>
    <font>
      <sz val="8"/>
      <color rgb="FFcc0000"/>
      <name val="Calibri"/>
      <family val="2"/>
    </font>
    <font>
      <sz val="8"/>
      <color rgb="FF000000"/>
      <name val="Calibri"/>
      <family val="2"/>
    </font>
    <font>
      <u/>
      <sz val="11"/>
      <color rgb="FF0000ff"/>
      <name val="Arial"/>
      <family val="2"/>
    </font>
    <font>
      <sz val="8"/>
      <color rgb="FF0000ff"/>
      <name val="Calibri"/>
      <family val="2"/>
    </font>
    <font>
      <u/>
      <sz val="11"/>
      <color rgb="FF0000ff"/>
      <name val="Calibri"/>
      <family val="2"/>
    </font>
    <font>
      <u/>
      <sz val="10"/>
      <color rgb="FF1155cc"/>
      <name val="Calibri"/>
      <family val="2"/>
    </font>
    <font>
      <sz val="8"/>
      <color rgb="FF46bdc6"/>
      <name val="Calibri"/>
      <family val="2"/>
    </font>
    <font>
      <u/>
      <sz val="11"/>
      <color rgb="FF073763"/>
      <name val="Calibri"/>
      <family val="2"/>
    </font>
    <font>
      <i/>
      <sz val="8"/>
      <color rgb="FF9900ff"/>
      <name val="Calibri"/>
      <family val="2"/>
    </font>
    <font>
      <sz val="8"/>
      <color rgb="FF4285f4"/>
      <name val="Calibri"/>
      <family val="2"/>
    </font>
    <font>
      <sz val="10"/>
      <color rgb="FF073763"/>
      <name val="Calibri"/>
      <family val="2"/>
    </font>
    <font>
      <i/>
      <sz val="10"/>
      <color rgb="FF073763"/>
      <name val="Calibri"/>
      <family val="2"/>
    </font>
    <font>
      <i/>
      <u/>
      <sz val="14"/>
      <color rgb="FF000000"/>
      <name val="Calibri"/>
      <family val="2"/>
    </font>
    <font>
      <u/>
      <sz val="11"/>
      <color rgb="FF1155cc"/>
      <name val="Arial"/>
      <family val="2"/>
    </font>
    <font>
      <sz val="14"/>
      <color rgb="FF1f2328"/>
      <name val="Calibri"/>
      <family val="2"/>
    </font>
    <font>
      <sz val="10"/>
      <color rgb="FF0000ff"/>
      <name val="Calibri"/>
      <family val="2"/>
    </font>
    <font>
      <u/>
      <sz val="11"/>
      <color rgb="FF0000ff"/>
      <name val="Calibri"/>
      <family val="2"/>
    </font>
    <font>
      <sz val="12"/>
      <color rgb="FF1f2328"/>
      <name val="Arial"/>
      <family val="2"/>
    </font>
    <font>
      <u/>
      <sz val="10"/>
      <color rgb="FF000000"/>
      <name val="Calibri"/>
      <family val="2"/>
    </font>
    <font>
      <i/>
      <u/>
      <sz val="10"/>
      <color rgb="FF0000ff"/>
      <name val="Calibri"/>
      <family val="2"/>
    </font>
    <font>
      <sz val="8"/>
      <color rgb="FFff6d01"/>
      <name val="Calibri"/>
      <family val="2"/>
    </font>
    <font>
      <sz val="14"/>
      <color rgb="FF000000"/>
      <name val="Docs-Calibri"/>
      <family val="2"/>
    </font>
    <font>
      <sz val="8"/>
      <color rgb="FF34a853"/>
      <name val="Docs-Calibri"/>
      <family val="2"/>
    </font>
  </fonts>
  <fills count="180">
    <fill>
      <patternFill patternType="none"/>
    </fill>
    <fill>
      <patternFill patternType="gray125"/>
    </fill>
    <fill>
      <patternFill patternType="solid">
        <fgColor rgb="FFff0000"/>
      </patternFill>
    </fill>
    <fill>
      <patternFill patternType="solid">
        <fgColor rgb="FFffff00"/>
      </patternFill>
    </fill>
    <fill>
      <patternFill patternType="solid">
        <fgColor rgb="FFb7e1cd"/>
      </patternFill>
    </fill>
    <fill>
      <patternFill patternType="solid">
        <fgColor rgb="FFfddce8"/>
      </patternFill>
    </fill>
    <fill>
      <patternFill patternType="solid">
        <fgColor rgb="FFbad4eb"/>
      </patternFill>
    </fill>
    <fill>
      <patternFill patternType="solid">
        <fgColor rgb="FFd9ead3"/>
      </patternFill>
    </fill>
    <fill>
      <patternFill patternType="solid">
        <fgColor rgb="FFc9daf8"/>
      </patternFill>
    </fill>
    <fill>
      <patternFill patternType="solid">
        <fgColor rgb="FFf7cb4d"/>
      </patternFill>
    </fill>
    <fill>
      <patternFill patternType="solid">
        <fgColor rgb="FFcfe2f3"/>
      </patternFill>
    </fill>
    <fill>
      <patternFill patternType="solid">
        <fgColor rgb="FFf3f3f3"/>
      </patternFill>
    </fill>
    <fill>
      <patternFill patternType="solid">
        <fgColor rgb="FFe0f7fa"/>
      </patternFill>
    </fill>
    <fill>
      <patternFill patternType="solid">
        <fgColor rgb="FFffffff"/>
      </patternFill>
    </fill>
    <fill>
      <patternFill patternType="solid">
        <fgColor rgb="FFcc4125"/>
      </patternFill>
    </fill>
    <fill>
      <patternFill patternType="solid">
        <fgColor rgb="FFdbe7fc"/>
      </patternFill>
    </fill>
    <fill>
      <patternFill patternType="solid">
        <fgColor rgb="FF6e9fec"/>
      </patternFill>
    </fill>
    <fill>
      <patternFill patternType="solid">
        <fgColor rgb="FF79a6ed"/>
      </patternFill>
    </fill>
    <fill>
      <patternFill patternType="solid">
        <fgColor rgb="FF7faaee"/>
      </patternFill>
    </fill>
    <fill>
      <patternFill patternType="solid">
        <fgColor rgb="FF3498db"/>
      </patternFill>
    </fill>
    <fill>
      <patternFill patternType="solid">
        <fgColor rgb="FF980000"/>
      </patternFill>
    </fill>
    <fill>
      <patternFill patternType="solid">
        <fgColor rgb="FFe8f0fe"/>
      </patternFill>
    </fill>
    <fill>
      <patternFill patternType="solid">
        <fgColor rgb="FFcccccc"/>
      </patternFill>
    </fill>
    <fill>
      <patternFill patternType="solid">
        <fgColor rgb="FF073763"/>
      </patternFill>
    </fill>
    <fill>
      <patternFill patternType="solid">
        <fgColor rgb="FFf1c232"/>
      </patternFill>
    </fill>
    <fill>
      <patternFill patternType="solid">
        <fgColor rgb="FF94b8f1"/>
      </patternFill>
    </fill>
    <fill>
      <patternFill patternType="solid">
        <fgColor rgb="FFafcaf6"/>
      </patternFill>
    </fill>
    <fill>
      <patternFill patternType="solid">
        <fgColor rgb="FFeceff2"/>
      </patternFill>
    </fill>
    <fill>
      <patternFill patternType="solid">
        <fgColor rgb="FFfce5cd"/>
      </patternFill>
    </fill>
    <fill>
      <patternFill patternType="solid">
        <fgColor rgb="FF96b9f2"/>
      </patternFill>
    </fill>
    <fill>
      <patternFill patternType="solid">
        <fgColor rgb="FF90b9df"/>
      </patternFill>
    </fill>
    <fill>
      <patternFill patternType="solid">
        <fgColor rgb="FFabc8e2"/>
      </patternFill>
    </fill>
    <fill>
      <patternFill patternType="solid">
        <fgColor rgb="FF3981c2"/>
      </patternFill>
    </fill>
    <fill>
      <patternFill patternType="solid">
        <fgColor rgb="FF4e90cb"/>
      </patternFill>
    </fill>
    <fill>
      <patternFill patternType="solid">
        <fgColor rgb="FFd5a6bd"/>
      </patternFill>
    </fill>
    <fill>
      <patternFill patternType="solid">
        <fgColor rgb="FFe7f0fe"/>
      </patternFill>
    </fill>
    <fill>
      <patternFill patternType="solid">
        <fgColor rgb="FF82acef"/>
      </patternFill>
    </fill>
    <fill>
      <patternFill patternType="solid">
        <fgColor rgb="FFa0c0f3"/>
      </patternFill>
    </fill>
    <fill>
      <patternFill patternType="solid">
        <fgColor rgb="FF236bac"/>
      </patternFill>
    </fill>
    <fill>
      <patternFill patternType="solid">
        <fgColor rgb="FFb6d7a8"/>
      </patternFill>
    </fill>
    <fill>
      <patternFill patternType="solid">
        <fgColor rgb="FFd5e1ec"/>
      </patternFill>
    </fill>
    <fill>
      <patternFill patternType="solid">
        <fgColor rgb="FF9fc5e8"/>
      </patternFill>
    </fill>
    <fill>
      <patternFill patternType="solid">
        <fgColor rgb="FFcd4025"/>
      </patternFill>
    </fill>
    <fill>
      <patternFill patternType="solid">
        <fgColor rgb="FF95b9f2"/>
      </patternFill>
    </fill>
    <fill>
      <patternFill patternType="solid">
        <fgColor rgb="FFb3cdf6"/>
      </patternFill>
    </fill>
    <fill>
      <patternFill patternType="solid">
        <fgColor rgb="FF9fc0f3"/>
      </patternFill>
    </fill>
    <fill>
      <patternFill patternType="solid">
        <fgColor rgb="FFb8d0f7"/>
      </patternFill>
    </fill>
    <fill>
      <patternFill patternType="solid">
        <fgColor rgb="FFc3d8f9"/>
      </patternFill>
    </fill>
    <fill>
      <patternFill patternType="solid">
        <fgColor rgb="FFe3edfe"/>
      </patternFill>
    </fill>
    <fill>
      <patternFill patternType="solid">
        <fgColor rgb="FFdce8fd"/>
      </patternFill>
    </fill>
    <fill>
      <patternFill patternType="solid">
        <fgColor rgb="FF9abcf2"/>
      </patternFill>
    </fill>
    <fill>
      <patternFill patternType="solid">
        <fgColor rgb="FF7ca8ee"/>
      </patternFill>
    </fill>
    <fill>
      <patternFill patternType="solid">
        <fgColor rgb="FFc1d6f8"/>
      </patternFill>
    </fill>
    <fill>
      <patternFill patternType="solid">
        <fgColor rgb="FFe2e9ef"/>
      </patternFill>
    </fill>
    <fill>
      <patternFill patternType="solid">
        <fgColor rgb="FF4087c7"/>
      </patternFill>
    </fill>
    <fill>
      <patternFill patternType="solid">
        <fgColor rgb="FFd1e1fb"/>
      </patternFill>
    </fill>
    <fill>
      <patternFill patternType="solid">
        <fgColor rgb="FFe9edf1"/>
      </patternFill>
    </fill>
    <fill>
      <patternFill patternType="solid">
        <fgColor rgb="FF619cd1"/>
      </patternFill>
    </fill>
    <fill>
      <patternFill patternType="solid">
        <fgColor rgb="FFa4c3f4"/>
      </patternFill>
    </fill>
    <fill>
      <patternFill patternType="solid">
        <fgColor rgb="FFd2e1fb"/>
      </patternFill>
    </fill>
    <fill>
      <patternFill patternType="solid">
        <fgColor rgb="FF74a3ed"/>
      </patternFill>
    </fill>
    <fill>
      <patternFill patternType="solid">
        <fgColor rgb="FFcfe0fb"/>
      </patternFill>
    </fill>
    <fill>
      <patternFill patternType="solid">
        <fgColor rgb="FF72a1ec"/>
      </patternFill>
    </fill>
    <fill>
      <patternFill patternType="solid">
        <fgColor rgb="FF75a3ed"/>
      </patternFill>
    </fill>
    <fill>
      <patternFill patternType="solid">
        <fgColor rgb="FFff6d01"/>
      </patternFill>
    </fill>
    <fill>
      <patternFill patternType="solid">
        <fgColor rgb="FFe5eefe"/>
      </patternFill>
    </fill>
    <fill>
      <patternFill patternType="solid">
        <fgColor rgb="FF3b83c4"/>
      </patternFill>
    </fill>
    <fill>
      <patternFill patternType="solid">
        <fgColor rgb="FF8db8de"/>
      </patternFill>
    </fill>
    <fill>
      <patternFill patternType="solid">
        <fgColor rgb="FF3880c1"/>
      </patternFill>
    </fill>
    <fill>
      <patternFill patternType="solid">
        <fgColor rgb="FFa2c1f4"/>
      </patternFill>
    </fill>
    <fill>
      <patternFill patternType="solid">
        <fgColor rgb="FFb6cff7"/>
      </patternFill>
    </fill>
    <fill>
      <patternFill patternType="solid">
        <fgColor rgb="FF99bbf2"/>
      </patternFill>
    </fill>
    <fill>
      <patternFill patternType="solid">
        <fgColor rgb="FFcadae9"/>
      </patternFill>
    </fill>
    <fill>
      <patternFill patternType="solid">
        <fgColor rgb="FF357dbe"/>
      </patternFill>
    </fill>
    <fill>
      <patternFill patternType="solid">
        <fgColor rgb="FF488cca"/>
      </patternFill>
    </fill>
    <fill>
      <patternFill patternType="solid">
        <fgColor rgb="FFcedffa"/>
      </patternFill>
    </fill>
    <fill>
      <patternFill patternType="solid">
        <fgColor rgb="FFdfeafd"/>
      </patternFill>
    </fill>
    <fill>
      <patternFill patternType="solid">
        <fgColor rgb="FFedf4fa"/>
      </patternFill>
    </fill>
    <fill>
      <patternFill patternType="solid">
        <fgColor rgb="FF99bcf2"/>
      </patternFill>
    </fill>
    <fill>
      <patternFill patternType="solid">
        <fgColor rgb="FFf4cccc"/>
      </patternFill>
    </fill>
    <fill>
      <patternFill patternType="solid">
        <fgColor rgb="FFf2f3f3"/>
      </patternFill>
    </fill>
    <fill>
      <patternFill patternType="solid">
        <fgColor rgb="FFe4edfe"/>
      </patternFill>
    </fill>
    <fill>
      <patternFill patternType="solid">
        <fgColor rgb="FF7aa7ed"/>
      </patternFill>
    </fill>
    <fill>
      <patternFill patternType="solid">
        <fgColor rgb="FF9dbef3"/>
      </patternFill>
    </fill>
    <fill>
      <patternFill patternType="solid">
        <fgColor rgb="FF5292cc"/>
      </patternFill>
    </fill>
    <fill>
      <patternFill patternType="solid">
        <fgColor rgb="FF468bc9"/>
      </patternFill>
    </fill>
    <fill>
      <patternFill patternType="solid">
        <fgColor rgb="FFea4335"/>
      </patternFill>
    </fill>
    <fill>
      <patternFill patternType="solid">
        <fgColor rgb="FFe0ebfd"/>
      </patternFill>
    </fill>
    <fill>
      <patternFill patternType="solid">
        <fgColor rgb="FF97baf2"/>
      </patternFill>
    </fill>
    <fill>
      <patternFill patternType="solid">
        <fgColor rgb="FFe6effe"/>
      </patternFill>
    </fill>
    <fill>
      <patternFill patternType="solid">
        <fgColor rgb="FFa6c4f4"/>
      </patternFill>
    </fill>
    <fill>
      <patternFill patternType="solid">
        <fgColor rgb="FFa1c1f4"/>
      </patternFill>
    </fill>
    <fill>
      <patternFill patternType="solid">
        <fgColor rgb="FFa8c5f4"/>
      </patternFill>
    </fill>
    <fill>
      <patternFill patternType="solid">
        <fgColor rgb="FF9fbff3"/>
      </patternFill>
    </fill>
    <fill>
      <patternFill patternType="solid">
        <fgColor rgb="FFa7c5f4"/>
      </patternFill>
    </fill>
    <fill>
      <patternFill patternType="solid">
        <fgColor rgb="FFcbddfa"/>
      </patternFill>
    </fill>
    <fill>
      <patternFill patternType="solid">
        <fgColor rgb="FF90b5f1"/>
      </patternFill>
    </fill>
    <fill>
      <patternFill patternType="solid">
        <fgColor rgb="FFc9dcfa"/>
      </patternFill>
    </fill>
    <fill>
      <patternFill patternType="solid">
        <fgColor rgb="FFd4a27f"/>
      </patternFill>
    </fill>
    <fill>
      <patternFill patternType="solid">
        <fgColor rgb="FFa8c6e1"/>
      </patternFill>
    </fill>
    <fill>
      <patternFill patternType="solid">
        <fgColor rgb="FF135b9c"/>
      </patternFill>
    </fill>
    <fill>
      <patternFill patternType="solid">
        <fgColor rgb="FF4489c8"/>
      </patternFill>
    </fill>
    <fill>
      <patternFill patternType="solid">
        <fgColor rgb="FF85aeef"/>
      </patternFill>
    </fill>
    <fill>
      <patternFill patternType="solid">
        <fgColor rgb="FF74a3ec"/>
      </patternFill>
    </fill>
    <fill>
      <patternFill patternType="solid">
        <fgColor rgb="FFe4eefe"/>
      </patternFill>
    </fill>
    <fill>
      <patternFill patternType="solid">
        <fgColor rgb="FFa3c2f4"/>
      </patternFill>
    </fill>
    <fill>
      <patternFill patternType="solid">
        <fgColor rgb="FFff9900"/>
      </patternFill>
    </fill>
    <fill>
      <patternFill patternType="solid">
        <fgColor rgb="FFabc8f5"/>
      </patternFill>
    </fill>
    <fill>
      <patternFill patternType="solid">
        <fgColor rgb="FF4389c8"/>
      </patternFill>
    </fill>
    <fill>
      <patternFill patternType="solid">
        <fgColor rgb="FF3d85c6"/>
      </patternFill>
    </fill>
    <fill>
      <patternFill patternType="solid">
        <fgColor rgb="FFb0cbf6"/>
      </patternFill>
    </fill>
    <fill>
      <patternFill patternType="solid">
        <fgColor rgb="FFd8e6fc"/>
      </patternFill>
    </fill>
    <fill>
      <patternFill patternType="solid">
        <fgColor rgb="FF76a4ed"/>
      </patternFill>
    </fill>
    <fill>
      <patternFill patternType="solid">
        <fgColor rgb="FFabc7f5"/>
      </patternFill>
    </fill>
    <fill>
      <patternFill patternType="solid">
        <fgColor rgb="FFe7effe"/>
      </patternFill>
    </fill>
    <fill>
      <patternFill patternType="solid">
        <fgColor rgb="FF8fb5f1"/>
      </patternFill>
    </fill>
    <fill>
      <patternFill patternType="solid">
        <fgColor rgb="FFadc9e2"/>
      </patternFill>
    </fill>
    <fill>
      <patternFill patternType="solid">
        <fgColor rgb="FF83adef"/>
      </patternFill>
    </fill>
    <fill>
      <patternFill patternType="solid">
        <fgColor rgb="FF0000ff"/>
      </patternFill>
    </fill>
    <fill>
      <patternFill patternType="solid">
        <fgColor rgb="FF73a6d4"/>
      </patternFill>
    </fill>
    <fill>
      <patternFill patternType="solid">
        <fgColor rgb="FF2169aa"/>
      </patternFill>
    </fill>
    <fill>
      <patternFill patternType="solid">
        <fgColor rgb="FF6ea4d5"/>
      </patternFill>
    </fill>
    <fill>
      <patternFill patternType="solid">
        <fgColor rgb="FF2971b2"/>
      </patternFill>
    </fill>
    <fill>
      <patternFill patternType="solid">
        <fgColor rgb="FFeff1f2"/>
      </patternFill>
    </fill>
    <fill>
      <patternFill patternType="solid">
        <fgColor rgb="FFdbe8f5"/>
      </patternFill>
    </fill>
    <fill>
      <patternFill patternType="solid">
        <fgColor rgb="FFebf3fa"/>
      </patternFill>
    </fill>
    <fill>
      <patternFill patternType="solid">
        <fgColor rgb="FFe7ecf0"/>
      </patternFill>
    </fill>
    <fill>
      <patternFill patternType="solid">
        <fgColor rgb="FFddeaf5"/>
      </patternFill>
    </fill>
    <fill>
      <patternFill patternType="solid">
        <fgColor rgb="FFecf3fa"/>
      </patternFill>
    </fill>
    <fill>
      <patternFill patternType="solid">
        <fgColor rgb="FFb1cbe3"/>
      </patternFill>
    </fill>
    <fill>
      <patternFill patternType="solid">
        <fgColor rgb="FF155d9e"/>
      </patternFill>
    </fill>
    <fill>
      <patternFill patternType="solid">
        <fgColor rgb="FF7bacd9"/>
      </patternFill>
    </fill>
    <fill>
      <patternFill patternType="solid">
        <fgColor rgb="FF609bd1"/>
      </patternFill>
    </fill>
    <fill>
      <patternFill patternType="solid">
        <fgColor rgb="FF6aa1d4"/>
      </patternFill>
    </fill>
    <fill>
      <patternFill patternType="solid">
        <fgColor rgb="FFc9dae9"/>
      </patternFill>
    </fill>
    <fill>
      <patternFill patternType="solid">
        <fgColor rgb="FF3179ba"/>
      </patternFill>
    </fill>
    <fill>
      <patternFill patternType="solid">
        <fgColor rgb="FF6aa1d3"/>
      </patternFill>
    </fill>
    <fill>
      <patternFill patternType="solid">
        <fgColor rgb="FFe3eaf0"/>
      </patternFill>
    </fill>
    <fill>
      <patternFill patternType="solid">
        <fgColor rgb="FFeef0f2"/>
      </patternFill>
    </fill>
    <fill>
      <patternFill patternType="solid">
        <fgColor rgb="FF89b5dd"/>
      </patternFill>
    </fill>
    <fill>
      <patternFill patternType="solid">
        <fgColor rgb="FFebf2f9"/>
      </patternFill>
    </fill>
    <fill>
      <patternFill patternType="solid">
        <fgColor rgb="FF6aa2d4"/>
      </patternFill>
    </fill>
    <fill>
      <patternFill patternType="solid">
        <fgColor rgb="FFcfe1f1"/>
      </patternFill>
    </fill>
    <fill>
      <patternFill patternType="solid">
        <fgColor rgb="FF68a0d3"/>
      </patternFill>
    </fill>
    <fill>
      <patternFill patternType="solid">
        <fgColor rgb="FF2c74b5"/>
      </patternFill>
    </fill>
    <fill>
      <patternFill patternType="solid">
        <fgColor rgb="FF4a8eca"/>
      </patternFill>
    </fill>
    <fill>
      <patternFill patternType="solid">
        <fgColor rgb="FFe4eaf0"/>
      </patternFill>
    </fill>
    <fill>
      <patternFill patternType="solid">
        <fgColor rgb="FF2870b1"/>
      </patternFill>
    </fill>
    <fill>
      <patternFill patternType="solid">
        <fgColor rgb="FFd7e2ec"/>
      </patternFill>
    </fill>
    <fill>
      <patternFill patternType="solid">
        <fgColor rgb="FFf7fafd"/>
      </patternFill>
    </fill>
    <fill>
      <patternFill patternType="solid">
        <fgColor rgb="FFf1f2f3"/>
      </patternFill>
    </fill>
    <fill>
      <patternFill patternType="solid">
        <fgColor rgb="FF88b5dc"/>
      </patternFill>
    </fill>
    <fill>
      <patternFill patternType="solid">
        <fgColor rgb="FFf0f1f3"/>
      </patternFill>
    </fill>
    <fill>
      <patternFill patternType="solid">
        <fgColor rgb="FF93bbe0"/>
      </patternFill>
    </fill>
    <fill>
      <patternFill patternType="solid">
        <fgColor rgb="FF3a82c3"/>
      </patternFill>
    </fill>
    <fill>
      <patternFill patternType="solid">
        <fgColor rgb="FFcfddea"/>
      </patternFill>
    </fill>
    <fill>
      <patternFill patternType="solid">
        <fgColor rgb="FFe5ebf0"/>
      </patternFill>
    </fill>
    <fill>
      <patternFill patternType="solid">
        <fgColor rgb="FF498dca"/>
      </patternFill>
    </fill>
    <fill>
      <patternFill patternType="solid">
        <fgColor rgb="FFdfe7ee"/>
      </patternFill>
    </fill>
    <fill>
      <patternFill patternType="solid">
        <fgColor rgb="FF6ba2d4"/>
      </patternFill>
    </fill>
    <fill>
      <patternFill patternType="solid">
        <fgColor rgb="FFf0f2f3"/>
      </patternFill>
    </fill>
    <fill>
      <patternFill patternType="solid">
        <fgColor rgb="FFebeef1"/>
      </patternFill>
    </fill>
    <fill>
      <patternFill patternType="solid">
        <fgColor rgb="FFc7daf9"/>
      </patternFill>
    </fill>
    <fill>
      <patternFill patternType="solid">
        <fgColor rgb="FFdce5ee"/>
      </patternFill>
    </fill>
    <fill>
      <patternFill patternType="solid">
        <fgColor rgb="FF4f90cc"/>
      </patternFill>
    </fill>
    <fill>
      <patternFill patternType="solid">
        <fgColor rgb="FF90b8db"/>
      </patternFill>
    </fill>
    <fill>
      <patternFill patternType="solid">
        <fgColor rgb="FF276fb0"/>
      </patternFill>
    </fill>
    <fill>
      <patternFill patternType="solid">
        <fgColor rgb="FFe6ecf0"/>
      </patternFill>
    </fill>
    <fill>
      <patternFill patternType="solid">
        <fgColor rgb="FF77aad7"/>
      </patternFill>
    </fill>
    <fill>
      <patternFill patternType="solid">
        <fgColor rgb="FF3f86c7"/>
      </patternFill>
    </fill>
    <fill>
      <patternFill patternType="solid">
        <fgColor rgb="FFbed7ec"/>
      </patternFill>
    </fill>
    <fill>
      <patternFill patternType="solid">
        <fgColor rgb="FF6da3d4"/>
      </patternFill>
    </fill>
    <fill>
      <patternFill patternType="solid">
        <fgColor rgb="FFc4daee"/>
      </patternFill>
    </fill>
    <fill>
      <patternFill patternType="solid">
        <fgColor rgb="FF95bce0"/>
      </patternFill>
    </fill>
    <fill>
      <patternFill patternType="solid">
        <fgColor rgb="FF1a62a3"/>
      </patternFill>
    </fill>
    <fill>
      <patternFill patternType="solid">
        <fgColor rgb="FFedf0f2"/>
      </patternFill>
    </fill>
    <fill>
      <patternFill patternType="solid">
        <fgColor rgb="FFaac9e6"/>
      </patternFill>
    </fill>
    <fill>
      <patternFill patternType="solid">
        <fgColor rgb="FFe2edf7"/>
      </patternFill>
    </fill>
    <fill>
      <patternFill patternType="solid">
        <fgColor rgb="FFeaf2f9"/>
      </patternFill>
    </fill>
    <fill>
      <patternFill patternType="solid">
        <fgColor rgb="FFf0f6fb"/>
      </patternFill>
    </fill>
  </fills>
  <borders count="16">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n">
        <color rgb="FFc6c6c6"/>
      </left>
      <right style="thick">
        <color rgb="FF000000"/>
      </right>
      <top style="thin">
        <color rgb="FFc6c6c6"/>
      </top>
      <bottom style="thin">
        <color rgb="FFc6c6c6"/>
      </bottom>
      <diagonal/>
    </border>
    <border>
      <left style="thick">
        <color rgb="FF000000"/>
      </left>
      <right style="thin">
        <color rgb="FFc6c6c6"/>
      </right>
      <top style="thin">
        <color rgb="FFc6c6c6"/>
      </top>
      <bottom style="thin">
        <color rgb="FFc6c6c6"/>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style="medium">
        <color rgb="FF073763"/>
      </bottom>
      <diagonal/>
    </border>
    <border>
      <left style="thin">
        <color rgb="FFc6c6c6"/>
      </left>
      <right style="thin">
        <color rgb="FFc6c6c6"/>
      </right>
      <top style="thin">
        <color rgb="FFc6c6c6"/>
      </top>
      <bottom style="medium">
        <color rgb="FF073763"/>
      </bottom>
      <diagonal/>
    </border>
    <border>
      <left style="thin">
        <color rgb="FFc6c6c6"/>
      </left>
      <right style="thin">
        <color rgb="FFc6c6c6"/>
      </right>
      <top style="thin">
        <color rgb="FFc6c6c6"/>
      </top>
      <bottom style="thick">
        <color rgb="FF000000"/>
      </bottom>
      <diagonal/>
    </border>
  </borders>
  <cellStyleXfs count="1">
    <xf numFmtId="0" fontId="0" fillId="0" borderId="0"/>
  </cellStyleXfs>
  <cellXfs count="891">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1" applyBorder="1" fontId="3" applyFont="1" fillId="0" applyAlignment="1">
      <alignment horizontal="left"/>
    </xf>
    <xf xfId="0" numFmtId="0" borderId="0" fontId="0" fillId="0" applyAlignment="1">
      <alignment horizontal="general"/>
    </xf>
    <xf xfId="0" numFmtId="0" borderId="2" applyBorder="1" fontId="4" applyFont="1" fillId="2" applyFill="1" applyAlignment="1">
      <alignment horizontal="left"/>
    </xf>
    <xf xfId="0" numFmtId="3" applyNumberFormat="1" borderId="2" applyBorder="1" fontId="4" applyFont="1" fillId="2" applyFill="1" applyAlignment="1">
      <alignment horizontal="right"/>
    </xf>
    <xf xfId="0" numFmtId="3" applyNumberFormat="1" borderId="2" applyBorder="1" fontId="4" applyFont="1" fillId="2" applyFill="1" applyAlignment="1">
      <alignment horizontal="left"/>
    </xf>
    <xf xfId="0" numFmtId="4" applyNumberFormat="1" borderId="2" applyBorder="1" fontId="4" applyFont="1" fillId="2" applyFill="1" applyAlignment="1">
      <alignment horizontal="left"/>
    </xf>
    <xf xfId="0" numFmtId="164" applyNumberFormat="1" borderId="2" applyBorder="1" fontId="4" applyFont="1" fillId="2" applyFill="1" applyAlignment="1">
      <alignment horizontal="right"/>
    </xf>
    <xf xfId="0" numFmtId="0" borderId="1" applyBorder="1" fontId="5" applyFont="1" fillId="0" applyAlignment="1">
      <alignment horizontal="left"/>
    </xf>
    <xf xfId="0" numFmtId="49" applyNumberFormat="1" borderId="1" applyBorder="1" fontId="5" applyFont="1" fillId="0" applyAlignment="1">
      <alignment horizontal="left"/>
    </xf>
    <xf xfId="0" numFmtId="3" applyNumberFormat="1" borderId="1" applyBorder="1" fontId="5" applyFont="1" fillId="0" applyAlignment="1">
      <alignment horizontal="left"/>
    </xf>
    <xf xfId="0" numFmtId="4" applyNumberFormat="1" borderId="1" applyBorder="1" fontId="5" applyFont="1" fillId="0" applyAlignment="1">
      <alignment horizontal="left"/>
    </xf>
    <xf xfId="0" numFmtId="0" borderId="2" applyBorder="1" fontId="6" applyFont="1" fillId="3" applyFill="1" applyAlignment="1">
      <alignment horizontal="left"/>
    </xf>
    <xf xfId="0" numFmtId="3" applyNumberFormat="1" borderId="2" applyBorder="1" fontId="7" applyFont="1" fillId="3" applyFill="1" applyAlignment="1">
      <alignment horizontal="right"/>
    </xf>
    <xf xfId="0" numFmtId="0" borderId="2" applyBorder="1" fontId="7" applyFont="1" fillId="3" applyFill="1" applyAlignment="1">
      <alignment horizontal="left"/>
    </xf>
    <xf xfId="0" numFmtId="3" applyNumberFormat="1" borderId="2" applyBorder="1" fontId="7" applyFont="1" fillId="3" applyFill="1" applyAlignment="1">
      <alignment horizontal="left"/>
    </xf>
    <xf xfId="0" numFmtId="4" applyNumberFormat="1" borderId="2" applyBorder="1" fontId="7" applyFont="1" fillId="3" applyFill="1" applyAlignment="1">
      <alignment horizontal="left"/>
    </xf>
    <xf xfId="0" numFmtId="165" applyNumberFormat="1" borderId="2" applyBorder="1" fontId="7" applyFont="1" fillId="3" applyFill="1" applyAlignment="1">
      <alignment horizontal="left"/>
    </xf>
    <xf xfId="0" numFmtId="49" applyNumberFormat="1" borderId="2" applyBorder="1" fontId="7" applyFont="1" fillId="3" applyFill="1" applyAlignment="1">
      <alignment horizontal="left"/>
    </xf>
    <xf xfId="0" numFmtId="0" borderId="1" applyBorder="1" fontId="7" applyFont="1" fillId="0" applyAlignment="1">
      <alignment horizontal="left"/>
    </xf>
    <xf xfId="0" numFmtId="49" applyNumberFormat="1" borderId="1" applyBorder="1" fontId="7" applyFont="1" fillId="0" applyAlignment="1">
      <alignment horizontal="left"/>
    </xf>
    <xf xfId="0" numFmtId="3" applyNumberFormat="1" borderId="1" applyBorder="1" fontId="7" applyFont="1" fillId="0" applyAlignment="1">
      <alignment horizontal="right"/>
    </xf>
    <xf xfId="0" numFmtId="4" applyNumberFormat="1" borderId="1" applyBorder="1" fontId="7" applyFont="1" fillId="0" applyAlignment="1">
      <alignment horizontal="right"/>
    </xf>
    <xf xfId="0" numFmtId="0" borderId="1" applyBorder="1" fontId="6" applyFont="1" fillId="0" applyAlignment="1">
      <alignment horizontal="left"/>
    </xf>
    <xf xfId="0" numFmtId="3" applyNumberFormat="1" borderId="1" applyBorder="1" fontId="7" applyFont="1" fillId="0" applyAlignment="1">
      <alignment horizontal="left"/>
    </xf>
    <xf xfId="0" numFmtId="4" applyNumberFormat="1" borderId="1" applyBorder="1" fontId="7" applyFont="1" fillId="0" applyAlignment="1">
      <alignment horizontal="left"/>
    </xf>
    <xf xfId="0" numFmtId="4" applyNumberFormat="1" borderId="2" applyBorder="1" fontId="7" applyFont="1" fillId="3" applyFill="1" applyAlignment="1">
      <alignment horizontal="right"/>
    </xf>
    <xf xfId="0" numFmtId="0" borderId="0" fontId="0" fillId="0" applyAlignment="1">
      <alignment horizontal="general"/>
    </xf>
    <xf xfId="0" numFmtId="3" applyNumberFormat="1" borderId="2" applyBorder="1" fontId="7" applyFont="1" fillId="3" applyFill="1" applyAlignment="1">
      <alignment horizontal="center"/>
    </xf>
    <xf xfId="0" numFmtId="0" borderId="2" applyBorder="1" fontId="5" applyFont="1" fillId="3" applyFill="1" applyAlignment="1">
      <alignment horizontal="left"/>
    </xf>
    <xf xfId="0" numFmtId="4" applyNumberFormat="1" borderId="2" applyBorder="1" fontId="7" applyFont="1" fillId="3" applyFill="1" applyAlignment="1">
      <alignment horizontal="center"/>
    </xf>
    <xf xfId="0" numFmtId="0" borderId="1" applyBorder="1" fontId="8" applyFont="1" fillId="0" applyAlignment="1">
      <alignment horizontal="left"/>
    </xf>
    <xf xfId="0" numFmtId="3" applyNumberFormat="1" borderId="1" applyBorder="1" fontId="8" applyFont="1" fillId="0" applyAlignment="1">
      <alignment horizontal="right"/>
    </xf>
    <xf xfId="0" numFmtId="3" applyNumberFormat="1" borderId="1" applyBorder="1" fontId="8" applyFont="1" fillId="0" applyAlignment="1">
      <alignment horizontal="left"/>
    </xf>
    <xf xfId="0" numFmtId="3" applyNumberFormat="1" borderId="1" applyBorder="1" fontId="9" applyFont="1" fillId="0" applyAlignment="1">
      <alignment horizontal="left"/>
    </xf>
    <xf xfId="0" numFmtId="4" applyNumberFormat="1" borderId="1" applyBorder="1" fontId="9" applyFont="1" fillId="0" applyAlignment="1">
      <alignment horizontal="left"/>
    </xf>
    <xf xfId="0" numFmtId="4" applyNumberFormat="1" borderId="1" applyBorder="1" fontId="10" applyFont="1" fillId="0" applyAlignment="1">
      <alignment horizontal="left"/>
    </xf>
    <xf xfId="0" numFmtId="3" applyNumberFormat="1" borderId="0" fontId="0" fillId="0" applyAlignment="1">
      <alignment horizontal="general"/>
    </xf>
    <xf xfId="0" numFmtId="4" applyNumberFormat="1" borderId="1" applyBorder="1" fontId="8" applyFont="1" fillId="0" applyAlignment="1">
      <alignment horizontal="left"/>
    </xf>
    <xf xfId="0" numFmtId="4" applyNumberFormat="1" borderId="0" fontId="0" fillId="0" applyAlignment="1">
      <alignment horizontal="general"/>
    </xf>
    <xf xfId="0" numFmtId="49" applyNumberFormat="1"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0" borderId="3" applyBorder="1" fontId="11" applyFont="1" fillId="0" applyAlignment="1">
      <alignment horizontal="left" wrapText="1"/>
    </xf>
    <xf xfId="0" numFmtId="166" applyNumberFormat="1" borderId="4" applyBorder="1" fontId="11" applyFont="1" fillId="0" applyAlignment="1">
      <alignment horizontal="left" wrapText="1"/>
    </xf>
    <xf xfId="0" numFmtId="0" borderId="4" applyBorder="1" fontId="11" applyFont="1" fillId="0" applyAlignment="1">
      <alignment horizontal="left" wrapText="1"/>
    </xf>
    <xf xfId="0" numFmtId="3" applyNumberFormat="1" borderId="4" applyBorder="1" fontId="11" applyFont="1" fillId="0" applyAlignment="1">
      <alignment horizontal="right" wrapText="1"/>
    </xf>
    <xf xfId="0" numFmtId="167" applyNumberFormat="1" borderId="4" applyBorder="1" fontId="11" applyFont="1" fillId="0" applyAlignment="1">
      <alignment horizontal="right" wrapText="1"/>
    </xf>
    <xf xfId="0" numFmtId="7" applyNumberFormat="1" borderId="4" applyBorder="1" fontId="11" applyFont="1" fillId="0" applyAlignment="1">
      <alignment horizontal="right" wrapText="1"/>
    </xf>
    <xf xfId="0" numFmtId="0" borderId="4" applyBorder="1" fontId="11" applyFont="1" fillId="0" applyAlignment="1">
      <alignment horizontal="right" wrapText="1"/>
    </xf>
    <xf xfId="0" numFmtId="164" applyNumberFormat="1" borderId="5" applyBorder="1" fontId="11" applyFont="1" fillId="0" applyAlignment="1">
      <alignment horizontal="right" wrapText="1"/>
    </xf>
    <xf xfId="0" numFmtId="0" borderId="1" applyBorder="1" fontId="12" applyFont="1" fillId="0" applyAlignment="1">
      <alignment horizontal="left"/>
    </xf>
    <xf xfId="0" numFmtId="164" applyNumberFormat="1" borderId="1" applyBorder="1" fontId="11" applyFont="1" fillId="0" applyAlignment="1">
      <alignment horizontal="left"/>
    </xf>
    <xf xfId="0" numFmtId="0" borderId="1" applyBorder="1" fontId="13" applyFont="1" fillId="0" applyAlignment="1">
      <alignment horizontal="left"/>
    </xf>
    <xf xfId="0" numFmtId="0" borderId="6" applyBorder="1" fontId="11" applyFont="1" fillId="0" applyAlignment="1">
      <alignment horizontal="left" wrapText="1"/>
    </xf>
    <xf xfId="0" numFmtId="166" applyNumberFormat="1" borderId="1" applyBorder="1" fontId="13" applyFont="1" fillId="0" applyAlignment="1">
      <alignment horizontal="left" wrapText="1"/>
    </xf>
    <xf xfId="0" numFmtId="0" borderId="2" applyBorder="1" fontId="13" applyFont="1" fillId="4" applyFill="1" applyAlignment="1">
      <alignment horizontal="left" wrapText="1"/>
    </xf>
    <xf xfId="0" numFmtId="3" applyNumberFormat="1" borderId="2" applyBorder="1" fontId="13" applyFont="1" fillId="5" applyFill="1" applyAlignment="1">
      <alignment horizontal="right" wrapText="1"/>
    </xf>
    <xf xfId="0" numFmtId="167" applyNumberFormat="1" borderId="2" applyBorder="1" fontId="13" applyFont="1" fillId="5" applyFill="1" applyAlignment="1">
      <alignment horizontal="right" wrapText="1"/>
    </xf>
    <xf xfId="0" numFmtId="3" applyNumberFormat="1" borderId="1" applyBorder="1" fontId="13" applyFont="1" fillId="0" applyAlignment="1">
      <alignment horizontal="right" wrapText="1"/>
    </xf>
    <xf xfId="0" numFmtId="168" applyNumberFormat="1" borderId="1" applyBorder="1" fontId="13" applyFont="1" fillId="0" applyAlignment="1">
      <alignment horizontal="right" wrapText="1"/>
    </xf>
    <xf xfId="0" numFmtId="0" borderId="1" applyBorder="1" fontId="13" applyFont="1" fillId="0" applyAlignment="1">
      <alignment horizontal="right" wrapText="1"/>
    </xf>
    <xf xfId="0" numFmtId="169" applyNumberFormat="1" borderId="7" applyBorder="1" fontId="13" applyFont="1" fillId="0" applyAlignment="1">
      <alignment horizontal="right" wrapText="1"/>
    </xf>
    <xf xfId="0" numFmtId="164" applyNumberFormat="1" borderId="1" applyBorder="1" fontId="13" applyFont="1" fillId="0" applyAlignment="1">
      <alignment horizontal="right"/>
    </xf>
    <xf xfId="0" numFmtId="0" borderId="2" applyBorder="1" fontId="13" applyFont="1" fillId="6" applyFill="1" applyAlignment="1">
      <alignment horizontal="left" wrapText="1"/>
    </xf>
    <xf xfId="0" numFmtId="3" applyNumberFormat="1" borderId="2" applyBorder="1" fontId="13" applyFont="1" fillId="6" applyFill="1" applyAlignment="1">
      <alignment horizontal="right" wrapText="1"/>
    </xf>
    <xf xfId="0" numFmtId="167" applyNumberFormat="1" borderId="2" applyBorder="1" fontId="13" applyFont="1" fillId="6" applyFill="1" applyAlignment="1">
      <alignment horizontal="right" wrapText="1"/>
    </xf>
    <xf xfId="0" numFmtId="0" borderId="1" applyBorder="1" fontId="13" applyFont="1" fillId="0" applyAlignment="1">
      <alignment horizontal="left" wrapText="1"/>
    </xf>
    <xf xfId="0" numFmtId="3" applyNumberFormat="1" borderId="2" applyBorder="1" fontId="14" applyFont="1" fillId="4" applyFill="1" applyAlignment="1">
      <alignment horizontal="right" wrapText="1"/>
    </xf>
    <xf xfId="0" numFmtId="167" applyNumberFormat="1" borderId="1" applyBorder="1" fontId="13" applyFont="1" fillId="0" applyAlignment="1">
      <alignment horizontal="right" wrapText="1"/>
    </xf>
    <xf xfId="0" numFmtId="0" borderId="2" applyBorder="1" fontId="13" applyFont="1" fillId="7" applyFill="1" applyAlignment="1">
      <alignment horizontal="left" wrapText="1"/>
    </xf>
    <xf xfId="0" numFmtId="3" applyNumberFormat="1" borderId="2" applyBorder="1" fontId="13" applyFont="1" fillId="7" applyFill="1" applyAlignment="1">
      <alignment horizontal="right" wrapText="1"/>
    </xf>
    <xf xfId="0" numFmtId="167" applyNumberFormat="1" borderId="2" applyBorder="1" fontId="13" applyFont="1" fillId="7" applyFill="1" applyAlignment="1">
      <alignment horizontal="right" wrapText="1"/>
    </xf>
    <xf xfId="0" numFmtId="169" applyNumberFormat="1" borderId="8" applyBorder="1" fontId="13" applyFont="1" fillId="8" applyFill="1" applyAlignment="1">
      <alignment horizontal="right" wrapText="1"/>
    </xf>
    <xf xfId="0" numFmtId="0" borderId="2" applyBorder="1" fontId="13" applyFont="1" fillId="9" applyFill="1" applyAlignment="1">
      <alignment horizontal="left" wrapText="1"/>
    </xf>
    <xf xfId="0" numFmtId="3" applyNumberFormat="1" borderId="2" applyBorder="1" fontId="13" applyFont="1" fillId="9" applyFill="1" applyAlignment="1">
      <alignment horizontal="right" wrapText="1"/>
    </xf>
    <xf xfId="0" numFmtId="167" applyNumberFormat="1" borderId="2" applyBorder="1" fontId="13" applyFont="1" fillId="9" applyFill="1" applyAlignment="1">
      <alignment horizontal="right" wrapText="1"/>
    </xf>
    <xf xfId="0" numFmtId="0" borderId="9" applyBorder="1" fontId="11" applyFont="1" fillId="3" applyFill="1" applyAlignment="1">
      <alignment horizontal="left" wrapText="1"/>
    </xf>
    <xf xfId="0" numFmtId="3" applyNumberFormat="1" borderId="2" applyBorder="1" fontId="13" applyFont="1" fillId="4" applyFill="1" applyAlignment="1">
      <alignment horizontal="right" wrapText="1"/>
    </xf>
    <xf xfId="0" numFmtId="167" applyNumberFormat="1" borderId="1" applyBorder="1" fontId="14" applyFont="1" fillId="0" applyAlignment="1">
      <alignment horizontal="right" wrapText="1"/>
    </xf>
    <xf xfId="0" numFmtId="166" applyNumberFormat="1" borderId="1" applyBorder="1" fontId="14" applyFont="1" fillId="0" applyAlignment="1">
      <alignment horizontal="left" wrapText="1"/>
    </xf>
    <xf xfId="0" numFmtId="3" applyNumberFormat="1" borderId="2" applyBorder="1" fontId="14" applyFont="1" fillId="5" applyFill="1" applyAlignment="1">
      <alignment horizontal="right" wrapText="1"/>
    </xf>
    <xf xfId="0" numFmtId="167" applyNumberFormat="1" borderId="2" applyBorder="1" fontId="14" applyFont="1" fillId="5" applyFill="1" applyAlignment="1">
      <alignment horizontal="right" wrapText="1"/>
    </xf>
    <xf xfId="0" numFmtId="0" borderId="1" applyBorder="1" fontId="14" applyFont="1" fillId="0" applyAlignment="1">
      <alignment horizontal="right" wrapText="1"/>
    </xf>
    <xf xfId="0" numFmtId="169" applyNumberFormat="1" borderId="7" applyBorder="1" fontId="14" applyFont="1" fillId="0" applyAlignment="1">
      <alignment horizontal="right" wrapText="1"/>
    </xf>
    <xf xfId="0" numFmtId="3" applyNumberFormat="1" borderId="1" applyBorder="1" fontId="13" applyFont="1" fillId="0" applyAlignment="1">
      <alignment horizontal="left" wrapText="1"/>
    </xf>
    <xf xfId="0" numFmtId="167" applyNumberFormat="1" borderId="1" applyBorder="1" fontId="13" applyFont="1" fillId="0" applyAlignment="1">
      <alignment horizontal="left" wrapText="1"/>
    </xf>
    <xf xfId="0" numFmtId="168" applyNumberFormat="1" borderId="1" applyBorder="1" fontId="13" applyFont="1" fillId="0" applyAlignment="1">
      <alignment horizontal="left" wrapText="1"/>
    </xf>
    <xf xfId="0" numFmtId="169" applyNumberFormat="1" borderId="7" applyBorder="1" fontId="13" applyFont="1" fillId="0" applyAlignment="1">
      <alignment horizontal="left" wrapText="1"/>
    </xf>
    <xf xfId="0" numFmtId="3" applyNumberFormat="1" borderId="2" applyBorder="1" fontId="14" applyFont="1" fillId="10" applyFill="1" applyAlignment="1">
      <alignment horizontal="right" wrapText="1"/>
    </xf>
    <xf xfId="0" numFmtId="0" borderId="10" applyBorder="1" fontId="11" applyFont="1" fillId="0" applyAlignment="1">
      <alignment horizontal="left" wrapText="1"/>
    </xf>
    <xf xfId="0" numFmtId="166" applyNumberFormat="1" borderId="11" applyBorder="1" fontId="14" applyFont="1" fillId="0" applyAlignment="1">
      <alignment horizontal="left" wrapText="1"/>
    </xf>
    <xf xfId="0" numFmtId="0" borderId="11" applyBorder="1" fontId="13" applyFont="1" fillId="0" applyAlignment="1">
      <alignment horizontal="left" wrapText="1"/>
    </xf>
    <xf xfId="0" numFmtId="3" applyNumberFormat="1" borderId="11" applyBorder="1" fontId="13" applyFont="1" fillId="0" applyAlignment="1">
      <alignment horizontal="right" wrapText="1"/>
    </xf>
    <xf xfId="0" numFmtId="3" applyNumberFormat="1" borderId="11" applyBorder="1" fontId="13" applyFont="1" fillId="0" applyAlignment="1">
      <alignment horizontal="left" wrapText="1"/>
    </xf>
    <xf xfId="0" numFmtId="167" applyNumberFormat="1" borderId="11" applyBorder="1" fontId="13" applyFont="1" fillId="0" applyAlignment="1">
      <alignment horizontal="left" wrapText="1"/>
    </xf>
    <xf xfId="0" numFmtId="168" applyNumberFormat="1" borderId="11" applyBorder="1" fontId="13" applyFont="1" fillId="0" applyAlignment="1">
      <alignment horizontal="left" wrapText="1"/>
    </xf>
    <xf xfId="0" numFmtId="169" applyNumberFormat="1" borderId="12" applyBorder="1" fontId="13" applyFont="1" fillId="0" applyAlignment="1">
      <alignment horizontal="left" wrapText="1"/>
    </xf>
    <xf xfId="0" numFmtId="166" applyNumberFormat="1" borderId="1" applyBorder="1" fontId="13" applyFont="1" fillId="0" applyAlignment="1">
      <alignment horizontal="left"/>
    </xf>
    <xf xfId="0" numFmtId="3" applyNumberFormat="1" borderId="1" applyBorder="1" fontId="13" applyFont="1" fillId="0" applyAlignment="1">
      <alignment horizontal="left"/>
    </xf>
    <xf xfId="0" numFmtId="167" applyNumberFormat="1" borderId="1" applyBorder="1" fontId="13" applyFont="1" fillId="0" applyAlignment="1">
      <alignment horizontal="left"/>
    </xf>
    <xf xfId="0" numFmtId="3" applyNumberFormat="1" borderId="1" applyBorder="1" fontId="13" applyFont="1" fillId="0" applyAlignment="1">
      <alignment horizontal="right"/>
    </xf>
    <xf xfId="0" numFmtId="7" applyNumberFormat="1" borderId="1" applyBorder="1" fontId="13" applyFont="1" fillId="0" applyAlignment="1">
      <alignment horizontal="right"/>
    </xf>
    <xf xfId="0" numFmtId="164" applyNumberFormat="1" borderId="1" applyBorder="1" fontId="13" applyFont="1" fillId="0" applyAlignment="1">
      <alignment horizontal="left"/>
    </xf>
    <xf xfId="0" numFmtId="0" borderId="1" applyBorder="1" fontId="15" applyFont="1" fillId="0" applyAlignment="1">
      <alignment horizontal="left"/>
    </xf>
    <xf xfId="0" numFmtId="166" applyNumberFormat="1" borderId="1" applyBorder="1" fontId="15" applyFont="1" fillId="0" applyAlignment="1">
      <alignment horizontal="left"/>
    </xf>
    <xf xfId="0" numFmtId="3" applyNumberFormat="1" borderId="1" applyBorder="1" fontId="15" applyFont="1" fillId="0" applyAlignment="1">
      <alignment horizontal="left"/>
    </xf>
    <xf xfId="0" numFmtId="3" applyNumberFormat="1" borderId="1" applyBorder="1" fontId="16" applyFont="1" fillId="0" applyAlignment="1">
      <alignment horizontal="left"/>
    </xf>
    <xf xfId="0" numFmtId="167" applyNumberFormat="1" borderId="3" applyBorder="1" fontId="11" applyFont="1" fillId="0" applyAlignment="1">
      <alignment horizontal="left"/>
    </xf>
    <xf xfId="0" numFmtId="3" applyNumberFormat="1" borderId="4" applyBorder="1" fontId="11" applyFont="1" fillId="0" applyAlignment="1">
      <alignment horizontal="right"/>
    </xf>
    <xf xfId="0" numFmtId="7" applyNumberFormat="1" borderId="4" applyBorder="1" fontId="11" applyFont="1" fillId="0" applyAlignment="1">
      <alignment horizontal="right"/>
    </xf>
    <xf xfId="0" numFmtId="0" borderId="4" applyBorder="1" fontId="11" applyFont="1" fillId="0" applyAlignment="1">
      <alignment horizontal="left"/>
    </xf>
    <xf xfId="0" numFmtId="164" applyNumberFormat="1" borderId="5" applyBorder="1" fontId="11" applyFont="1" fillId="0" applyAlignment="1">
      <alignment horizontal="left"/>
    </xf>
    <xf xfId="0" numFmtId="0" borderId="1" applyBorder="1" fontId="16" applyFont="1" fillId="0" applyAlignment="1">
      <alignment horizontal="left"/>
    </xf>
    <xf xfId="0" numFmtId="164" applyNumberFormat="1" borderId="1" applyBorder="1" fontId="16" applyFont="1" fillId="0" applyAlignment="1">
      <alignment horizontal="right"/>
    </xf>
    <xf xfId="0" numFmtId="0" borderId="1" applyBorder="1" fontId="15" applyFont="1" fillId="0" applyAlignment="1">
      <alignment horizontal="left" wrapText="1"/>
    </xf>
    <xf xfId="0" numFmtId="166" applyNumberFormat="1" borderId="1" applyBorder="1" fontId="16" applyFont="1" fillId="0" applyAlignment="1">
      <alignment horizontal="left"/>
    </xf>
    <xf xfId="0" numFmtId="0" borderId="1" applyBorder="1" fontId="17" applyFont="1" fillId="0" applyAlignment="1">
      <alignment horizontal="left"/>
    </xf>
    <xf xfId="0" numFmtId="3" applyNumberFormat="1" borderId="2" applyBorder="1" fontId="16" applyFont="1" fillId="4" applyFill="1" applyAlignment="1">
      <alignment horizontal="left"/>
    </xf>
    <xf xfId="0" numFmtId="167" applyNumberFormat="1" borderId="6" applyBorder="1" fontId="13" applyFont="1" fillId="0" applyAlignment="1">
      <alignment horizontal="left"/>
    </xf>
    <xf xfId="0" numFmtId="0" borderId="1" applyBorder="1" fontId="18" applyFont="1" fillId="0" applyAlignment="1">
      <alignment horizontal="left"/>
    </xf>
    <xf xfId="0" numFmtId="164" applyNumberFormat="1" borderId="7" applyBorder="1" fontId="13" applyFont="1" fillId="0" applyAlignment="1">
      <alignment horizontal="right"/>
    </xf>
    <xf xfId="0" numFmtId="164" applyNumberFormat="1" borderId="1" applyBorder="1" fontId="16" applyFont="1" fillId="0" applyAlignment="1">
      <alignment horizontal="left"/>
    </xf>
    <xf xfId="0" numFmtId="3" applyNumberFormat="1" borderId="2" applyBorder="1" fontId="16" applyFont="1" fillId="5" applyFill="1" applyAlignment="1">
      <alignment horizontal="left"/>
    </xf>
    <xf xfId="0" numFmtId="3" applyNumberFormat="1" borderId="2" applyBorder="1" fontId="16" applyFont="1" fillId="9" applyFill="1" applyAlignment="1">
      <alignment horizontal="left"/>
    </xf>
    <xf xfId="0" numFmtId="3" applyNumberFormat="1" borderId="2" applyBorder="1" fontId="16" applyFont="1" fillId="6" applyFill="1" applyAlignment="1">
      <alignment horizontal="left"/>
    </xf>
    <xf xfId="0" numFmtId="3" applyNumberFormat="1" borderId="1" applyBorder="1" fontId="19" applyFont="1" fillId="0" applyAlignment="1">
      <alignment horizontal="left"/>
    </xf>
    <xf xfId="0" numFmtId="166" applyNumberFormat="1" borderId="1" applyBorder="1" fontId="15" applyFont="1" fillId="0" applyAlignment="1">
      <alignment horizontal="center"/>
    </xf>
    <xf xfId="0" numFmtId="0" borderId="1" applyBorder="1" fontId="16" applyFont="1" fillId="0" applyAlignment="1">
      <alignment horizontal="center"/>
    </xf>
    <xf xfId="0" numFmtId="164" applyNumberFormat="1" borderId="1" applyBorder="1" fontId="17" applyFont="1" fillId="0" applyAlignment="1">
      <alignment horizontal="left"/>
    </xf>
    <xf xfId="0" numFmtId="0" borderId="1" applyBorder="1" fontId="20" applyFont="1" fillId="0" applyAlignment="1">
      <alignment horizontal="left"/>
    </xf>
    <xf xfId="0" numFmtId="3" applyNumberFormat="1" borderId="2" applyBorder="1" fontId="16" applyFont="1" fillId="7" applyFill="1" applyAlignment="1">
      <alignment horizontal="left"/>
    </xf>
    <xf xfId="0" numFmtId="3" applyNumberFormat="1" borderId="2" applyBorder="1" fontId="16" applyFont="1" fillId="8" applyFill="1" applyAlignment="1">
      <alignment horizontal="left"/>
    </xf>
    <xf xfId="0" numFmtId="167" applyNumberFormat="1" borderId="10" applyBorder="1" fontId="13" applyFont="1" fillId="0" applyAlignment="1">
      <alignment horizontal="left"/>
    </xf>
    <xf xfId="0" numFmtId="3" applyNumberFormat="1" borderId="11" applyBorder="1" fontId="13" applyFont="1" fillId="0" applyAlignment="1">
      <alignment horizontal="right"/>
    </xf>
    <xf xfId="0" numFmtId="7" applyNumberFormat="1" borderId="11" applyBorder="1" fontId="13" applyFont="1" fillId="0" applyAlignment="1">
      <alignment horizontal="left"/>
    </xf>
    <xf xfId="0" numFmtId="0" borderId="11" applyBorder="1" fontId="13" applyFont="1" fillId="0" applyAlignment="1">
      <alignment horizontal="left"/>
    </xf>
    <xf xfId="0" numFmtId="164" applyNumberFormat="1" borderId="12" applyBorder="1" fontId="13" applyFont="1" fillId="0" applyAlignment="1">
      <alignment horizontal="left"/>
    </xf>
    <xf xfId="0" numFmtId="167" applyNumberFormat="1" borderId="1" applyBorder="1" fontId="16" applyFont="1" fillId="0" applyAlignment="1">
      <alignment horizontal="left"/>
    </xf>
    <xf xfId="0" numFmtId="3" applyNumberFormat="1" borderId="1" applyBorder="1" fontId="16" applyFont="1" fillId="0" applyAlignment="1">
      <alignment horizontal="right"/>
    </xf>
    <xf xfId="0" numFmtId="7" applyNumberFormat="1" borderId="1" applyBorder="1" fontId="16" applyFont="1" fillId="0" applyAlignment="1">
      <alignment horizontal="left"/>
    </xf>
    <xf xfId="0" numFmtId="167" applyNumberFormat="1" borderId="2" applyBorder="1" fontId="16" applyFont="1" fillId="3" applyFill="1" applyAlignment="1">
      <alignment horizontal="left"/>
    </xf>
    <xf xfId="0" numFmtId="3" applyNumberFormat="1" borderId="2" applyBorder="1" fontId="16" applyFont="1" fillId="3" applyFill="1" applyAlignment="1">
      <alignment horizontal="left"/>
    </xf>
    <xf xfId="0" numFmtId="7" applyNumberFormat="1" borderId="2" applyBorder="1" fontId="16" applyFont="1" fillId="3" applyFill="1" applyAlignment="1">
      <alignment horizontal="left"/>
    </xf>
    <xf xfId="0" numFmtId="0" borderId="2" applyBorder="1" fontId="16" applyFont="1" fillId="3" applyFill="1" applyAlignment="1">
      <alignment horizontal="left"/>
    </xf>
    <xf xfId="0" numFmtId="164" applyNumberFormat="1" borderId="2" applyBorder="1" fontId="16" applyFont="1" fillId="3" applyFill="1" applyAlignment="1">
      <alignment horizontal="left"/>
    </xf>
    <xf xfId="0" numFmtId="3" applyNumberFormat="1" borderId="2" applyBorder="1" fontId="16" applyFont="1" fillId="10" applyFill="1" applyAlignment="1">
      <alignment horizontal="left"/>
    </xf>
    <xf xfId="0" numFmtId="164" applyNumberFormat="1" borderId="1" applyBorder="1" fontId="16" applyFont="1" fillId="0" applyAlignment="1">
      <alignment horizontal="center"/>
    </xf>
    <xf xfId="0" numFmtId="7" applyNumberFormat="1" borderId="1" applyBorder="1" fontId="13" applyFont="1" fillId="0" applyAlignment="1">
      <alignment horizontal="left"/>
    </xf>
    <xf xfId="0" numFmtId="166" applyNumberFormat="1" borderId="0" fontId="0" fillId="0" applyAlignment="1">
      <alignment horizontal="general"/>
    </xf>
    <xf xfId="0" numFmtId="167" applyNumberFormat="1" borderId="0" fontId="0" fillId="0" applyAlignment="1">
      <alignment horizontal="general"/>
    </xf>
    <xf xfId="0" numFmtId="7" applyNumberFormat="1" borderId="0" fontId="0" fillId="0" applyAlignment="1">
      <alignment horizontal="general"/>
    </xf>
    <xf xfId="0" numFmtId="164" applyNumberFormat="1" borderId="0" fontId="0" fillId="0" applyAlignment="1">
      <alignment horizontal="general"/>
    </xf>
    <xf xfId="0" numFmtId="0" borderId="0" fontId="0" fillId="0" applyAlignment="1">
      <alignment wrapText="1"/>
    </xf>
    <xf xfId="0" numFmtId="0" borderId="13" applyBorder="1" fontId="21" applyFont="1" fillId="0" applyAlignment="1">
      <alignment horizontal="left" wrapText="1"/>
    </xf>
    <xf xfId="0" numFmtId="49" applyNumberFormat="1" borderId="13" applyBorder="1" fontId="21" applyFont="1" fillId="0" applyAlignment="1">
      <alignment horizontal="right" wrapText="1"/>
    </xf>
    <xf xfId="0" numFmtId="3" applyNumberFormat="1" borderId="13" applyBorder="1" fontId="21" applyFont="1" fillId="0" applyAlignment="1">
      <alignment horizontal="center" wrapText="1"/>
    </xf>
    <xf xfId="0" numFmtId="0" borderId="13" applyBorder="1" fontId="21" applyFont="1" fillId="0" applyAlignment="1">
      <alignment horizontal="center" wrapText="1"/>
    </xf>
    <xf xfId="0" numFmtId="1" applyNumberFormat="1" borderId="13" applyBorder="1" fontId="21" applyFont="1" fillId="0" applyAlignment="1">
      <alignment horizontal="right" wrapText="1"/>
    </xf>
    <xf xfId="0" numFmtId="3" applyNumberFormat="1" borderId="13" applyBorder="1" fontId="21" applyFont="1" fillId="0" applyAlignment="1">
      <alignment horizontal="left" wrapText="1"/>
    </xf>
    <xf xfId="0" numFmtId="0" borderId="1" applyBorder="1" fontId="22" applyFont="1" fillId="0" applyAlignment="1">
      <alignment horizontal="left" wrapText="1"/>
    </xf>
    <xf xfId="0" numFmtId="0" borderId="1" applyBorder="1" fontId="21" applyFont="1" fillId="0" applyAlignment="1">
      <alignment horizontal="left" wrapText="1"/>
    </xf>
    <xf xfId="0" numFmtId="3" applyNumberFormat="1" borderId="1" applyBorder="1" fontId="22" applyFont="1" fillId="0" applyAlignment="1">
      <alignment horizontal="right" wrapText="1"/>
    </xf>
    <xf xfId="0" numFmtId="3" applyNumberFormat="1" borderId="1" applyBorder="1" fontId="22" applyFont="1" fillId="0" applyAlignment="1">
      <alignment horizontal="center" wrapText="1"/>
    </xf>
    <xf xfId="0" numFmtId="0" borderId="1" applyBorder="1" fontId="22" applyFont="1" fillId="0" applyAlignment="1">
      <alignment horizontal="center" wrapText="1"/>
    </xf>
    <xf xfId="0" numFmtId="166" applyNumberFormat="1" borderId="1" applyBorder="1" fontId="22" applyFont="1" fillId="0" applyAlignment="1">
      <alignment horizontal="right" wrapText="1"/>
    </xf>
    <xf xfId="0" numFmtId="0" borderId="1" applyBorder="1" fontId="6" applyFont="1" fillId="0" applyAlignment="1">
      <alignment horizontal="center" wrapText="1"/>
    </xf>
    <xf xfId="0" numFmtId="0" borderId="1" applyBorder="1" fontId="7" applyFont="1" fillId="0" applyAlignment="1">
      <alignment horizontal="left" wrapText="1"/>
    </xf>
    <xf xfId="0" numFmtId="3" applyNumberFormat="1" borderId="1" applyBorder="1" fontId="22" applyFont="1" fillId="0" applyAlignment="1">
      <alignment horizontal="left" wrapText="1"/>
    </xf>
    <xf xfId="0" numFmtId="49" applyNumberFormat="1" borderId="1" applyBorder="1" fontId="22" applyFont="1" fillId="0" applyAlignment="1">
      <alignment horizontal="right" wrapText="1"/>
    </xf>
    <xf xfId="0" numFmtId="4" applyNumberFormat="1" borderId="1" applyBorder="1" fontId="22" applyFont="1" fillId="0" applyAlignment="1">
      <alignment horizontal="center" wrapText="1"/>
    </xf>
    <xf xfId="0" numFmtId="170" applyNumberFormat="1" borderId="1" applyBorder="1" fontId="22" applyFont="1" fillId="0" applyAlignment="1">
      <alignment horizontal="right" wrapText="1"/>
    </xf>
    <xf xfId="0" numFmtId="0" borderId="1" applyBorder="1" fontId="6" applyFont="1" fillId="0" applyAlignment="1">
      <alignment horizontal="left" wrapText="1"/>
    </xf>
    <xf xfId="0" numFmtId="0" borderId="1" applyBorder="1" fontId="23" applyFont="1" fillId="0" applyAlignment="1">
      <alignment horizontal="center" wrapText="1"/>
    </xf>
    <xf xfId="0" numFmtId="166" applyNumberFormat="1" borderId="1" applyBorder="1" fontId="22" applyFont="1" fillId="0" applyAlignment="1">
      <alignment horizontal="left" wrapText="1"/>
    </xf>
    <xf xfId="0" numFmtId="171" applyNumberFormat="1" borderId="1" applyBorder="1" fontId="22" applyFont="1" fillId="0" applyAlignment="1">
      <alignment horizontal="right" wrapText="1"/>
    </xf>
    <xf xfId="0" numFmtId="1" applyNumberFormat="1" borderId="1" applyBorder="1" fontId="22" applyFont="1" fillId="0" applyAlignment="1">
      <alignment horizontal="right" wrapText="1"/>
    </xf>
    <xf xfId="0" numFmtId="0" borderId="1" applyBorder="1" fontId="24" applyFont="1" fillId="0" applyAlignment="1">
      <alignment horizontal="left" wrapText="1"/>
    </xf>
    <xf xfId="0" numFmtId="49" applyNumberFormat="1" borderId="1" applyBorder="1" fontId="25" applyFont="1" fillId="0" applyAlignment="1">
      <alignment horizontal="left"/>
    </xf>
    <xf xfId="0" numFmtId="3" applyNumberFormat="1" borderId="0" fontId="0" fillId="0" applyAlignment="1">
      <alignment horizontal="center"/>
    </xf>
    <xf xfId="0" numFmtId="0" borderId="0" fontId="0" fillId="0" applyAlignment="1">
      <alignment horizontal="center"/>
    </xf>
    <xf xfId="0" numFmtId="3" applyNumberFormat="1" borderId="1" applyBorder="1" fontId="21" applyFont="1" fillId="0" applyAlignment="1">
      <alignment horizontal="left"/>
    </xf>
    <xf xfId="0" numFmtId="0" borderId="2" applyBorder="1" fontId="5" applyFont="1" fillId="3" applyFill="1" applyAlignment="1">
      <alignment horizontal="left" wrapText="1"/>
    </xf>
    <xf xfId="0" numFmtId="49" applyNumberFormat="1" borderId="2" applyBorder="1" fontId="25" applyFont="1" fillId="3" applyFill="1" applyAlignment="1">
      <alignment horizontal="left"/>
    </xf>
    <xf xfId="0" numFmtId="3" applyNumberFormat="1" borderId="2" applyBorder="1" fontId="24" applyFont="1" fillId="3" applyFill="1" applyAlignment="1">
      <alignment horizontal="left"/>
    </xf>
    <xf xfId="0" numFmtId="0" borderId="2" applyBorder="1" fontId="24" applyFont="1" fillId="3" applyFill="1" applyAlignment="1">
      <alignment horizontal="left"/>
    </xf>
    <xf xfId="0" numFmtId="0" borderId="2" applyBorder="1" fontId="26" applyFont="1" fillId="3" applyFill="1" applyAlignment="1">
      <alignment horizontal="left"/>
    </xf>
    <xf xfId="0" numFmtId="1" applyNumberFormat="1" borderId="2" applyBorder="1" fontId="22" applyFont="1" fillId="3" applyFill="1" applyAlignment="1">
      <alignment horizontal="right" wrapText="1"/>
    </xf>
    <xf xfId="0" numFmtId="0" borderId="2" applyBorder="1" fontId="22" applyFont="1" fillId="3" applyFill="1" applyAlignment="1">
      <alignment horizontal="center" wrapText="1"/>
    </xf>
    <xf xfId="0" numFmtId="3" applyNumberFormat="1" borderId="2" applyBorder="1" fontId="21" applyFont="1" fillId="3" applyFill="1" applyAlignment="1">
      <alignment horizontal="left"/>
    </xf>
    <xf xfId="0" numFmtId="0" borderId="2" applyBorder="1" fontId="22" applyFont="1" fillId="3" applyFill="1" applyAlignment="1">
      <alignment horizontal="left" wrapText="1"/>
    </xf>
    <xf xfId="0" numFmtId="0" borderId="0" fontId="0" fillId="0" applyAlignment="1">
      <alignment horizontal="general" wrapText="1"/>
    </xf>
    <xf xfId="0" numFmtId="49" applyNumberFormat="1" borderId="0" fontId="0" fillId="0" applyAlignment="1">
      <alignment horizontal="right"/>
    </xf>
    <xf xfId="0" numFmtId="3" applyNumberFormat="1" borderId="0" fontId="0" fillId="0" applyAlignment="1">
      <alignment horizontal="center"/>
    </xf>
    <xf xfId="0" numFmtId="0" borderId="0" fontId="0" fillId="0" applyAlignment="1">
      <alignment horizontal="center"/>
    </xf>
    <xf xfId="0" numFmtId="1" applyNumberFormat="1" borderId="0" fontId="0" fillId="0" applyAlignment="1">
      <alignment horizontal="right" wrapText="1"/>
    </xf>
    <xf xfId="0" numFmtId="0" borderId="0" fontId="0" fillId="0" applyAlignment="1">
      <alignment horizontal="center" wrapText="1"/>
    </xf>
    <xf xfId="0" numFmtId="0" borderId="0" fontId="0" fillId="0" applyAlignment="1">
      <alignment horizontal="left" wrapText="1"/>
    </xf>
    <xf xfId="0" numFmtId="3" applyNumberFormat="1" borderId="0" fontId="0" fillId="0" applyAlignment="1">
      <alignment horizontal="left" wrapText="1"/>
    </xf>
    <xf xfId="0" numFmtId="0" borderId="2" applyBorder="1" fontId="27" applyFont="1" fillId="11" applyFill="1" applyAlignment="1">
      <alignment horizontal="left"/>
    </xf>
    <xf xfId="0" numFmtId="0" borderId="2" applyBorder="1" fontId="28" applyFont="1" fillId="11" applyFill="1" applyAlignment="1">
      <alignment horizontal="left"/>
    </xf>
    <xf xfId="0" numFmtId="4" applyNumberFormat="1" borderId="2" applyBorder="1" fontId="29" applyFont="1" fillId="11" applyFill="1" applyAlignment="1">
      <alignment horizontal="left"/>
    </xf>
    <xf xfId="0" numFmtId="4" applyNumberFormat="1" borderId="2" applyBorder="1" fontId="27" applyFont="1" fillId="11" applyFill="1" applyAlignment="1">
      <alignment horizontal="right"/>
    </xf>
    <xf xfId="0" numFmtId="0" borderId="2" applyBorder="1" fontId="27" applyFont="1" fillId="11" applyFill="1" applyAlignment="1">
      <alignment horizontal="right"/>
    </xf>
    <xf xfId="0" numFmtId="3" applyNumberFormat="1" borderId="2" applyBorder="1" fontId="27" applyFont="1" fillId="11" applyFill="1" applyAlignment="1">
      <alignment horizontal="left"/>
    </xf>
    <xf xfId="0" numFmtId="169" applyNumberFormat="1" borderId="2" applyBorder="1" fontId="5" applyFont="1" fillId="11" applyFill="1" applyAlignment="1">
      <alignment horizontal="right"/>
    </xf>
    <xf xfId="0" numFmtId="4" applyNumberFormat="1" borderId="2" applyBorder="1" fontId="28" applyFont="1" fillId="11" applyFill="1" applyAlignment="1">
      <alignment horizontal="left"/>
    </xf>
    <xf xfId="0" numFmtId="0" borderId="2" applyBorder="1" fontId="27" applyFont="1" fillId="11" applyFill="1" applyAlignment="1">
      <alignment horizontal="left"/>
    </xf>
    <xf xfId="0" numFmtId="3" applyNumberFormat="1" borderId="2" applyBorder="1" fontId="27" applyFont="1" fillId="11" applyFill="1" applyAlignment="1">
      <alignment horizontal="right"/>
    </xf>
    <xf xfId="0" numFmtId="0" borderId="2" applyBorder="1" fontId="29" applyFont="1" fillId="11" applyFill="1" applyAlignment="1">
      <alignment horizontal="center"/>
    </xf>
    <xf xfId="0" numFmtId="0" borderId="11" applyBorder="1" fontId="4" applyFont="1" fillId="0" applyAlignment="1">
      <alignment horizontal="left"/>
    </xf>
    <xf xfId="0" numFmtId="4" applyNumberFormat="1" borderId="11" applyBorder="1" fontId="4" applyFont="1" fillId="0" applyAlignment="1">
      <alignment horizontal="right"/>
    </xf>
    <xf xfId="0" numFmtId="4" applyNumberFormat="1" borderId="11" applyBorder="1" fontId="4" applyFont="1" fillId="0" applyAlignment="1">
      <alignment horizontal="left"/>
    </xf>
    <xf xfId="0" numFmtId="0" borderId="11" applyBorder="1" fontId="5" applyFont="1" fillId="0" applyAlignment="1">
      <alignment horizontal="left"/>
    </xf>
    <xf xfId="0" numFmtId="3" applyNumberFormat="1" borderId="11" applyBorder="1" fontId="4" applyFont="1" fillId="0" applyAlignment="1">
      <alignment horizontal="left"/>
    </xf>
    <xf xfId="0" numFmtId="169" applyNumberFormat="1" borderId="11" applyBorder="1" fontId="5" applyFont="1" fillId="0" applyAlignment="1">
      <alignment horizontal="left"/>
    </xf>
    <xf xfId="0" numFmtId="166" applyNumberFormat="1" borderId="11" applyBorder="1" fontId="4" applyFont="1" fillId="0" applyAlignment="1">
      <alignment horizontal="left"/>
    </xf>
    <xf xfId="0" numFmtId="0" borderId="11" applyBorder="1" fontId="4" applyFont="1" fillId="0" applyAlignment="1">
      <alignment horizontal="center"/>
    </xf>
    <xf xfId="0" numFmtId="0" borderId="1" applyBorder="1" fontId="7" applyFont="1" fillId="0" applyAlignment="1">
      <alignment horizontal="left"/>
    </xf>
    <xf xfId="0" numFmtId="169" applyNumberFormat="1" borderId="1" applyBorder="1" fontId="7" applyFont="1" fillId="0" applyAlignment="1">
      <alignment horizontal="left"/>
    </xf>
    <xf xfId="0" numFmtId="166" applyNumberFormat="1" borderId="1" applyBorder="1" fontId="7" applyFont="1" fillId="0" applyAlignment="1">
      <alignment horizontal="left"/>
    </xf>
    <xf xfId="0" numFmtId="0" borderId="1" applyBorder="1" fontId="7" applyFont="1" fillId="0" applyAlignment="1">
      <alignment horizontal="center"/>
    </xf>
    <xf xfId="0" numFmtId="0" borderId="1" applyBorder="1" fontId="30" applyFont="1" fillId="0" applyAlignment="1">
      <alignment horizontal="left"/>
    </xf>
    <xf xfId="0" numFmtId="4" applyNumberFormat="1" borderId="1" applyBorder="1" fontId="31" applyFont="1" fillId="0" applyAlignment="1">
      <alignment horizontal="right"/>
    </xf>
    <xf xfId="0" numFmtId="3" applyNumberFormat="1" borderId="1" applyBorder="1" fontId="31" applyFont="1" fillId="0" applyAlignment="1">
      <alignment horizontal="right"/>
    </xf>
    <xf xfId="0" numFmtId="3" applyNumberFormat="1" borderId="1" applyBorder="1" fontId="31" applyFont="1" fillId="0" applyAlignment="1">
      <alignment horizontal="left"/>
    </xf>
    <xf xfId="0" numFmtId="0" borderId="1" applyBorder="1" fontId="22" applyFont="1" fillId="0" applyAlignment="1">
      <alignment horizontal="left"/>
    </xf>
    <xf xfId="0" numFmtId="0" borderId="1" applyBorder="1" fontId="7" applyFont="1" fillId="0" applyAlignment="1">
      <alignment horizontal="right"/>
    </xf>
    <xf xfId="0" numFmtId="172" applyNumberFormat="1" borderId="1" applyBorder="1" fontId="7" applyFont="1" fillId="0" applyAlignment="1">
      <alignment horizontal="right"/>
    </xf>
    <xf xfId="0" numFmtId="166" applyNumberFormat="1" borderId="1" applyBorder="1" fontId="22" applyFont="1" fillId="0" applyAlignment="1">
      <alignment horizontal="right"/>
    </xf>
    <xf xfId="0" numFmtId="4" applyNumberFormat="1" borderId="1" applyBorder="1" fontId="32" applyFont="1" fillId="0" applyAlignment="1">
      <alignment horizontal="left"/>
    </xf>
    <xf xfId="0" numFmtId="4" applyNumberFormat="1" borderId="1" applyBorder="1" fontId="22" applyFont="1" fillId="0" applyAlignment="1">
      <alignment horizontal="left"/>
    </xf>
    <xf xfId="0" numFmtId="3" applyNumberFormat="1" borderId="1" applyBorder="1" fontId="22" applyFont="1" fillId="0" applyAlignment="1">
      <alignment horizontal="left"/>
    </xf>
    <xf xfId="0" numFmtId="166" applyNumberFormat="1" borderId="1" applyBorder="1" fontId="22" applyFont="1" fillId="0" applyAlignment="1">
      <alignment horizontal="left"/>
    </xf>
    <xf xfId="0" numFmtId="0" borderId="1" applyBorder="1" fontId="33" applyFont="1" fillId="0" applyAlignment="1">
      <alignment horizontal="center"/>
    </xf>
    <xf xfId="0" numFmtId="0" borderId="0" fontId="0" fillId="0" applyAlignment="1">
      <alignment horizontal="left"/>
    </xf>
    <xf xfId="0" numFmtId="4" applyNumberFormat="1" borderId="0" fontId="0" fillId="0" applyAlignment="1">
      <alignment horizontal="right"/>
    </xf>
    <xf xfId="0" numFmtId="0" borderId="0" fontId="0" fillId="0" applyAlignment="1">
      <alignment horizontal="right"/>
    </xf>
    <xf xfId="0" numFmtId="3" applyNumberFormat="1" borderId="0" fontId="0" fillId="0" applyAlignment="1">
      <alignment horizontal="right"/>
    </xf>
    <xf xfId="0" numFmtId="169" applyNumberFormat="1" borderId="0" fontId="0" fillId="0" applyAlignment="1">
      <alignment horizontal="general"/>
    </xf>
    <xf xfId="0" numFmtId="0" borderId="1" applyBorder="1" fontId="4" applyFont="1" fillId="0" applyAlignment="1">
      <alignment horizontal="left"/>
    </xf>
    <xf xfId="0" numFmtId="3" applyNumberFormat="1" borderId="1" applyBorder="1" fontId="34" applyFont="1" fillId="0" applyAlignment="1">
      <alignment horizontal="left"/>
    </xf>
    <xf xfId="0" numFmtId="0" borderId="1" applyBorder="1" fontId="35" applyFont="1" fillId="0" applyAlignment="1">
      <alignment horizontal="left"/>
    </xf>
    <xf xfId="0" numFmtId="3" applyNumberFormat="1" borderId="1" applyBorder="1" fontId="6" applyFont="1" fillId="0" applyAlignment="1">
      <alignment horizontal="left"/>
    </xf>
    <xf xfId="0" numFmtId="0" borderId="1" applyBorder="1" fontId="36" applyFont="1" fillId="0" applyAlignment="1">
      <alignment horizontal="left"/>
    </xf>
    <xf xfId="0" numFmtId="0" borderId="2" applyBorder="1" fontId="7" applyFont="1" fillId="12" applyFill="1" applyAlignment="1">
      <alignment horizontal="left"/>
    </xf>
    <xf xfId="0" numFmtId="172" applyNumberFormat="1" borderId="2" applyBorder="1" fontId="7" applyFont="1" fillId="12" applyFill="1" applyAlignment="1">
      <alignment horizontal="left"/>
    </xf>
    <xf xfId="0" numFmtId="0" borderId="2" applyBorder="1" fontId="7" applyFont="1" fillId="13" applyFill="1" applyAlignment="1">
      <alignment horizontal="left"/>
    </xf>
    <xf xfId="0" numFmtId="169" applyNumberFormat="1" borderId="2" applyBorder="1" fontId="7" applyFont="1" fillId="13" applyFill="1" applyAlignment="1">
      <alignment horizontal="left"/>
    </xf>
    <xf xfId="0" numFmtId="0" borderId="1" applyBorder="1" fontId="32" applyFont="1" fillId="0" applyAlignment="1">
      <alignment horizontal="left"/>
    </xf>
    <xf xfId="0" numFmtId="0" borderId="1" applyBorder="1" fontId="37" applyFont="1" fillId="0" applyAlignment="1">
      <alignment horizontal="left"/>
    </xf>
    <xf xfId="0" numFmtId="3" applyNumberFormat="1" borderId="1" applyBorder="1" fontId="38" applyFont="1" fillId="0" applyAlignment="1">
      <alignment horizontal="left"/>
    </xf>
    <xf xfId="0" numFmtId="0" borderId="1" applyBorder="1" fontId="5" applyFont="1" fillId="0" applyAlignment="1">
      <alignment horizontal="left" wrapText="1"/>
    </xf>
    <xf xfId="0" numFmtId="3" applyNumberFormat="1" borderId="1" applyBorder="1" fontId="39" applyFont="1" fillId="0" applyAlignment="1">
      <alignment horizontal="left"/>
    </xf>
    <xf xfId="0" numFmtId="3" applyNumberFormat="1" borderId="1" applyBorder="1" fontId="36" applyFont="1" fillId="0" applyAlignment="1">
      <alignment horizontal="left"/>
    </xf>
    <xf xfId="0" numFmtId="0" borderId="1" applyBorder="1" fontId="40" applyFont="1" fillId="0" applyAlignment="1">
      <alignment horizontal="left"/>
    </xf>
    <xf xfId="0" numFmtId="3" applyNumberFormat="1" borderId="1" applyBorder="1" fontId="41" applyFont="1" fillId="0" applyAlignment="1">
      <alignment horizontal="left"/>
    </xf>
    <xf xfId="0" numFmtId="0" borderId="2" applyBorder="1" fontId="22" applyFont="1" fillId="13" applyFill="1" applyAlignment="1">
      <alignment horizontal="left"/>
    </xf>
    <xf xfId="0" numFmtId="3" applyNumberFormat="1" borderId="2" applyBorder="1" fontId="42" applyFont="1" fillId="14" applyFill="1" applyAlignment="1">
      <alignment horizontal="left"/>
    </xf>
    <xf xfId="0" numFmtId="0" borderId="2" applyBorder="1" fontId="22" applyFont="1" fillId="13" applyFill="1" applyAlignment="1">
      <alignment horizontal="right"/>
    </xf>
    <xf xfId="0" numFmtId="0" borderId="2" applyBorder="1" fontId="43" applyFont="1" fillId="13" applyFill="1" applyAlignment="1">
      <alignment horizontal="right"/>
    </xf>
    <xf xfId="0" numFmtId="172" applyNumberFormat="1" borderId="2" applyBorder="1" fontId="7" applyFont="1" fillId="7" applyFill="1" applyAlignment="1">
      <alignment horizontal="right"/>
    </xf>
    <xf xfId="0" numFmtId="169" applyNumberFormat="1" borderId="2" applyBorder="1" fontId="7" applyFont="1" fillId="15" applyFill="1" applyAlignment="1">
      <alignment horizontal="right"/>
    </xf>
    <xf xfId="0" numFmtId="0" borderId="2" applyBorder="1" fontId="7" applyFont="1" fillId="16" applyFill="1" applyAlignment="1">
      <alignment horizontal="center"/>
    </xf>
    <xf xfId="0" numFmtId="0" borderId="2" applyBorder="1" fontId="7" applyFont="1" fillId="17" applyFill="1" applyAlignment="1">
      <alignment horizontal="center"/>
    </xf>
    <xf xfId="0" numFmtId="0" borderId="2" applyBorder="1" fontId="7" applyFont="1" fillId="18" applyFill="1" applyAlignment="1">
      <alignment horizontal="center"/>
    </xf>
    <xf xfId="0" numFmtId="0" borderId="2" applyBorder="1" fontId="44" applyFont="1" fillId="13" applyFill="1" applyAlignment="1">
      <alignment horizontal="left"/>
    </xf>
    <xf xfId="0" numFmtId="166" applyNumberFormat="1" borderId="2" applyBorder="1" fontId="22" applyFont="1" fillId="13" applyFill="1" applyAlignment="1">
      <alignment horizontal="right"/>
    </xf>
    <xf xfId="0" numFmtId="0" borderId="2" applyBorder="1" fontId="7" applyFont="1" fillId="13" applyFill="1" applyAlignment="1">
      <alignment horizontal="center"/>
    </xf>
    <xf xfId="0" numFmtId="0" borderId="2" applyBorder="1" fontId="45" applyFont="1" fillId="13" applyFill="1" applyAlignment="1">
      <alignment horizontal="left"/>
    </xf>
    <xf xfId="0" numFmtId="0" borderId="2" applyBorder="1" fontId="46" applyFont="1" fillId="13" applyFill="1" applyAlignment="1">
      <alignment horizontal="center"/>
    </xf>
    <xf xfId="0" numFmtId="0" borderId="1" applyBorder="1" fontId="46" applyFont="1" fillId="0" applyAlignment="1">
      <alignment horizontal="right"/>
    </xf>
    <xf xfId="0" numFmtId="0" borderId="1" applyBorder="1" fontId="47" applyFont="1" fillId="0" applyAlignment="1">
      <alignment horizontal="left"/>
    </xf>
    <xf xfId="0" numFmtId="0" borderId="1" applyBorder="1" fontId="48" applyFont="1" fillId="0" applyAlignment="1">
      <alignment horizontal="left"/>
    </xf>
    <xf xfId="0" numFmtId="173" applyNumberFormat="1" borderId="1" applyBorder="1" fontId="35" applyFont="1" fillId="0" applyAlignment="1">
      <alignment horizontal="right"/>
    </xf>
    <xf xfId="0" numFmtId="3" applyNumberFormat="1" borderId="1" applyBorder="1" fontId="35" applyFont="1" fillId="0" applyAlignment="1">
      <alignment horizontal="left"/>
    </xf>
    <xf xfId="0" numFmtId="0" borderId="1" applyBorder="1" fontId="47" applyFont="1" fillId="0" applyAlignment="1">
      <alignment horizontal="left"/>
    </xf>
    <xf xfId="0" numFmtId="0" borderId="2" applyBorder="1" fontId="49" applyFont="1" fillId="13" applyFill="1" applyAlignment="1">
      <alignment horizontal="center"/>
    </xf>
    <xf xfId="0" numFmtId="3" applyNumberFormat="1" borderId="0" fontId="0" fillId="0" applyAlignment="1">
      <alignment horizontal="left"/>
    </xf>
    <xf xfId="0" numFmtId="0" borderId="0" fontId="0" fillId="0" applyAlignment="1">
      <alignment horizontal="left"/>
    </xf>
    <xf xfId="0" numFmtId="166" applyNumberFormat="1" borderId="0" fontId="0" fillId="0" applyAlignment="1">
      <alignment horizontal="left"/>
    </xf>
    <xf xfId="0" numFmtId="166" applyNumberFormat="1" borderId="0" fontId="0" fillId="0" applyAlignment="1">
      <alignment horizontal="center"/>
    </xf>
    <xf xfId="0" numFmtId="4" applyNumberFormat="1" borderId="0" fontId="0" fillId="0" applyAlignment="1">
      <alignment horizontal="center"/>
    </xf>
    <xf xfId="0" numFmtId="0" borderId="2" applyBorder="1" fontId="50" applyFont="1" fillId="19" applyFill="1" applyAlignment="1">
      <alignment horizontal="left"/>
    </xf>
    <xf xfId="0" numFmtId="3" applyNumberFormat="1" borderId="2" applyBorder="1" fontId="50" applyFont="1" fillId="19" applyFill="1" applyAlignment="1">
      <alignment horizontal="center"/>
    </xf>
    <xf xfId="0" numFmtId="0" borderId="2" applyBorder="1" fontId="1" applyFont="1" fillId="19" applyFill="1" applyAlignment="1">
      <alignment horizontal="center"/>
    </xf>
    <xf xfId="0" numFmtId="166" applyNumberFormat="1" borderId="2" applyBorder="1" fontId="50" applyFont="1" fillId="19" applyFill="1" applyAlignment="1">
      <alignment horizontal="left"/>
    </xf>
    <xf xfId="0" numFmtId="166" applyNumberFormat="1" borderId="2" applyBorder="1" fontId="50" applyFont="1" fillId="19" applyFill="1" applyAlignment="1">
      <alignment horizontal="center"/>
    </xf>
    <xf xfId="0" numFmtId="4" applyNumberFormat="1" borderId="2" applyBorder="1" fontId="50" applyFont="1" fillId="19" applyFill="1" applyAlignment="1">
      <alignment horizontal="center"/>
    </xf>
    <xf xfId="0" numFmtId="0" borderId="2" applyBorder="1" fontId="50" applyFont="1" fillId="19" applyFill="1" applyAlignment="1">
      <alignment horizontal="left"/>
    </xf>
    <xf xfId="0" numFmtId="0" borderId="2" applyBorder="1" fontId="51" applyFont="1" fillId="19" applyFill="1" applyAlignment="1">
      <alignment horizontal="left"/>
    </xf>
    <xf xfId="0" numFmtId="3" applyNumberFormat="1" borderId="1" applyBorder="1" fontId="51" applyFont="1" fillId="0" applyAlignment="1">
      <alignment horizontal="center"/>
    </xf>
    <xf xfId="0" numFmtId="0" borderId="1" applyBorder="1" fontId="52" applyFont="1" fillId="0" applyAlignment="1">
      <alignment horizontal="center"/>
    </xf>
    <xf xfId="0" numFmtId="0" borderId="1" applyBorder="1" fontId="51" applyFont="1" fillId="0" applyAlignment="1">
      <alignment horizontal="left"/>
    </xf>
    <xf xfId="0" numFmtId="166" applyNumberFormat="1" borderId="1" applyBorder="1" fontId="53" applyFont="1" fillId="0" applyAlignment="1">
      <alignment horizontal="left"/>
    </xf>
    <xf xfId="0" numFmtId="166" applyNumberFormat="1" borderId="1" applyBorder="1" fontId="53" applyFont="1" fillId="0" applyAlignment="1">
      <alignment horizontal="center"/>
    </xf>
    <xf xfId="0" numFmtId="4" applyNumberFormat="1" borderId="1" applyBorder="1" fontId="51" applyFont="1" fillId="0" applyAlignment="1">
      <alignment horizontal="center"/>
    </xf>
    <xf xfId="0" numFmtId="0" borderId="1" applyBorder="1" fontId="53" applyFont="1" fillId="0" applyAlignment="1">
      <alignment horizontal="left"/>
    </xf>
    <xf xfId="0" numFmtId="0" borderId="1" applyBorder="1" fontId="52" applyFont="1" fillId="0" applyAlignment="1">
      <alignment horizontal="center"/>
    </xf>
    <xf xfId="0" numFmtId="0" borderId="1" applyBorder="1" fontId="54" applyFont="1" fillId="0" applyAlignment="1">
      <alignment horizontal="left"/>
    </xf>
    <xf xfId="0" numFmtId="0" borderId="2" applyBorder="1" fontId="55" applyFont="1" fillId="19" applyFill="1" applyAlignment="1">
      <alignment horizontal="left"/>
    </xf>
    <xf xfId="0" numFmtId="3" applyNumberFormat="1" borderId="1" applyBorder="1" fontId="55" applyFont="1" fillId="0" applyAlignment="1">
      <alignment horizontal="center"/>
    </xf>
    <xf xfId="0" numFmtId="0" borderId="1" applyBorder="1" fontId="56" applyFont="1" fillId="0" applyAlignment="1">
      <alignment horizontal="center"/>
    </xf>
    <xf xfId="0" numFmtId="0" borderId="1" applyBorder="1" fontId="55" applyFont="1" fillId="0" applyAlignment="1">
      <alignment horizontal="left"/>
    </xf>
    <xf xfId="0" numFmtId="166" applyNumberFormat="1" borderId="1" applyBorder="1" fontId="57" applyFont="1" fillId="0" applyAlignment="1">
      <alignment horizontal="left"/>
    </xf>
    <xf xfId="0" numFmtId="166" applyNumberFormat="1" borderId="1" applyBorder="1" fontId="58" applyFont="1" fillId="0" applyAlignment="1">
      <alignment horizontal="center"/>
    </xf>
    <xf xfId="0" numFmtId="4" applyNumberFormat="1" borderId="1" applyBorder="1" fontId="55" applyFont="1" fillId="0" applyAlignment="1">
      <alignment horizontal="center"/>
    </xf>
    <xf xfId="0" numFmtId="0" borderId="1" applyBorder="1" fontId="58" applyFont="1" fillId="0" applyAlignment="1">
      <alignment horizontal="left"/>
    </xf>
    <xf xfId="0" numFmtId="0" borderId="2" applyBorder="1" fontId="59" applyFont="1" fillId="19" applyFill="1" applyAlignment="1">
      <alignment horizontal="left"/>
    </xf>
    <xf xfId="0" numFmtId="166" applyNumberFormat="1" borderId="1" applyBorder="1" fontId="58" applyFont="1" fillId="0" applyAlignment="1">
      <alignment horizontal="left"/>
    </xf>
    <xf xfId="0" numFmtId="0" borderId="2" applyBorder="1" fontId="60" applyFont="1" fillId="19" applyFill="1" applyAlignment="1">
      <alignment horizontal="left"/>
    </xf>
    <xf xfId="0" numFmtId="3" applyNumberFormat="1" borderId="1" applyBorder="1" fontId="61" applyFont="1" fillId="0" applyAlignment="1">
      <alignment horizontal="center"/>
    </xf>
    <xf xfId="0" numFmtId="0" borderId="1" applyBorder="1" fontId="62" applyFont="1" fillId="0" applyAlignment="1">
      <alignment horizontal="center"/>
    </xf>
    <xf xfId="0" numFmtId="0" borderId="1" applyBorder="1" fontId="63" applyFont="1" fillId="0" applyAlignment="1">
      <alignment horizontal="left"/>
    </xf>
    <xf xfId="0" numFmtId="166" applyNumberFormat="1" borderId="1" applyBorder="1" fontId="62" applyFont="1" fillId="0" applyAlignment="1">
      <alignment horizontal="left"/>
    </xf>
    <xf xfId="0" numFmtId="166" applyNumberFormat="1" borderId="1" applyBorder="1" fontId="62" applyFont="1" fillId="0" applyAlignment="1">
      <alignment horizontal="center"/>
    </xf>
    <xf xfId="0" numFmtId="3" applyNumberFormat="1" borderId="1" applyBorder="1" fontId="63" applyFont="1" fillId="0" applyAlignment="1">
      <alignment horizontal="center"/>
    </xf>
    <xf xfId="0" numFmtId="0" borderId="1" applyBorder="1" fontId="62" applyFont="1" fillId="0" applyAlignment="1">
      <alignment horizontal="left"/>
    </xf>
    <xf xfId="0" numFmtId="0" borderId="2" applyBorder="1" fontId="15" applyFont="1" fillId="19" applyFill="1" applyAlignment="1">
      <alignment horizontal="left"/>
    </xf>
    <xf xfId="0" numFmtId="3" applyNumberFormat="1" borderId="2" applyBorder="1" fontId="64" applyFont="1" fillId="19" applyFill="1" applyAlignment="1">
      <alignment horizontal="left"/>
    </xf>
    <xf xfId="0" numFmtId="0" borderId="2" applyBorder="1" fontId="64" applyFont="1" fillId="19" applyFill="1" applyAlignment="1">
      <alignment horizontal="center"/>
    </xf>
    <xf xfId="0" numFmtId="166" applyNumberFormat="1" borderId="2" applyBorder="1" fontId="15" applyFont="1" fillId="19" applyFill="1" applyAlignment="1">
      <alignment horizontal="left"/>
    </xf>
    <xf xfId="0" numFmtId="4" applyNumberFormat="1" borderId="2" applyBorder="1" fontId="65" applyFont="1" fillId="19" applyFill="1" applyAlignment="1">
      <alignment horizontal="right"/>
    </xf>
    <xf xfId="0" numFmtId="166" applyNumberFormat="1" borderId="2" applyBorder="1" fontId="64" applyFont="1" fillId="19" applyFill="1" applyAlignment="1">
      <alignment horizontal="left"/>
    </xf>
    <xf xfId="0" numFmtId="3" applyNumberFormat="1" borderId="2" applyBorder="1" fontId="65" applyFont="1" fillId="19" applyFill="1" applyAlignment="1">
      <alignment horizontal="right"/>
    </xf>
    <xf xfId="0" numFmtId="0" borderId="1" applyBorder="1" fontId="60" applyFont="1" fillId="0" applyAlignment="1">
      <alignment horizontal="center"/>
    </xf>
    <xf xfId="0" numFmtId="3" applyNumberFormat="1" borderId="1" applyBorder="1" fontId="66" applyFont="1" fillId="0" applyAlignment="1">
      <alignment horizontal="left"/>
    </xf>
    <xf xfId="0" numFmtId="0" borderId="1" applyBorder="1" fontId="56" applyFont="1" fillId="0" applyAlignment="1">
      <alignment horizontal="center"/>
    </xf>
    <xf xfId="0" numFmtId="0" borderId="1" applyBorder="1" fontId="60" applyFont="1" fillId="0" applyAlignment="1">
      <alignment horizontal="left"/>
    </xf>
    <xf xfId="0" numFmtId="166" applyNumberFormat="1" borderId="1" applyBorder="1" fontId="67" applyFont="1" fillId="0" applyAlignment="1">
      <alignment horizontal="left"/>
    </xf>
    <xf xfId="0" numFmtId="166" applyNumberFormat="1" borderId="1" applyBorder="1" fontId="68" applyFont="1" fillId="0" applyAlignment="1">
      <alignment horizontal="center"/>
    </xf>
    <xf xfId="0" numFmtId="4" applyNumberFormat="1" borderId="1" applyBorder="1" fontId="60" applyFont="1" fillId="0" applyAlignment="1">
      <alignment horizontal="center"/>
    </xf>
    <xf xfId="0" numFmtId="3" applyNumberFormat="1" borderId="1" applyBorder="1" fontId="60" applyFont="1" fillId="0" applyAlignment="1">
      <alignment horizontal="center"/>
    </xf>
    <xf xfId="0" numFmtId="0" borderId="1" applyBorder="1" fontId="69" applyFont="1" fillId="0" applyAlignment="1">
      <alignment horizontal="center"/>
    </xf>
    <xf xfId="0" numFmtId="0" borderId="1" applyBorder="1" fontId="68" applyFont="1" fillId="0" applyAlignment="1">
      <alignment horizontal="left"/>
    </xf>
    <xf xfId="0" numFmtId="0" borderId="2" applyBorder="1" fontId="50" applyFont="1" fillId="19" applyFill="1" applyAlignment="1">
      <alignment horizontal="center"/>
    </xf>
    <xf xfId="0" numFmtId="3" applyNumberFormat="1" borderId="2" applyBorder="1" fontId="60" applyFont="1" fillId="13" applyFill="1" applyAlignment="1">
      <alignment horizontal="left"/>
    </xf>
    <xf xfId="0" numFmtId="0" borderId="2" applyBorder="1" fontId="1" applyFont="1" fillId="13" applyFill="1" applyAlignment="1">
      <alignment horizontal="center"/>
    </xf>
    <xf xfId="0" numFmtId="0" borderId="2" applyBorder="1" fontId="50" applyFont="1" fillId="13" applyFill="1" applyAlignment="1">
      <alignment horizontal="left"/>
    </xf>
    <xf xfId="0" numFmtId="166" applyNumberFormat="1" borderId="2" applyBorder="1" fontId="50" applyFont="1" fillId="13" applyFill="1" applyAlignment="1">
      <alignment horizontal="center"/>
    </xf>
    <xf xfId="0" numFmtId="3" applyNumberFormat="1" borderId="2" applyBorder="1" fontId="50" applyFont="1" fillId="13" applyFill="1" applyAlignment="1">
      <alignment horizontal="center"/>
    </xf>
    <xf xfId="0" numFmtId="0" borderId="2" applyBorder="1" fontId="51" applyFont="1" fillId="19" applyFill="1" applyAlignment="1">
      <alignment horizontal="center"/>
    </xf>
    <xf xfId="0" numFmtId="3" applyNumberFormat="1" borderId="2" applyBorder="1" fontId="51" applyFont="1" fillId="13" applyFill="1" applyAlignment="1">
      <alignment horizontal="center"/>
    </xf>
    <xf xfId="0" numFmtId="0" borderId="2" applyBorder="1" fontId="52" applyFont="1" fillId="13" applyFill="1" applyAlignment="1">
      <alignment horizontal="center"/>
    </xf>
    <xf xfId="0" numFmtId="0" borderId="2" applyBorder="1" fontId="51" applyFont="1" fillId="13" applyFill="1" applyAlignment="1">
      <alignment horizontal="left"/>
    </xf>
    <xf xfId="0" numFmtId="0" borderId="2" applyBorder="1" fontId="53" applyFont="1" fillId="13" applyFill="1" applyAlignment="1">
      <alignment horizontal="left"/>
    </xf>
    <xf xfId="0" numFmtId="166" applyNumberFormat="1" borderId="2" applyBorder="1" fontId="53" applyFont="1" fillId="13" applyFill="1" applyAlignment="1">
      <alignment horizontal="center"/>
    </xf>
    <xf xfId="0" numFmtId="0" borderId="2" applyBorder="1" fontId="55" applyFont="1" fillId="19" applyFill="1" applyAlignment="1">
      <alignment horizontal="center"/>
    </xf>
    <xf xfId="0" numFmtId="3" applyNumberFormat="1" borderId="2" applyBorder="1" fontId="55" applyFont="1" fillId="13" applyFill="1" applyAlignment="1">
      <alignment horizontal="center"/>
    </xf>
    <xf xfId="0" numFmtId="0" borderId="2" applyBorder="1" fontId="56" applyFont="1" fillId="13" applyFill="1" applyAlignment="1">
      <alignment horizontal="center"/>
    </xf>
    <xf xfId="0" numFmtId="0" borderId="2" applyBorder="1" fontId="55" applyFont="1" fillId="13" applyFill="1" applyAlignment="1">
      <alignment horizontal="left"/>
    </xf>
    <xf xfId="0" numFmtId="0" borderId="2" applyBorder="1" fontId="58" applyFont="1" fillId="13" applyFill="1" applyAlignment="1">
      <alignment horizontal="left"/>
    </xf>
    <xf xfId="0" numFmtId="166" applyNumberFormat="1" borderId="2" applyBorder="1" fontId="58" applyFont="1" fillId="13" applyFill="1" applyAlignment="1">
      <alignment horizontal="center"/>
    </xf>
    <xf xfId="0" numFmtId="0" borderId="2" applyBorder="1" fontId="59" applyFont="1" fillId="19" applyFill="1" applyAlignment="1">
      <alignment horizontal="center"/>
    </xf>
    <xf xfId="0" numFmtId="3" applyNumberFormat="1" borderId="1" applyBorder="1" fontId="59" applyFont="1" fillId="0" applyAlignment="1">
      <alignment horizontal="center"/>
    </xf>
    <xf xfId="0" numFmtId="0" borderId="1" applyBorder="1" fontId="70" applyFont="1" fillId="0" applyAlignment="1">
      <alignment horizontal="center"/>
    </xf>
    <xf xfId="0" numFmtId="0" borderId="1" applyBorder="1" fontId="59" applyFont="1" fillId="0" applyAlignment="1">
      <alignment horizontal="left"/>
    </xf>
    <xf xfId="0" numFmtId="166" applyNumberFormat="1" borderId="1" applyBorder="1" fontId="71" applyFont="1" fillId="0" applyAlignment="1">
      <alignment horizontal="left"/>
    </xf>
    <xf xfId="0" numFmtId="166" applyNumberFormat="1" borderId="1" applyBorder="1" fontId="71" applyFont="1" fillId="0" applyAlignment="1">
      <alignment horizontal="center"/>
    </xf>
    <xf xfId="0" numFmtId="3" applyNumberFormat="1" borderId="2" applyBorder="1" fontId="59" applyFont="1" fillId="13" applyFill="1" applyAlignment="1">
      <alignment horizontal="center"/>
    </xf>
    <xf xfId="0" numFmtId="0" borderId="2" applyBorder="1" fontId="70" applyFont="1" fillId="13" applyFill="1" applyAlignment="1">
      <alignment horizontal="center"/>
    </xf>
    <xf xfId="0" numFmtId="0" borderId="2" applyBorder="1" fontId="59" applyFont="1" fillId="13" applyFill="1" applyAlignment="1">
      <alignment horizontal="left"/>
    </xf>
    <xf xfId="0" numFmtId="0" borderId="2" applyBorder="1" fontId="71" applyFont="1" fillId="13" applyFill="1" applyAlignment="1">
      <alignment horizontal="left"/>
    </xf>
    <xf xfId="0" numFmtId="166" applyNumberFormat="1" borderId="2" applyBorder="1" fontId="71" applyFont="1" fillId="13" applyFill="1" applyAlignment="1">
      <alignment horizontal="center"/>
    </xf>
    <xf xfId="0" numFmtId="0" borderId="2" applyBorder="1" fontId="15" applyFont="1" fillId="19" applyFill="1" applyAlignment="1">
      <alignment horizontal="center"/>
    </xf>
    <xf xfId="0" numFmtId="3" applyNumberFormat="1" borderId="2" applyBorder="1" fontId="15" applyFont="1" fillId="13" applyFill="1" applyAlignment="1">
      <alignment horizontal="center"/>
    </xf>
    <xf xfId="0" numFmtId="0" borderId="2" applyBorder="1" fontId="15" applyFont="1" fillId="13" applyFill="1" applyAlignment="1">
      <alignment horizontal="center"/>
    </xf>
    <xf xfId="0" numFmtId="0" borderId="2" applyBorder="1" fontId="15" applyFont="1" fillId="13" applyFill="1" applyAlignment="1">
      <alignment horizontal="left"/>
    </xf>
    <xf xfId="0" numFmtId="0" borderId="2" applyBorder="1" fontId="16" applyFont="1" fillId="13" applyFill="1" applyAlignment="1">
      <alignment horizontal="center"/>
    </xf>
    <xf xfId="0" numFmtId="166" applyNumberFormat="1" borderId="2" applyBorder="1" fontId="16" applyFont="1" fillId="13" applyFill="1" applyAlignment="1">
      <alignment horizontal="center"/>
    </xf>
    <xf xfId="0" numFmtId="3" applyNumberFormat="1" borderId="1" applyBorder="1" fontId="60" applyFont="1" fillId="0" applyAlignment="1">
      <alignment horizontal="left"/>
    </xf>
    <xf xfId="0" numFmtId="166" applyNumberFormat="1" borderId="1" applyBorder="1" fontId="66" applyFont="1" fillId="0" applyAlignment="1">
      <alignment horizontal="left"/>
    </xf>
    <xf xfId="0" numFmtId="0" borderId="2" applyBorder="1" fontId="24" applyFont="1" fillId="20" applyFill="1" applyAlignment="1">
      <alignment horizontal="left"/>
    </xf>
    <xf xfId="0" numFmtId="3" applyNumberFormat="1" borderId="2" applyBorder="1" fontId="50" applyFont="1" fillId="20" applyFill="1" applyAlignment="1">
      <alignment horizontal="center"/>
    </xf>
    <xf xfId="0" numFmtId="0" borderId="2" applyBorder="1" fontId="50" applyFont="1" fillId="20" applyFill="1" applyAlignment="1">
      <alignment horizontal="left"/>
    </xf>
    <xf xfId="0" numFmtId="166" applyNumberFormat="1" borderId="2" applyBorder="1" fontId="50" applyFont="1" fillId="20" applyFill="1" applyAlignment="1">
      <alignment horizontal="left"/>
    </xf>
    <xf xfId="0" numFmtId="166" applyNumberFormat="1" borderId="2" applyBorder="1" fontId="50" applyFont="1" fillId="20" applyFill="1" applyAlignment="1">
      <alignment horizontal="center"/>
    </xf>
    <xf xfId="0" numFmtId="4" applyNumberFormat="1" borderId="2" applyBorder="1" fontId="50" applyFont="1" fillId="20" applyFill="1" applyAlignment="1">
      <alignment horizontal="center"/>
    </xf>
    <xf xfId="0" numFmtId="0" borderId="2" applyBorder="1" fontId="50" applyFont="1" fillId="20" applyFill="1" applyAlignment="1">
      <alignment horizontal="left"/>
    </xf>
    <xf xfId="0" numFmtId="0" borderId="2" applyBorder="1" fontId="51" applyFont="1" fillId="13" applyFill="1" applyAlignment="1">
      <alignment horizontal="left"/>
    </xf>
    <xf xfId="0" numFmtId="166" applyNumberFormat="1" borderId="2" applyBorder="1" fontId="53" applyFont="1" fillId="13" applyFill="1" applyAlignment="1">
      <alignment horizontal="left"/>
    </xf>
    <xf xfId="0" numFmtId="4" applyNumberFormat="1" borderId="2" applyBorder="1" fontId="51" applyFont="1" fillId="13" applyFill="1" applyAlignment="1">
      <alignment horizontal="center"/>
    </xf>
    <xf xfId="0" numFmtId="0" borderId="2" applyBorder="1" fontId="53" applyFont="1" fillId="13" applyFill="1" applyAlignment="1">
      <alignment horizontal="left"/>
    </xf>
    <xf xfId="0" numFmtId="3" applyNumberFormat="1" borderId="2" applyBorder="1" fontId="51" applyFont="1" fillId="21" applyFill="1" applyAlignment="1">
      <alignment horizontal="center"/>
    </xf>
    <xf xfId="0" numFmtId="0" borderId="2" applyBorder="1" fontId="52" applyFont="1" fillId="21" applyFill="1" applyAlignment="1">
      <alignment horizontal="center"/>
    </xf>
    <xf xfId="0" numFmtId="0" borderId="2" applyBorder="1" fontId="51" applyFont="1" fillId="21" applyFill="1" applyAlignment="1">
      <alignment horizontal="left"/>
    </xf>
    <xf xfId="0" numFmtId="166" applyNumberFormat="1" borderId="2" applyBorder="1" fontId="53" applyFont="1" fillId="21" applyFill="1" applyAlignment="1">
      <alignment horizontal="left"/>
    </xf>
    <xf xfId="0" numFmtId="166" applyNumberFormat="1" borderId="2" applyBorder="1" fontId="53" applyFont="1" fillId="21" applyFill="1" applyAlignment="1">
      <alignment horizontal="center"/>
    </xf>
    <xf xfId="0" numFmtId="4" applyNumberFormat="1" borderId="2" applyBorder="1" fontId="51" applyFont="1" fillId="21" applyFill="1" applyAlignment="1">
      <alignment horizontal="center"/>
    </xf>
    <xf xfId="0" numFmtId="0" borderId="2" applyBorder="1" fontId="53" applyFont="1" fillId="21" applyFill="1" applyAlignment="1">
      <alignment horizontal="left"/>
    </xf>
    <xf xfId="0" numFmtId="0" borderId="2" applyBorder="1" fontId="52" applyFont="1" fillId="13" applyFill="1" applyAlignment="1">
      <alignment horizontal="center"/>
    </xf>
    <xf xfId="0" numFmtId="0" borderId="2" applyBorder="1" fontId="56" applyFont="1" fillId="13" applyFill="1" applyAlignment="1">
      <alignment horizontal="center"/>
    </xf>
    <xf xfId="0" numFmtId="0" borderId="2" applyBorder="1" fontId="55" applyFont="1" fillId="13" applyFill="1" applyAlignment="1">
      <alignment horizontal="left"/>
    </xf>
    <xf xfId="0" numFmtId="166" applyNumberFormat="1" borderId="2" applyBorder="1" fontId="58" applyFont="1" fillId="13" applyFill="1" applyAlignment="1">
      <alignment horizontal="left"/>
    </xf>
    <xf xfId="0" numFmtId="4" applyNumberFormat="1" borderId="2" applyBorder="1" fontId="55" applyFont="1" fillId="13" applyFill="1" applyAlignment="1">
      <alignment horizontal="center"/>
    </xf>
    <xf xfId="0" numFmtId="0" borderId="2" applyBorder="1" fontId="58" applyFont="1" fillId="13" applyFill="1" applyAlignment="1">
      <alignment horizontal="left"/>
    </xf>
    <xf xfId="0" numFmtId="3" applyNumberFormat="1" borderId="2" applyBorder="1" fontId="59" applyFont="1" fillId="21" applyFill="1" applyAlignment="1">
      <alignment horizontal="center"/>
    </xf>
    <xf xfId="0" numFmtId="0" borderId="2" applyBorder="1" fontId="70" applyFont="1" fillId="21" applyFill="1" applyAlignment="1">
      <alignment horizontal="center"/>
    </xf>
    <xf xfId="0" numFmtId="0" borderId="2" applyBorder="1" fontId="59" applyFont="1" fillId="21" applyFill="1" applyAlignment="1">
      <alignment horizontal="left"/>
    </xf>
    <xf xfId="0" numFmtId="166" applyNumberFormat="1" borderId="2" applyBorder="1" fontId="71" applyFont="1" fillId="21" applyFill="1" applyAlignment="1">
      <alignment horizontal="left"/>
    </xf>
    <xf xfId="0" numFmtId="166" applyNumberFormat="1" borderId="2" applyBorder="1" fontId="71" applyFont="1" fillId="21" applyFill="1" applyAlignment="1">
      <alignment horizontal="center"/>
    </xf>
    <xf xfId="0" numFmtId="4" applyNumberFormat="1" borderId="2" applyBorder="1" fontId="59" applyFont="1" fillId="21" applyFill="1" applyAlignment="1">
      <alignment horizontal="center"/>
    </xf>
    <xf xfId="0" numFmtId="0" borderId="2" applyBorder="1" fontId="71" applyFont="1" fillId="21" applyFill="1" applyAlignment="1">
      <alignment horizontal="left"/>
    </xf>
    <xf xfId="0" numFmtId="3" applyNumberFormat="1" borderId="2" applyBorder="1" fontId="72" applyFont="1" fillId="20" applyFill="1" applyAlignment="1">
      <alignment horizontal="left"/>
    </xf>
    <xf xfId="0" numFmtId="0" borderId="2" applyBorder="1" fontId="24" applyFont="1" fillId="20" applyFill="1" applyAlignment="1">
      <alignment horizontal="left"/>
    </xf>
    <xf xfId="0" numFmtId="166" applyNumberFormat="1" borderId="2" applyBorder="1" fontId="24" applyFont="1" fillId="20" applyFill="1" applyAlignment="1">
      <alignment horizontal="left"/>
    </xf>
    <xf xfId="0" numFmtId="4" applyNumberFormat="1" borderId="2" applyBorder="1" fontId="24" applyFont="1" fillId="20" applyFill="1" applyAlignment="1">
      <alignment horizontal="left"/>
    </xf>
    <xf xfId="0" numFmtId="3" applyNumberFormat="1" borderId="2" applyBorder="1" fontId="24" applyFont="1" fillId="20" applyFill="1" applyAlignment="1">
      <alignment horizontal="left"/>
    </xf>
    <xf xfId="0" numFmtId="0" borderId="2" applyBorder="1" fontId="73" applyFont="1" fillId="20" applyFill="1" applyAlignment="1">
      <alignment horizontal="left"/>
    </xf>
    <xf xfId="0" numFmtId="0" borderId="1" applyBorder="1" fontId="69" applyFont="1" fillId="0" applyAlignment="1">
      <alignment horizontal="center"/>
    </xf>
    <xf xfId="0" numFmtId="3" applyNumberFormat="1" borderId="0" fontId="0" fillId="0" applyAlignment="1">
      <alignment horizontal="left"/>
    </xf>
    <xf xfId="0" numFmtId="166" applyNumberFormat="1" borderId="0" fontId="0" fillId="0" applyAlignment="1">
      <alignment horizontal="left"/>
    </xf>
    <xf xfId="0" numFmtId="166" applyNumberFormat="1" borderId="0" fontId="0" fillId="0" applyAlignment="1">
      <alignment horizontal="center"/>
    </xf>
    <xf xfId="0" numFmtId="4" applyNumberFormat="1" borderId="0" fontId="0" fillId="0" applyAlignment="1">
      <alignment horizontal="center"/>
    </xf>
    <xf xfId="0" numFmtId="0" borderId="2" applyBorder="1" fontId="74" applyFont="1" fillId="19" applyFill="1" applyAlignment="1">
      <alignment horizontal="right"/>
    </xf>
    <xf xfId="0" numFmtId="0" borderId="2" applyBorder="1" fontId="75" applyFont="1" fillId="19" applyFill="1" applyAlignment="1">
      <alignment horizontal="left"/>
    </xf>
    <xf xfId="0" numFmtId="0" borderId="2" applyBorder="1" fontId="76" applyFont="1" fillId="19" applyFill="1" applyAlignment="1">
      <alignment horizontal="left"/>
    </xf>
    <xf xfId="0" numFmtId="4" applyNumberFormat="1" borderId="2" applyBorder="1" fontId="74" applyFont="1" fillId="19" applyFill="1" applyAlignment="1">
      <alignment horizontal="right"/>
    </xf>
    <xf xfId="0" numFmtId="172" applyNumberFormat="1" borderId="2" applyBorder="1" fontId="75" applyFont="1" fillId="19" applyFill="1" applyAlignment="1">
      <alignment horizontal="left"/>
    </xf>
    <xf xfId="0" numFmtId="169" applyNumberFormat="1" borderId="2" applyBorder="1" fontId="76" applyFont="1" fillId="19" applyFill="1" applyAlignment="1">
      <alignment horizontal="right"/>
    </xf>
    <xf xfId="0" numFmtId="3" applyNumberFormat="1" borderId="2" applyBorder="1" fontId="74" applyFont="1" fillId="19" applyFill="1" applyAlignment="1">
      <alignment horizontal="center"/>
    </xf>
    <xf xfId="0" numFmtId="4" applyNumberFormat="1" borderId="2" applyBorder="1" fontId="75" applyFont="1" fillId="19" applyFill="1" applyAlignment="1">
      <alignment horizontal="left"/>
    </xf>
    <xf xfId="0" numFmtId="0" borderId="2" applyBorder="1" fontId="74" applyFont="1" fillId="19" applyFill="1" applyAlignment="1">
      <alignment horizontal="left"/>
    </xf>
    <xf xfId="0" numFmtId="166" applyNumberFormat="1" borderId="2" applyBorder="1" fontId="74" applyFont="1" fillId="19" applyFill="1" applyAlignment="1">
      <alignment horizontal="left"/>
    </xf>
    <xf xfId="0" numFmtId="0" borderId="2" applyBorder="1" fontId="76" applyFont="1" fillId="19" applyFill="1" applyAlignment="1">
      <alignment horizontal="center"/>
    </xf>
    <xf xfId="0" numFmtId="3" applyNumberFormat="1" borderId="2" applyBorder="1" fontId="76" applyFont="1" fillId="19" applyFill="1" applyAlignment="1">
      <alignment horizontal="right"/>
    </xf>
    <xf xfId="0" numFmtId="0" borderId="14" applyBorder="1" fontId="4" applyFont="1" fillId="19" applyFill="1" applyAlignment="1">
      <alignment horizontal="left"/>
    </xf>
    <xf xfId="0" numFmtId="4" applyNumberFormat="1" borderId="14" applyBorder="1" fontId="4" applyFont="1" fillId="19" applyFill="1" applyAlignment="1">
      <alignment horizontal="right"/>
    </xf>
    <xf xfId="0" numFmtId="172" applyNumberFormat="1" borderId="14" applyBorder="1" fontId="77" applyFont="1" fillId="19" applyFill="1" applyAlignment="1">
      <alignment horizontal="right"/>
    </xf>
    <xf xfId="0" numFmtId="169" applyNumberFormat="1" borderId="14" applyBorder="1" fontId="77" applyFont="1" fillId="19" applyFill="1" applyAlignment="1">
      <alignment horizontal="left"/>
    </xf>
    <xf xfId="0" numFmtId="4" applyNumberFormat="1" borderId="14" applyBorder="1" fontId="4" applyFont="1" fillId="19" applyFill="1" applyAlignment="1">
      <alignment horizontal="center"/>
    </xf>
    <xf xfId="0" numFmtId="166" applyNumberFormat="1" borderId="14" applyBorder="1" fontId="4" applyFont="1" fillId="19" applyFill="1" applyAlignment="1">
      <alignment horizontal="right"/>
    </xf>
    <xf xfId="0" numFmtId="0" borderId="14" applyBorder="1" fontId="4" applyFont="1" fillId="19" applyFill="1" applyAlignment="1">
      <alignment horizontal="center"/>
    </xf>
    <xf xfId="0" numFmtId="0" borderId="14" applyBorder="1" fontId="4" applyFont="1" fillId="19" applyFill="1" applyAlignment="1">
      <alignment horizontal="center" wrapText="1"/>
    </xf>
    <xf xfId="0" numFmtId="3" applyNumberFormat="1" borderId="14" applyBorder="1" fontId="4" applyFont="1" fillId="19" applyFill="1" applyAlignment="1">
      <alignment horizontal="right" wrapText="1"/>
    </xf>
    <xf xfId="0" numFmtId="0" borderId="2" applyBorder="1" fontId="43" applyFont="1" fillId="22" applyFill="1" applyAlignment="1">
      <alignment horizontal="left"/>
    </xf>
    <xf xfId="0" numFmtId="0" borderId="2" applyBorder="1" fontId="22" applyFont="1" fillId="22" applyFill="1" applyAlignment="1">
      <alignment horizontal="left"/>
    </xf>
    <xf xfId="0" numFmtId="0" borderId="2" applyBorder="1" fontId="10" applyFont="1" fillId="22" applyFill="1" applyAlignment="1">
      <alignment horizontal="left"/>
    </xf>
    <xf xfId="0" numFmtId="3" applyNumberFormat="1" borderId="2" applyBorder="1" fontId="31" applyFont="1" fillId="22" applyFill="1" applyAlignment="1">
      <alignment horizontal="right"/>
    </xf>
    <xf xfId="0" numFmtId="3" applyNumberFormat="1" borderId="2" applyBorder="1" fontId="43" applyFont="1" fillId="22" applyFill="1" applyAlignment="1">
      <alignment horizontal="right"/>
    </xf>
    <xf xfId="0" numFmtId="169" applyNumberFormat="1" borderId="2" applyBorder="1" fontId="7" applyFont="1" fillId="22" applyFill="1" applyAlignment="1">
      <alignment horizontal="right"/>
    </xf>
    <xf xfId="0" numFmtId="4" applyNumberFormat="1" borderId="2" applyBorder="1" fontId="32" applyFont="1" fillId="22" applyFill="1" applyAlignment="1">
      <alignment horizontal="center"/>
    </xf>
    <xf xfId="0" numFmtId="4" applyNumberFormat="1" borderId="2" applyBorder="1" fontId="7" applyFont="1" fillId="22" applyFill="1" applyAlignment="1">
      <alignment horizontal="center"/>
    </xf>
    <xf xfId="0" numFmtId="0" borderId="2" applyBorder="1" fontId="78" applyFont="1" fillId="22" applyFill="1" applyAlignment="1">
      <alignment horizontal="left"/>
    </xf>
    <xf xfId="0" numFmtId="166" applyNumberFormat="1" borderId="2" applyBorder="1" fontId="43" applyFont="1" fillId="22" applyFill="1" applyAlignment="1">
      <alignment horizontal="right"/>
    </xf>
    <xf xfId="0" numFmtId="0" borderId="2" applyBorder="1" fontId="79" applyFont="1" fillId="22" applyFill="1" applyAlignment="1">
      <alignment horizontal="center"/>
    </xf>
    <xf xfId="0" numFmtId="0" borderId="2" applyBorder="1" fontId="35" applyFont="1" fillId="22" applyFill="1" applyAlignment="1">
      <alignment horizontal="left"/>
    </xf>
    <xf xfId="0" numFmtId="0" borderId="2" applyBorder="1" fontId="23" applyFont="1" fillId="22" applyFill="1" applyAlignment="1">
      <alignment horizontal="left"/>
    </xf>
    <xf xfId="0" numFmtId="0" borderId="2" applyBorder="1" fontId="80" applyFont="1" fillId="22" applyFill="1" applyAlignment="1">
      <alignment horizontal="center"/>
    </xf>
    <xf xfId="0" numFmtId="3" applyNumberFormat="1" borderId="2" applyBorder="1" fontId="81" applyFont="1" fillId="22" applyFill="1" applyAlignment="1">
      <alignment horizontal="right"/>
    </xf>
    <xf xfId="0" numFmtId="0" borderId="2" applyBorder="1" fontId="42" applyFont="1" fillId="23" applyFill="1" applyAlignment="1">
      <alignment horizontal="left"/>
    </xf>
    <xf xfId="0" numFmtId="0" borderId="2" applyBorder="1" fontId="82" applyFont="1" fillId="22" applyFill="1" applyAlignment="1">
      <alignment horizontal="left"/>
    </xf>
    <xf xfId="0" numFmtId="172" applyNumberFormat="1" borderId="2" applyBorder="1" fontId="7" applyFont="1" fillId="22" applyFill="1" applyAlignment="1">
      <alignment horizontal="right"/>
    </xf>
    <xf xfId="0" numFmtId="4" applyNumberFormat="1" borderId="2" applyBorder="1" fontId="31" applyFont="1" fillId="22" applyFill="1" applyAlignment="1">
      <alignment horizontal="center"/>
    </xf>
    <xf xfId="0" numFmtId="0" borderId="2" applyBorder="1" fontId="8" applyFont="1" fillId="22" applyFill="1" applyAlignment="1">
      <alignment horizontal="left"/>
    </xf>
    <xf xfId="0" numFmtId="0" borderId="2" applyBorder="1" fontId="31" applyFont="1" fillId="22" applyFill="1" applyAlignment="1">
      <alignment horizontal="left"/>
    </xf>
    <xf xfId="0" numFmtId="0" borderId="2" applyBorder="1" fontId="81" applyFont="1" fillId="22" applyFill="1" applyAlignment="1">
      <alignment horizontal="center"/>
    </xf>
    <xf xfId="0" numFmtId="0" borderId="2" applyBorder="1" fontId="42" applyFont="1" fillId="22" applyFill="1" applyAlignment="1">
      <alignment horizontal="left"/>
    </xf>
    <xf xfId="0" numFmtId="3" applyNumberFormat="1" borderId="2" applyBorder="1" fontId="22" applyFont="1" fillId="22" applyFill="1" applyAlignment="1">
      <alignment horizontal="right"/>
    </xf>
    <xf xfId="0" numFmtId="0" borderId="2" applyBorder="1" fontId="83" applyFont="1" fillId="22" applyFill="1" applyAlignment="1">
      <alignment horizontal="left"/>
    </xf>
    <xf xfId="0" numFmtId="0" borderId="1" applyBorder="1" fontId="42" applyFont="1" fillId="0" applyAlignment="1">
      <alignment horizontal="left"/>
    </xf>
    <xf xfId="0" numFmtId="4" applyNumberFormat="1" borderId="2" applyBorder="1" fontId="43" applyFont="1" fillId="22" applyFill="1" applyAlignment="1">
      <alignment horizontal="right"/>
    </xf>
    <xf xfId="0" numFmtId="0" borderId="2" applyBorder="1" fontId="7" applyFont="1" fillId="22" applyFill="1" applyAlignment="1">
      <alignment horizontal="center"/>
    </xf>
    <xf xfId="0" numFmtId="0" borderId="2" applyBorder="1" fontId="84" applyFont="1" fillId="22" applyFill="1" applyAlignment="1">
      <alignment horizontal="left"/>
    </xf>
    <xf xfId="0" numFmtId="0" borderId="2" applyBorder="1" fontId="6" applyFont="1" fillId="22" applyFill="1" applyAlignment="1">
      <alignment horizontal="left"/>
    </xf>
    <xf xfId="0" numFmtId="0" borderId="2" applyBorder="1" fontId="7" applyFont="1" fillId="22" applyFill="1" applyAlignment="1">
      <alignment horizontal="left"/>
    </xf>
    <xf xfId="0" numFmtId="0" borderId="2" applyBorder="1" fontId="45" applyFont="1" fillId="22" applyFill="1" applyAlignment="1">
      <alignment horizontal="left"/>
    </xf>
    <xf xfId="0" numFmtId="3" applyNumberFormat="1" borderId="2" applyBorder="1" fontId="7" applyFont="1" fillId="22" applyFill="1" applyAlignment="1">
      <alignment horizontal="right"/>
    </xf>
    <xf xfId="0" numFmtId="4" applyNumberFormat="1" borderId="2" applyBorder="1" fontId="24" applyFont="1" fillId="22" applyFill="1" applyAlignment="1">
      <alignment horizontal="left"/>
    </xf>
    <xf xfId="0" numFmtId="0" borderId="2" applyBorder="1" fontId="85" applyFont="1" fillId="22" applyFill="1" applyAlignment="1">
      <alignment horizontal="left"/>
    </xf>
    <xf xfId="0" numFmtId="0" borderId="2" applyBorder="1" fontId="86" applyFont="1" fillId="22" applyFill="1" applyAlignment="1">
      <alignment horizontal="center"/>
    </xf>
    <xf xfId="0" numFmtId="3" applyNumberFormat="1" borderId="2" applyBorder="1" fontId="46" applyFont="1" fillId="22" applyFill="1" applyAlignment="1">
      <alignment horizontal="right"/>
    </xf>
    <xf xfId="0" numFmtId="0" borderId="2" applyBorder="1" fontId="44" applyFont="1" fillId="22" applyFill="1" applyAlignment="1">
      <alignment horizontal="left"/>
    </xf>
    <xf xfId="0" numFmtId="166" applyNumberFormat="1" borderId="2" applyBorder="1" fontId="22" applyFont="1" fillId="22" applyFill="1" applyAlignment="1">
      <alignment horizontal="right"/>
    </xf>
    <xf xfId="0" numFmtId="0" borderId="1" applyBorder="1" fontId="82" applyFont="1" fillId="0" applyAlignment="1">
      <alignment horizontal="left"/>
    </xf>
    <xf xfId="0" numFmtId="3" applyNumberFormat="1" borderId="1" applyBorder="1" fontId="22" applyFont="1" fillId="0" applyAlignment="1">
      <alignment horizontal="right"/>
    </xf>
    <xf xfId="0" numFmtId="3" applyNumberFormat="1" borderId="1" applyBorder="1" fontId="43" applyFont="1" fillId="0" applyAlignment="1">
      <alignment horizontal="right"/>
    </xf>
    <xf xfId="0" numFmtId="169" applyNumberFormat="1" borderId="1" applyBorder="1" fontId="7" applyFont="1" fillId="0" applyAlignment="1">
      <alignment horizontal="right"/>
    </xf>
    <xf xfId="0" numFmtId="4" applyNumberFormat="1" borderId="2" applyBorder="1" fontId="7" applyFont="1" fillId="13" applyFill="1" applyAlignment="1">
      <alignment horizontal="center"/>
    </xf>
    <xf xfId="0" numFmtId="4" applyNumberFormat="1" borderId="1" applyBorder="1" fontId="7" applyFont="1" fillId="0" applyAlignment="1">
      <alignment horizontal="center"/>
    </xf>
    <xf xfId="0" numFmtId="0" borderId="1" applyBorder="1" fontId="86" applyFont="1" fillId="0" applyAlignment="1">
      <alignment horizontal="left"/>
    </xf>
    <xf xfId="0" numFmtId="0" borderId="1" applyBorder="1" fontId="87" applyFont="1" fillId="0" applyAlignment="1">
      <alignment horizontal="left"/>
    </xf>
    <xf xfId="0" numFmtId="0" borderId="1" applyBorder="1" fontId="86" applyFont="1" fillId="0" applyAlignment="1">
      <alignment horizontal="center"/>
    </xf>
    <xf xfId="0" numFmtId="3" applyNumberFormat="1" borderId="1" applyBorder="1" fontId="46" applyFont="1" fillId="0" applyAlignment="1">
      <alignment horizontal="right"/>
    </xf>
    <xf xfId="0" numFmtId="3" applyNumberFormat="1" borderId="2" applyBorder="1" fontId="22" applyFont="1" fillId="13" applyFill="1" applyAlignment="1">
      <alignment horizontal="right"/>
    </xf>
    <xf xfId="0" numFmtId="169" applyNumberFormat="1" borderId="2" applyBorder="1" fontId="7" applyFont="1" fillId="21" applyFill="1" applyAlignment="1">
      <alignment horizontal="right"/>
    </xf>
    <xf xfId="0" numFmtId="4" applyNumberFormat="1" borderId="1" applyBorder="1" fontId="31" applyFont="1" fillId="0" applyAlignment="1">
      <alignment horizontal="center"/>
    </xf>
    <xf xfId="0" numFmtId="0" borderId="1" applyBorder="1" fontId="44" applyFont="1" fillId="0" applyAlignment="1">
      <alignment horizontal="left"/>
    </xf>
    <xf xfId="0" numFmtId="0" borderId="2" applyBorder="1" fontId="7" applyFont="1" fillId="21" applyFill="1" applyAlignment="1">
      <alignment horizontal="center"/>
    </xf>
    <xf xfId="0" numFmtId="0" borderId="1" applyBorder="1" fontId="10" applyFont="1" fillId="0" applyAlignment="1">
      <alignment horizontal="left"/>
    </xf>
    <xf xfId="0" numFmtId="0" borderId="2" applyBorder="1" fontId="22" applyFont="1" fillId="21" applyFill="1" applyAlignment="1">
      <alignment horizontal="left"/>
    </xf>
    <xf xfId="0" numFmtId="0" borderId="1" applyBorder="1" fontId="81" applyFont="1" fillId="0" applyAlignment="1">
      <alignment horizontal="center"/>
    </xf>
    <xf xfId="0" numFmtId="0" borderId="2" applyBorder="1" fontId="7" applyFont="1" fillId="24" applyFill="1" applyAlignment="1">
      <alignment horizontal="left"/>
    </xf>
    <xf xfId="0" numFmtId="0" borderId="2" applyBorder="1" fontId="45" applyFont="1" fillId="21" applyFill="1" applyAlignment="1">
      <alignment horizontal="left"/>
    </xf>
    <xf xfId="0" numFmtId="3" applyNumberFormat="1" borderId="2" applyBorder="1" fontId="22" applyFont="1" fillId="21" applyFill="1" applyAlignment="1">
      <alignment horizontal="right"/>
    </xf>
    <xf xfId="0" numFmtId="4" applyNumberFormat="1" borderId="2" applyBorder="1" fontId="7" applyFont="1" fillId="25" applyFill="1" applyAlignment="1">
      <alignment horizontal="center"/>
    </xf>
    <xf xfId="0" numFmtId="4" applyNumberFormat="1" borderId="2" applyBorder="1" fontId="7" applyFont="1" fillId="26" applyFill="1" applyAlignment="1">
      <alignment horizontal="center"/>
    </xf>
    <xf xfId="0" numFmtId="0" borderId="2" applyBorder="1" fontId="88" applyFont="1" fillId="21" applyFill="1" applyAlignment="1">
      <alignment horizontal="left"/>
    </xf>
    <xf xfId="0" numFmtId="0" borderId="2" applyBorder="1" fontId="79" applyFont="1" fillId="21" applyFill="1" applyAlignment="1">
      <alignment horizontal="center"/>
    </xf>
    <xf xfId="0" numFmtId="0" borderId="2" applyBorder="1" fontId="89" applyFont="1" fillId="21" applyFill="1" applyAlignment="1">
      <alignment horizontal="left"/>
    </xf>
    <xf xfId="0" numFmtId="0" borderId="2" applyBorder="1" fontId="46" applyFont="1" fillId="21" applyFill="1" applyAlignment="1">
      <alignment horizontal="center"/>
    </xf>
    <xf xfId="0" numFmtId="0" borderId="2" applyBorder="1" fontId="7" applyFont="1" fillId="21" applyFill="1" applyAlignment="1">
      <alignment horizontal="left"/>
    </xf>
    <xf xfId="0" numFmtId="0" borderId="2" applyBorder="1" fontId="42" applyFont="1" fillId="14" applyFill="1" applyAlignment="1">
      <alignment horizontal="left"/>
    </xf>
    <xf xfId="0" numFmtId="0" borderId="2" applyBorder="1" fontId="10" applyFont="1" fillId="13" applyFill="1" applyAlignment="1">
      <alignment horizontal="left"/>
    </xf>
    <xf xfId="0" numFmtId="3" applyNumberFormat="1" borderId="2" applyBorder="1" fontId="7" applyFont="1" fillId="13" applyFill="1" applyAlignment="1">
      <alignment horizontal="right"/>
    </xf>
    <xf xfId="0" numFmtId="169" applyNumberFormat="1" borderId="2" applyBorder="1" fontId="7" applyFont="1" fillId="27" applyFill="1" applyAlignment="1">
      <alignment horizontal="right"/>
    </xf>
    <xf xfId="0" numFmtId="4" applyNumberFormat="1" borderId="2" applyBorder="1" fontId="24" applyFont="1" fillId="13" applyFill="1" applyAlignment="1">
      <alignment horizontal="center"/>
    </xf>
    <xf xfId="0" numFmtId="4" applyNumberFormat="1" borderId="2" applyBorder="1" fontId="7" applyFont="1" fillId="21" applyFill="1" applyAlignment="1">
      <alignment horizontal="center"/>
    </xf>
    <xf xfId="0" numFmtId="0" borderId="2" applyBorder="1" fontId="44" applyFont="1" fillId="21" applyFill="1" applyAlignment="1">
      <alignment horizontal="left"/>
    </xf>
    <xf xfId="0" numFmtId="0" borderId="2" applyBorder="1" fontId="89" applyFont="1" fillId="13" applyFill="1" applyAlignment="1">
      <alignment horizontal="left"/>
    </xf>
    <xf xfId="0" numFmtId="4" applyNumberFormat="1" borderId="2" applyBorder="1" fontId="22" applyFont="1" fillId="13" applyFill="1" applyAlignment="1">
      <alignment horizontal="right"/>
    </xf>
    <xf xfId="0" numFmtId="172" applyNumberFormat="1" borderId="2" applyBorder="1" fontId="7" applyFont="1" fillId="28" applyFill="1" applyAlignment="1">
      <alignment horizontal="right"/>
    </xf>
    <xf xfId="0" numFmtId="4" applyNumberFormat="1" borderId="2" applyBorder="1" fontId="7" applyFont="1" fillId="29" applyFill="1" applyAlignment="1">
      <alignment horizontal="center"/>
    </xf>
    <xf xfId="0" numFmtId="4" applyNumberFormat="1" borderId="2" applyBorder="1" fontId="7" applyFont="1" fillId="30" applyFill="1" applyAlignment="1">
      <alignment horizontal="center"/>
    </xf>
    <xf xfId="0" numFmtId="4" applyNumberFormat="1" borderId="2" applyBorder="1" fontId="24" applyFont="1" fillId="13" applyFill="1" applyAlignment="1">
      <alignment horizontal="left"/>
    </xf>
    <xf xfId="0" numFmtId="0" borderId="2" applyBorder="1" fontId="24" applyFont="1" fillId="13" applyFill="1" applyAlignment="1">
      <alignment horizontal="left"/>
    </xf>
    <xf xfId="0" numFmtId="0" borderId="2" applyBorder="1" fontId="90" applyFont="1" fillId="21" applyFill="1" applyAlignment="1">
      <alignment horizontal="left"/>
    </xf>
    <xf xfId="0" numFmtId="4" applyNumberFormat="1" borderId="2" applyBorder="1" fontId="7" applyFont="1" fillId="21" applyFill="1" applyAlignment="1">
      <alignment horizontal="right"/>
    </xf>
    <xf xfId="0" numFmtId="4" applyNumberFormat="1" borderId="2" applyBorder="1" fontId="31" applyFont="1" fillId="21" applyFill="1" applyAlignment="1">
      <alignment horizontal="right"/>
    </xf>
    <xf xfId="0" numFmtId="169" applyNumberFormat="1" borderId="2" applyBorder="1" fontId="7" applyFont="1" fillId="31" applyFill="1" applyAlignment="1">
      <alignment horizontal="right"/>
    </xf>
    <xf xfId="0" numFmtId="4" applyNumberFormat="1" borderId="2" applyBorder="1" fontId="31" applyFont="1" fillId="32" applyFill="1" applyAlignment="1">
      <alignment horizontal="center"/>
    </xf>
    <xf xfId="0" numFmtId="4" applyNumberFormat="1" borderId="2" applyBorder="1" fontId="31" applyFont="1" fillId="30" applyFill="1" applyAlignment="1">
      <alignment horizontal="center"/>
    </xf>
    <xf xfId="0" numFmtId="4" applyNumberFormat="1" borderId="2" applyBorder="1" fontId="31" applyFont="1" fillId="33" applyFill="1" applyAlignment="1">
      <alignment horizontal="center"/>
    </xf>
    <xf xfId="0" numFmtId="0" borderId="1" applyBorder="1" fontId="91" applyFont="1" fillId="0" applyAlignment="1">
      <alignment horizontal="left"/>
    </xf>
    <xf xfId="0" numFmtId="3" applyNumberFormat="1" borderId="2" applyBorder="1" fontId="31" applyFont="1" fillId="21" applyFill="1" applyAlignment="1">
      <alignment horizontal="right"/>
    </xf>
    <xf xfId="0" numFmtId="0" borderId="1" applyBorder="1" fontId="85" applyFont="1" fillId="0" applyAlignment="1">
      <alignment horizontal="left"/>
    </xf>
    <xf xfId="0" numFmtId="0" borderId="2" applyBorder="1" fontId="7" applyFont="1" fillId="34" applyFill="1" applyAlignment="1">
      <alignment horizontal="left"/>
    </xf>
    <xf xfId="0" numFmtId="3" applyNumberFormat="1" borderId="2" applyBorder="1" fontId="7" applyFont="1" fillId="21" applyFill="1" applyAlignment="1">
      <alignment horizontal="right"/>
    </xf>
    <xf xfId="0" numFmtId="169" applyNumberFormat="1" borderId="2" applyBorder="1" fontId="7" applyFont="1" fillId="35" applyFill="1" applyAlignment="1">
      <alignment horizontal="right"/>
    </xf>
    <xf xfId="0" numFmtId="4" applyNumberFormat="1" borderId="2" applyBorder="1" fontId="7" applyFont="1" fillId="36" applyFill="1" applyAlignment="1">
      <alignment horizontal="center"/>
    </xf>
    <xf xfId="0" numFmtId="4" applyNumberFormat="1" borderId="2" applyBorder="1" fontId="7" applyFont="1" fillId="37" applyFill="1" applyAlignment="1">
      <alignment horizontal="center"/>
    </xf>
    <xf xfId="0" numFmtId="4" applyNumberFormat="1" borderId="2" applyBorder="1" fontId="7" applyFont="1" fillId="38" applyFill="1" applyAlignment="1">
      <alignment horizontal="center"/>
    </xf>
    <xf xfId="0" numFmtId="0" borderId="2" applyBorder="1" fontId="86" applyFont="1" fillId="13" applyFill="1" applyAlignment="1">
      <alignment horizontal="left"/>
    </xf>
    <xf xfId="0" numFmtId="0" borderId="2" applyBorder="1" fontId="10" applyFont="1" fillId="21" applyFill="1" applyAlignment="1">
      <alignment horizontal="left"/>
    </xf>
    <xf xfId="0" numFmtId="172" applyNumberFormat="1" borderId="2" applyBorder="1" fontId="7" applyFont="1" fillId="39" applyFill="1" applyAlignment="1">
      <alignment horizontal="right"/>
    </xf>
    <xf xfId="0" numFmtId="169" applyNumberFormat="1" borderId="2" applyBorder="1" fontId="7" applyFont="1" fillId="40" applyFill="1" applyAlignment="1">
      <alignment horizontal="right"/>
    </xf>
    <xf xfId="0" numFmtId="4" applyNumberFormat="1" borderId="2" applyBorder="1" fontId="31" applyFont="1" fillId="13" applyFill="1" applyAlignment="1">
      <alignment horizontal="center"/>
    </xf>
    <xf xfId="0" numFmtId="0" borderId="2" applyBorder="1" fontId="46" applyFont="1" fillId="41" applyFill="1" applyAlignment="1">
      <alignment horizontal="center"/>
    </xf>
    <xf xfId="0" numFmtId="0" borderId="2" applyBorder="1" fontId="23" applyFont="1" fillId="41" applyFill="1" applyAlignment="1">
      <alignment horizontal="left"/>
    </xf>
    <xf xfId="0" numFmtId="0" borderId="11" applyBorder="1" fontId="22" applyFont="1" fillId="0" applyAlignment="1">
      <alignment horizontal="left"/>
    </xf>
    <xf xfId="0" numFmtId="0" borderId="11" applyBorder="1" fontId="7" applyFont="1" fillId="0" applyAlignment="1">
      <alignment horizontal="left"/>
    </xf>
    <xf xfId="0" numFmtId="0" borderId="11" applyBorder="1" fontId="10" applyFont="1" fillId="0" applyAlignment="1">
      <alignment horizontal="left"/>
    </xf>
    <xf xfId="0" numFmtId="3" applyNumberFormat="1" borderId="11" applyBorder="1" fontId="22" applyFont="1" fillId="0" applyAlignment="1">
      <alignment horizontal="right"/>
    </xf>
    <xf xfId="0" numFmtId="172" applyNumberFormat="1" borderId="11" applyBorder="1" fontId="7" applyFont="1" fillId="0" applyAlignment="1">
      <alignment horizontal="right"/>
    </xf>
    <xf xfId="0" numFmtId="169" applyNumberFormat="1" borderId="11" applyBorder="1" fontId="7" applyFont="1" fillId="0" applyAlignment="1">
      <alignment horizontal="right"/>
    </xf>
    <xf xfId="0" numFmtId="4" applyNumberFormat="1" borderId="11" applyBorder="1" fontId="7" applyFont="1" fillId="0" applyAlignment="1">
      <alignment horizontal="center"/>
    </xf>
    <xf xfId="0" numFmtId="0" borderId="15" applyBorder="1" fontId="44" applyFont="1" fillId="3" applyFill="1" applyAlignment="1">
      <alignment horizontal="left"/>
    </xf>
    <xf xfId="0" numFmtId="166" applyNumberFormat="1" borderId="11" applyBorder="1" fontId="22" applyFont="1" fillId="0" applyAlignment="1">
      <alignment horizontal="right"/>
    </xf>
    <xf xfId="0" numFmtId="0" borderId="11" applyBorder="1" fontId="7" applyFont="1" fillId="0" applyAlignment="1">
      <alignment horizontal="center"/>
    </xf>
    <xf xfId="0" numFmtId="0" borderId="11" applyBorder="1" fontId="46" applyFont="1" fillId="0" applyAlignment="1">
      <alignment horizontal="center"/>
    </xf>
    <xf xfId="0" numFmtId="0" borderId="11" applyBorder="1" fontId="23" applyFont="1" fillId="0" applyAlignment="1">
      <alignment horizontal="left"/>
    </xf>
    <xf xfId="0" numFmtId="3" applyNumberFormat="1" borderId="11" applyBorder="1" fontId="46" applyFont="1" fillId="0" applyAlignment="1">
      <alignment horizontal="right"/>
    </xf>
    <xf xfId="0" numFmtId="4" applyNumberFormat="1" borderId="2" applyBorder="1" fontId="7" applyFont="1" fillId="16" applyFill="1" applyAlignment="1">
      <alignment horizontal="center"/>
    </xf>
    <xf xfId="0" numFmtId="4" applyNumberFormat="1" borderId="2" applyBorder="1" fontId="7" applyFont="1" fillId="17" applyFill="1" applyAlignment="1">
      <alignment horizontal="center"/>
    </xf>
    <xf xfId="0" numFmtId="4" applyNumberFormat="1" borderId="2" applyBorder="1" fontId="7" applyFont="1" fillId="18" applyFill="1" applyAlignment="1">
      <alignment horizontal="center"/>
    </xf>
    <xf xfId="0" numFmtId="0" borderId="2" applyBorder="1" fontId="42" applyFont="1" fillId="42" applyFill="1" applyAlignment="1">
      <alignment horizontal="left"/>
    </xf>
    <xf xfId="0" numFmtId="4" applyNumberFormat="1" borderId="2" applyBorder="1" fontId="7" applyFont="1" fillId="43" applyFill="1" applyAlignment="1">
      <alignment horizontal="center"/>
    </xf>
    <xf xfId="0" numFmtId="4" applyNumberFormat="1" borderId="2" applyBorder="1" fontId="7" applyFont="1" fillId="44" applyFill="1" applyAlignment="1">
      <alignment horizontal="center"/>
    </xf>
    <xf xfId="0" numFmtId="0" borderId="2" applyBorder="1" fontId="23" applyFont="1" fillId="13" applyFill="1" applyAlignment="1">
      <alignment horizontal="left"/>
    </xf>
    <xf xfId="0" numFmtId="0" borderId="2" applyBorder="1" fontId="7" applyFont="1" fillId="14" applyFill="1" applyAlignment="1">
      <alignment horizontal="left"/>
    </xf>
    <xf xfId="0" numFmtId="3" applyNumberFormat="1" borderId="2" applyBorder="1" fontId="43" applyFont="1" fillId="13" applyFill="1" applyAlignment="1">
      <alignment horizontal="right"/>
    </xf>
    <xf xfId="0" numFmtId="4" applyNumberFormat="1" borderId="2" applyBorder="1" fontId="31" applyFont="1" fillId="45" applyFill="1" applyAlignment="1">
      <alignment horizontal="center"/>
    </xf>
    <xf xfId="0" numFmtId="4" applyNumberFormat="1" borderId="2" applyBorder="1" fontId="7" applyFont="1" fillId="46" applyFill="1" applyAlignment="1">
      <alignment horizontal="center"/>
    </xf>
    <xf xfId="0" numFmtId="3" applyNumberFormat="1" borderId="2" applyBorder="1" fontId="7" applyFont="1" fillId="47" applyFill="1" applyAlignment="1">
      <alignment horizontal="center"/>
    </xf>
    <xf xfId="0" numFmtId="0" borderId="1" applyBorder="1" fontId="46" applyFont="1" fillId="0" applyAlignment="1">
      <alignment horizontal="center"/>
    </xf>
    <xf xfId="0" numFmtId="169" applyNumberFormat="1" borderId="2" applyBorder="1" fontId="7" applyFont="1" fillId="48" applyFill="1" applyAlignment="1">
      <alignment horizontal="right"/>
    </xf>
    <xf xfId="0" numFmtId="169" applyNumberFormat="1" borderId="2" applyBorder="1" fontId="7" applyFont="1" fillId="49" applyFill="1" applyAlignment="1">
      <alignment horizontal="right"/>
    </xf>
    <xf xfId="0" numFmtId="4" applyNumberFormat="1" borderId="2" applyBorder="1" fontId="7" applyFont="1" fillId="50" applyFill="1" applyAlignment="1">
      <alignment horizontal="center"/>
    </xf>
    <xf xfId="0" numFmtId="4" applyNumberFormat="1" borderId="2" applyBorder="1" fontId="7" applyFont="1" fillId="51" applyFill="1" applyAlignment="1">
      <alignment horizontal="center"/>
    </xf>
    <xf xfId="0" numFmtId="4" applyNumberFormat="1" borderId="2" applyBorder="1" fontId="7" applyFont="1" fillId="52" applyFill="1" applyAlignment="1">
      <alignment horizontal="center"/>
    </xf>
    <xf xfId="0" numFmtId="4" applyNumberFormat="1" borderId="2" applyBorder="1" fontId="22" applyFont="1" fillId="21" applyFill="1" applyAlignment="1">
      <alignment horizontal="right"/>
    </xf>
    <xf xfId="0" numFmtId="3" applyNumberFormat="1" borderId="2" applyBorder="1" fontId="43" applyFont="1" fillId="21" applyFill="1" applyAlignment="1">
      <alignment horizontal="right"/>
    </xf>
    <xf xfId="0" numFmtId="0" borderId="2" applyBorder="1" fontId="78" applyFont="1" fillId="21" applyFill="1" applyAlignment="1">
      <alignment horizontal="left"/>
    </xf>
    <xf xfId="0" numFmtId="169" applyNumberFormat="1" borderId="2" applyBorder="1" fontId="7" applyFont="1" fillId="53" applyFill="1" applyAlignment="1">
      <alignment horizontal="right"/>
    </xf>
    <xf xfId="0" numFmtId="4" applyNumberFormat="1" borderId="2" applyBorder="1" fontId="7" applyFont="1" fillId="54" applyFill="1" applyAlignment="1">
      <alignment horizontal="center"/>
    </xf>
    <xf xfId="0" numFmtId="0" borderId="2" applyBorder="1" fontId="42" applyFont="1" fillId="19" applyFill="1" applyAlignment="1">
      <alignment horizontal="left"/>
    </xf>
    <xf xfId="0" numFmtId="0" borderId="2" applyBorder="1" fontId="92" applyFont="1" fillId="21" applyFill="1" applyAlignment="1">
      <alignment horizontal="left"/>
    </xf>
    <xf xfId="0" numFmtId="4" applyNumberFormat="1" borderId="2" applyBorder="1" fontId="24" applyFont="1" fillId="21" applyFill="1" applyAlignment="1">
      <alignment horizontal="left"/>
    </xf>
    <xf xfId="0" numFmtId="0" borderId="2" applyBorder="1" fontId="24" applyFont="1" fillId="21" applyFill="1" applyAlignment="1">
      <alignment horizontal="left"/>
    </xf>
    <xf xfId="0" numFmtId="4" applyNumberFormat="1" borderId="2" applyBorder="1" fontId="7" applyFont="1" fillId="55" applyFill="1" applyAlignment="1">
      <alignment horizontal="center"/>
    </xf>
    <xf xfId="0" numFmtId="0" borderId="2" applyBorder="1" fontId="43" applyFont="1" fillId="21" applyFill="1" applyAlignment="1">
      <alignment horizontal="left"/>
    </xf>
    <xf xfId="0" numFmtId="0" borderId="2" applyBorder="1" fontId="86" applyFont="1" fillId="21" applyFill="1" applyAlignment="1">
      <alignment horizontal="center"/>
    </xf>
    <xf xfId="0" numFmtId="0" borderId="2" applyBorder="1" fontId="6" applyFont="1" fillId="21" applyFill="1" applyAlignment="1">
      <alignment horizontal="left"/>
    </xf>
    <xf xfId="0" numFmtId="3" applyNumberFormat="1" borderId="1" applyBorder="1" fontId="7" applyFont="1" fillId="0" applyAlignment="1">
      <alignment horizontal="center"/>
    </xf>
    <xf xfId="0" numFmtId="0" borderId="2" applyBorder="1" fontId="90" applyFont="1" fillId="13" applyFill="1" applyAlignment="1">
      <alignment horizontal="left"/>
    </xf>
    <xf xfId="0" numFmtId="169" applyNumberFormat="1" borderId="2" applyBorder="1" fontId="7" applyFont="1" fillId="56" applyFill="1" applyAlignment="1">
      <alignment horizontal="right"/>
    </xf>
    <xf xfId="0" numFmtId="4" applyNumberFormat="1" borderId="2" applyBorder="1" fontId="7" applyFont="1" fillId="57" applyFill="1" applyAlignment="1">
      <alignment horizontal="center"/>
    </xf>
    <xf xfId="0" numFmtId="0" borderId="2" applyBorder="1" fontId="45" applyFont="1" fillId="3" applyFill="1" applyAlignment="1">
      <alignment horizontal="left"/>
    </xf>
    <xf xfId="0" numFmtId="0" borderId="2" applyBorder="1" fontId="86" applyFont="1" fillId="13" applyFill="1" applyAlignment="1">
      <alignment horizontal="center"/>
    </xf>
    <xf xfId="0" numFmtId="0" borderId="2" applyBorder="1" fontId="6" applyFont="1" fillId="13" applyFill="1" applyAlignment="1">
      <alignment horizontal="left"/>
    </xf>
    <xf xfId="0" numFmtId="0" borderId="2" applyBorder="1" fontId="22" applyFont="1" fillId="3" applyFill="1" applyAlignment="1">
      <alignment horizontal="left"/>
    </xf>
    <xf xfId="0" numFmtId="4" applyNumberFormat="1" borderId="2" applyBorder="1" fontId="7" applyFont="1" fillId="58" applyFill="1" applyAlignment="1">
      <alignment horizontal="center"/>
    </xf>
    <xf xfId="0" numFmtId="4" applyNumberFormat="1" borderId="2" applyBorder="1" fontId="7" applyFont="1" fillId="59" applyFill="1" applyAlignment="1">
      <alignment horizontal="center"/>
    </xf>
    <xf xfId="0" numFmtId="4" applyNumberFormat="1" borderId="2" applyBorder="1" fontId="7" applyFont="1" fillId="60" applyFill="1" applyAlignment="1">
      <alignment horizontal="center"/>
    </xf>
    <xf xfId="0" numFmtId="0" borderId="2" applyBorder="1" fontId="7" applyFont="1" fillId="20" applyFill="1" applyAlignment="1">
      <alignment horizontal="left"/>
    </xf>
    <xf xfId="0" numFmtId="169" applyNumberFormat="1" borderId="2" applyBorder="1" fontId="7" applyFont="1" fillId="61" applyFill="1" applyAlignment="1">
      <alignment horizontal="right"/>
    </xf>
    <xf xfId="0" numFmtId="4" applyNumberFormat="1" borderId="2" applyBorder="1" fontId="7" applyFont="1" fillId="62" applyFill="1" applyAlignment="1">
      <alignment horizontal="center"/>
    </xf>
    <xf xfId="0" numFmtId="4" applyNumberFormat="1" borderId="2" applyBorder="1" fontId="7" applyFont="1" fillId="63" applyFill="1" applyAlignment="1">
      <alignment horizontal="center"/>
    </xf>
    <xf xfId="0" numFmtId="0" borderId="2" applyBorder="1" fontId="42" applyFont="1" fillId="20" applyFill="1" applyAlignment="1">
      <alignment horizontal="left"/>
    </xf>
    <xf xfId="0" numFmtId="3" applyNumberFormat="1" borderId="2" applyBorder="1" fontId="31" applyFont="1" fillId="13" applyFill="1" applyAlignment="1">
      <alignment horizontal="right"/>
    </xf>
    <xf xfId="0" numFmtId="4" applyNumberFormat="1" borderId="2" applyBorder="1" fontId="6" applyFont="1" fillId="60" applyFill="1" applyAlignment="1">
      <alignment horizontal="center"/>
    </xf>
    <xf xfId="0" numFmtId="3" applyNumberFormat="1" borderId="2" applyBorder="1" fontId="6" applyFont="1" fillId="63" applyFill="1" applyAlignment="1">
      <alignment horizontal="center"/>
    </xf>
    <xf xfId="0" numFmtId="0" borderId="2" applyBorder="1" fontId="7" applyFont="1" fillId="64" applyFill="1" applyAlignment="1">
      <alignment horizontal="left"/>
    </xf>
    <xf xfId="0" numFmtId="169" applyNumberFormat="1" borderId="2" applyBorder="1" fontId="7" applyFont="1" fillId="65" applyFill="1" applyAlignment="1">
      <alignment horizontal="right"/>
    </xf>
    <xf xfId="0" numFmtId="3" applyNumberFormat="1" borderId="2" applyBorder="1" fontId="7" applyFont="1" fillId="44" applyFill="1" applyAlignment="1">
      <alignment horizontal="center"/>
    </xf>
    <xf xfId="0" numFmtId="0" borderId="2" applyBorder="1" fontId="42" applyFont="1" fillId="64" applyFill="1" applyAlignment="1">
      <alignment horizontal="left"/>
    </xf>
    <xf xfId="0" numFmtId="0" borderId="1" applyBorder="1" fontId="45" applyFont="1" fillId="0" applyAlignment="1">
      <alignment horizontal="left"/>
    </xf>
    <xf xfId="0" numFmtId="0" borderId="1" applyBorder="1" fontId="23" applyFont="1" fillId="0" applyAlignment="1">
      <alignment horizontal="left"/>
    </xf>
    <xf xfId="0" numFmtId="4" applyNumberFormat="1" borderId="2" applyBorder="1" fontId="7" applyFont="1" fillId="66" applyFill="1" applyAlignment="1">
      <alignment horizontal="center"/>
    </xf>
    <xf xfId="0" numFmtId="4" applyNumberFormat="1" borderId="2" applyBorder="1" fontId="7" applyFont="1" fillId="67" applyFill="1" applyAlignment="1">
      <alignment horizontal="center"/>
    </xf>
    <xf xfId="0" numFmtId="4" applyNumberFormat="1" borderId="2" applyBorder="1" fontId="7" applyFont="1" fillId="68" applyFill="1" applyAlignment="1">
      <alignment horizontal="center"/>
    </xf>
    <xf xfId="0" numFmtId="0" borderId="2" applyBorder="1" fontId="23" applyFont="1" fillId="21" applyFill="1" applyAlignment="1">
      <alignment horizontal="left"/>
    </xf>
    <xf xfId="0" numFmtId="4" applyNumberFormat="1" borderId="2" applyBorder="1" fontId="6" applyFont="1" fillId="26" applyFill="1" applyAlignment="1">
      <alignment horizontal="center"/>
    </xf>
    <xf xfId="0" numFmtId="0" borderId="1" applyBorder="1" fontId="89" applyFont="1" fillId="0" applyAlignment="1">
      <alignment horizontal="left"/>
    </xf>
    <xf xfId="0" numFmtId="4" applyNumberFormat="1" borderId="1" applyBorder="1" fontId="32" applyFont="1" fillId="0" applyAlignment="1">
      <alignment horizontal="center"/>
    </xf>
    <xf xfId="0" numFmtId="4" applyNumberFormat="1" borderId="1" applyBorder="1" fontId="24" applyFont="1" fillId="0" applyAlignment="1">
      <alignment horizontal="center"/>
    </xf>
    <xf xfId="0" numFmtId="3" applyNumberFormat="1" borderId="2" applyBorder="1" fontId="7" applyFont="1" fillId="62" applyFill="1" applyAlignment="1">
      <alignment horizontal="center"/>
    </xf>
    <xf xfId="0" numFmtId="4" applyNumberFormat="1" borderId="2" applyBorder="1" fontId="7" applyFont="1" fillId="13" applyFill="1" applyAlignment="1">
      <alignment horizontal="right"/>
    </xf>
    <xf xfId="0" numFmtId="4" applyNumberFormat="1" borderId="1" applyBorder="1" fontId="22" applyFont="1" fillId="0" applyAlignment="1">
      <alignment horizontal="right"/>
    </xf>
    <xf xfId="0" numFmtId="3" applyNumberFormat="1" borderId="1" applyBorder="1" fontId="31" applyFont="1" fillId="0" applyAlignment="1">
      <alignment horizontal="center"/>
    </xf>
    <xf xfId="0" numFmtId="3" applyNumberFormat="1" borderId="2" applyBorder="1" fontId="7" applyFont="1" fillId="69" applyFill="1" applyAlignment="1">
      <alignment horizontal="center"/>
    </xf>
    <xf xfId="0" numFmtId="3" applyNumberFormat="1" borderId="2" applyBorder="1" fontId="7" applyFont="1" fillId="70" applyFill="1" applyAlignment="1">
      <alignment horizontal="center"/>
    </xf>
    <xf xfId="0" numFmtId="0" borderId="2" applyBorder="1" fontId="86" applyFont="1" fillId="21" applyFill="1" applyAlignment="1">
      <alignment horizontal="left"/>
    </xf>
    <xf xfId="0" numFmtId="4" applyNumberFormat="1" borderId="2" applyBorder="1" fontId="30" applyFont="1" fillId="71" applyFill="1" applyAlignment="1">
      <alignment horizontal="center"/>
    </xf>
    <xf xfId="0" numFmtId="0" borderId="2" applyBorder="1" fontId="78" applyFont="1" fillId="13" applyFill="1" applyAlignment="1">
      <alignment horizontal="left"/>
    </xf>
    <xf xfId="0" numFmtId="0" borderId="2" applyBorder="1" fontId="93" applyFont="1" fillId="13" applyFill="1" applyAlignment="1">
      <alignment horizontal="left"/>
    </xf>
    <xf xfId="0" numFmtId="0" borderId="2" applyBorder="1" fontId="7" applyFont="1" fillId="23" applyFill="1" applyAlignment="1">
      <alignment horizontal="left"/>
    </xf>
    <xf xfId="0" numFmtId="0" borderId="2" applyBorder="1" fontId="10" applyFont="1" fillId="3" applyFill="1" applyAlignment="1">
      <alignment horizontal="left"/>
    </xf>
    <xf xfId="0" numFmtId="4" applyNumberFormat="1" borderId="2" applyBorder="1" fontId="22" applyFont="1" fillId="3" applyFill="1" applyAlignment="1">
      <alignment horizontal="right"/>
    </xf>
    <xf xfId="0" numFmtId="3" applyNumberFormat="1" borderId="2" applyBorder="1" fontId="22" applyFont="1" fillId="3" applyFill="1" applyAlignment="1">
      <alignment horizontal="right"/>
    </xf>
    <xf xfId="0" numFmtId="169" applyNumberFormat="1" borderId="2" applyBorder="1" fontId="7" applyFont="1" fillId="72" applyFill="1" applyAlignment="1">
      <alignment horizontal="right"/>
    </xf>
    <xf xfId="0" numFmtId="4" applyNumberFormat="1" borderId="2" applyBorder="1" fontId="7" applyFont="1" fillId="73" applyFill="1" applyAlignment="1">
      <alignment horizontal="center"/>
    </xf>
    <xf xfId="0" numFmtId="4" applyNumberFormat="1" borderId="2" applyBorder="1" fontId="7" applyFont="1" fillId="74" applyFill="1" applyAlignment="1">
      <alignment horizontal="center"/>
    </xf>
    <xf xfId="0" numFmtId="4" applyNumberFormat="1" borderId="2" applyBorder="1" fontId="24" applyFont="1" fillId="3" applyFill="1" applyAlignment="1">
      <alignment horizontal="center"/>
    </xf>
    <xf xfId="0" numFmtId="0" borderId="2" applyBorder="1" fontId="46" applyFont="1" fillId="3" applyFill="1" applyAlignment="1">
      <alignment horizontal="center"/>
    </xf>
    <xf xfId="0" numFmtId="4" applyNumberFormat="1" borderId="2" applyBorder="1" fontId="43" applyFont="1" fillId="3" applyFill="1" applyAlignment="1">
      <alignment horizontal="right"/>
    </xf>
    <xf xfId="0" numFmtId="0" borderId="1" applyBorder="1" fontId="78" applyFont="1" fillId="0" applyAlignment="1">
      <alignment horizontal="left"/>
    </xf>
    <xf xfId="0" numFmtId="4" applyNumberFormat="1" borderId="1" applyBorder="1" fontId="24" applyFont="1" fillId="0" applyAlignment="1">
      <alignment horizontal="left"/>
    </xf>
    <xf xfId="0" numFmtId="0" borderId="1" applyBorder="1" fontId="43" applyFont="1" fillId="0" applyAlignment="1">
      <alignment horizontal="left"/>
    </xf>
    <xf xfId="0" numFmtId="0" borderId="2" applyBorder="1" fontId="87" applyFont="1" fillId="21" applyFill="1" applyAlignment="1">
      <alignment horizontal="left"/>
    </xf>
    <xf xfId="0" numFmtId="0" borderId="2" applyBorder="1" fontId="94" applyFont="1" fillId="21" applyFill="1" applyAlignment="1">
      <alignment horizontal="left"/>
    </xf>
    <xf xfId="0" numFmtId="0" borderId="2" applyBorder="1" fontId="92" applyFont="1" fillId="13" applyFill="1" applyAlignment="1">
      <alignment horizontal="left"/>
    </xf>
    <xf xfId="0" numFmtId="169" applyNumberFormat="1" borderId="2" applyBorder="1" fontId="7" applyFont="1" fillId="75" applyFill="1" applyAlignment="1">
      <alignment horizontal="right"/>
    </xf>
    <xf xfId="0" numFmtId="3" applyNumberFormat="1" borderId="2" applyBorder="1" fontId="7" applyFont="1" fillId="17" applyFill="1" applyAlignment="1">
      <alignment horizontal="center"/>
    </xf>
    <xf xfId="0" numFmtId="0" borderId="1" applyBorder="1" fontId="31" applyFont="1" fillId="0" applyAlignment="1">
      <alignment horizontal="left"/>
    </xf>
    <xf xfId="0" numFmtId="4" applyNumberFormat="1" borderId="1" applyBorder="1" fontId="43" applyFont="1" fillId="0" applyAlignment="1">
      <alignment horizontal="right"/>
    </xf>
    <xf xfId="0" numFmtId="169" applyNumberFormat="1" borderId="2" applyBorder="1" fontId="7" applyFont="1" fillId="76" applyFill="1" applyAlignment="1">
      <alignment horizontal="right"/>
    </xf>
    <xf xfId="0" numFmtId="4" applyNumberFormat="1" borderId="2" applyBorder="1" fontId="7" applyFont="1" fillId="77" applyFill="1" applyAlignment="1">
      <alignment horizontal="center"/>
    </xf>
    <xf xfId="0" numFmtId="4" applyNumberFormat="1" borderId="2" applyBorder="1" fontId="7" applyFont="1" fillId="78" applyFill="1" applyAlignment="1">
      <alignment horizontal="center"/>
    </xf>
    <xf xfId="0" numFmtId="172" applyNumberFormat="1" borderId="2" applyBorder="1" fontId="7" applyFont="1" fillId="79" applyFill="1" applyAlignment="1">
      <alignment horizontal="right"/>
    </xf>
    <xf xfId="0" numFmtId="169" applyNumberFormat="1" borderId="2" applyBorder="1" fontId="7" applyFont="1" fillId="80" applyFill="1" applyAlignment="1">
      <alignment horizontal="right"/>
    </xf>
    <xf xfId="0" numFmtId="169" applyNumberFormat="1" borderId="2" applyBorder="1" fontId="7" applyFont="1" fillId="81" applyFill="1" applyAlignment="1">
      <alignment horizontal="right"/>
    </xf>
    <xf xfId="0" numFmtId="4" applyNumberFormat="1" borderId="2" applyBorder="1" fontId="7" applyFont="1" fillId="82" applyFill="1" applyAlignment="1">
      <alignment horizontal="center"/>
    </xf>
    <xf xfId="0" numFmtId="4" applyNumberFormat="1" borderId="1" applyBorder="1" fontId="6" applyFont="1" fillId="0" applyAlignment="1">
      <alignment horizontal="center"/>
    </xf>
    <xf xfId="0" numFmtId="3" applyNumberFormat="1" borderId="2" applyBorder="1" fontId="7" applyFont="1" fillId="13" applyFill="1" applyAlignment="1">
      <alignment horizontal="center"/>
    </xf>
    <xf xfId="0" numFmtId="4" applyNumberFormat="1" borderId="2" applyBorder="1" fontId="7" applyFont="1" fillId="83" applyFill="1" applyAlignment="1">
      <alignment horizontal="center"/>
    </xf>
    <xf xfId="0" numFmtId="4" applyNumberFormat="1" borderId="2" applyBorder="1" fontId="7" applyFont="1" fillId="84" applyFill="1" applyAlignment="1">
      <alignment horizontal="center"/>
    </xf>
    <xf xfId="0" numFmtId="4" applyNumberFormat="1" borderId="2" applyBorder="1" fontId="7" applyFont="1" fillId="85" applyFill="1" applyAlignment="1">
      <alignment horizontal="center"/>
    </xf>
    <xf xfId="0" numFmtId="0" borderId="2" applyBorder="1" fontId="42" applyFont="1" fillId="86" applyFill="1" applyAlignment="1">
      <alignment horizontal="left"/>
    </xf>
    <xf xfId="0" numFmtId="0" borderId="2" applyBorder="1" fontId="22" applyFont="1" fillId="41" applyFill="1" applyAlignment="1">
      <alignment horizontal="left"/>
    </xf>
    <xf xfId="0" numFmtId="0" borderId="2" applyBorder="1" fontId="8" applyFont="1" fillId="21" applyFill="1" applyAlignment="1">
      <alignment horizontal="left"/>
    </xf>
    <xf xfId="0" numFmtId="4" applyNumberFormat="1" borderId="2" applyBorder="1" fontId="7" applyFont="1" fillId="47" applyFill="1" applyAlignment="1">
      <alignment horizontal="center"/>
    </xf>
    <xf xfId="0" numFmtId="169" applyNumberFormat="1" borderId="2" applyBorder="1" fontId="7" applyFont="1" fillId="87" applyFill="1" applyAlignment="1">
      <alignment horizontal="right"/>
    </xf>
    <xf xfId="0" numFmtId="4" applyNumberFormat="1" borderId="2" applyBorder="1" fontId="7" applyFont="1" fillId="88" applyFill="1" applyAlignment="1">
      <alignment horizontal="center"/>
    </xf>
    <xf xfId="0" numFmtId="169" applyNumberFormat="1" borderId="2" applyBorder="1" fontId="7" applyFont="1" fillId="3" applyFill="1" applyAlignment="1">
      <alignment horizontal="right"/>
    </xf>
    <xf xfId="0" numFmtId="169" applyNumberFormat="1" borderId="2" applyBorder="1" fontId="7" applyFont="1" fillId="89" applyFill="1" applyAlignment="1">
      <alignment horizontal="right"/>
    </xf>
    <xf xfId="0" numFmtId="4" applyNumberFormat="1" borderId="2" applyBorder="1" fontId="7" applyFont="1" fillId="90" applyFill="1" applyAlignment="1">
      <alignment horizontal="center"/>
    </xf>
    <xf xfId="0" numFmtId="0" borderId="2" applyBorder="1" fontId="7" applyFont="1" fillId="9" applyFill="1" applyAlignment="1">
      <alignment horizontal="left"/>
    </xf>
    <xf xfId="0" numFmtId="4" applyNumberFormat="1" borderId="2" applyBorder="1" fontId="7" applyFont="1" fillId="91" applyFill="1" applyAlignment="1">
      <alignment horizontal="center"/>
    </xf>
    <xf xfId="0" numFmtId="4" applyNumberFormat="1" borderId="2" applyBorder="1" fontId="7" applyFont="1" fillId="92" applyFill="1" applyAlignment="1">
      <alignment horizontal="center"/>
    </xf>
    <xf xfId="0" numFmtId="4" applyNumberFormat="1" borderId="2" applyBorder="1" fontId="7" applyFont="1" fillId="93" applyFill="1" applyAlignment="1">
      <alignment horizontal="center"/>
    </xf>
    <xf xfId="0" numFmtId="0" borderId="2" applyBorder="1" fontId="7" applyFont="1" fillId="19" applyFill="1" applyAlignment="1">
      <alignment horizontal="left"/>
    </xf>
    <xf xfId="0" numFmtId="4" applyNumberFormat="1" borderId="2" applyBorder="1" fontId="7" applyFont="1" fillId="94" applyFill="1" applyAlignment="1">
      <alignment horizontal="center"/>
    </xf>
    <xf xfId="0" numFmtId="4" applyNumberFormat="1" borderId="2" applyBorder="1" fontId="7" applyFont="1" fillId="95" applyFill="1" applyAlignment="1">
      <alignment horizontal="center"/>
    </xf>
    <xf xfId="0" numFmtId="4" applyNumberFormat="1" borderId="2" applyBorder="1" fontId="7" applyFont="1" fillId="69" applyFill="1" applyAlignment="1">
      <alignment horizontal="center"/>
    </xf>
    <xf xfId="0" numFmtId="0" borderId="1" applyBorder="1" fontId="90" applyFont="1" fillId="0" applyAlignment="1">
      <alignment horizontal="left"/>
    </xf>
    <xf xfId="0" numFmtId="4" applyNumberFormat="1" borderId="2" applyBorder="1" fontId="7" applyFont="1" fillId="70" applyFill="1" applyAlignment="1">
      <alignment horizontal="center"/>
    </xf>
    <xf xfId="0" numFmtId="4" applyNumberFormat="1" borderId="2" applyBorder="1" fontId="7" applyFont="1" fillId="96" applyFill="1" applyAlignment="1">
      <alignment horizontal="center"/>
    </xf>
    <xf xfId="0" numFmtId="0" borderId="2" applyBorder="1" fontId="35" applyFont="1" fillId="21" applyFill="1" applyAlignment="1">
      <alignment horizontal="left"/>
    </xf>
    <xf xfId="0" numFmtId="3" applyNumberFormat="1" borderId="2" applyBorder="1" fontId="7" applyFont="1" fillId="50" applyFill="1" applyAlignment="1">
      <alignment horizontal="center"/>
    </xf>
    <xf xfId="0" numFmtId="3" applyNumberFormat="1" borderId="2" applyBorder="1" fontId="7" applyFont="1" fillId="90" applyFill="1" applyAlignment="1">
      <alignment horizontal="center"/>
    </xf>
    <xf xfId="0" numFmtId="4" applyNumberFormat="1" borderId="2" applyBorder="1" fontId="7" applyFont="1" fillId="97" applyFill="1" applyAlignment="1">
      <alignment horizontal="center"/>
    </xf>
    <xf xfId="0" numFmtId="0" borderId="2" applyBorder="1" fontId="7" applyFont="1" fillId="98" applyFill="1" applyAlignment="1">
      <alignment horizontal="left"/>
    </xf>
    <xf xfId="0" numFmtId="0" borderId="2" applyBorder="1" fontId="90" applyFont="1" fillId="3" applyFill="1" applyAlignment="1">
      <alignment horizontal="left"/>
    </xf>
    <xf xfId="0" numFmtId="169" applyNumberFormat="1" borderId="2" applyBorder="1" fontId="7" applyFont="1" fillId="99" applyFill="1" applyAlignment="1">
      <alignment horizontal="right"/>
    </xf>
    <xf xfId="0" numFmtId="4" applyNumberFormat="1" borderId="2" applyBorder="1" fontId="7" applyFont="1" fillId="100" applyFill="1" applyAlignment="1">
      <alignment horizontal="center"/>
    </xf>
    <xf xfId="0" numFmtId="4" applyNumberFormat="1" borderId="2" applyBorder="1" fontId="7" applyFont="1" fillId="101" applyFill="1" applyAlignment="1">
      <alignment horizontal="center"/>
    </xf>
    <xf xfId="0" numFmtId="0" borderId="2" applyBorder="1" fontId="7" applyFont="1" fillId="3" applyFill="1" applyAlignment="1">
      <alignment horizontal="center"/>
    </xf>
    <xf xfId="0" numFmtId="0" borderId="2" applyBorder="1" fontId="89" applyFont="1" fillId="3" applyFill="1" applyAlignment="1">
      <alignment horizontal="left"/>
    </xf>
    <xf xfId="0" numFmtId="3" applyNumberFormat="1" borderId="2" applyBorder="1" fontId="43" applyFont="1" fillId="3" applyFill="1" applyAlignment="1">
      <alignment horizontal="right"/>
    </xf>
    <xf xfId="0" numFmtId="0" borderId="2" applyBorder="1" fontId="44" applyFont="1" fillId="3" applyFill="1" applyAlignment="1">
      <alignment horizontal="left"/>
    </xf>
    <xf xfId="0" numFmtId="169" applyNumberFormat="1" borderId="2" applyBorder="1" fontId="7" applyFont="1" fillId="102" applyFill="1" applyAlignment="1">
      <alignment horizontal="right"/>
    </xf>
    <xf xfId="0" numFmtId="4" applyNumberFormat="1" borderId="2" applyBorder="1" fontId="7" applyFont="1" fillId="103" applyFill="1" applyAlignment="1">
      <alignment horizontal="center"/>
    </xf>
    <xf xfId="0" numFmtId="0" borderId="2" applyBorder="1" fontId="79" applyFont="1" fillId="13" applyFill="1" applyAlignment="1">
      <alignment horizontal="center"/>
    </xf>
    <xf xfId="0" numFmtId="169" applyNumberFormat="1" borderId="2" applyBorder="1" fontId="7" applyFont="1" fillId="104" applyFill="1" applyAlignment="1">
      <alignment horizontal="right"/>
    </xf>
    <xf xfId="0" numFmtId="4" applyNumberFormat="1" borderId="2" applyBorder="1" fontId="7" applyFont="1" fillId="71" applyFill="1" applyAlignment="1">
      <alignment horizontal="center"/>
    </xf>
    <xf xfId="0" numFmtId="4" applyNumberFormat="1" borderId="2" applyBorder="1" fontId="7" applyFont="1" fillId="105" applyFill="1" applyAlignment="1">
      <alignment horizontal="center"/>
    </xf>
    <xf xfId="0" numFmtId="4" applyNumberFormat="1" borderId="2" applyBorder="1" fontId="24" applyFont="1" fillId="3" applyFill="1" applyAlignment="1">
      <alignment horizontal="left"/>
    </xf>
    <xf xfId="0" numFmtId="0" borderId="2" applyBorder="1" fontId="7" applyFont="1" fillId="106" applyFill="1" applyAlignment="1">
      <alignment horizontal="left"/>
    </xf>
    <xf xfId="0" numFmtId="4" applyNumberFormat="1" borderId="2" applyBorder="1" fontId="7" applyFont="1" fillId="107" applyFill="1" applyAlignment="1">
      <alignment horizontal="center"/>
    </xf>
    <xf xfId="0" numFmtId="4" applyNumberFormat="1" borderId="2" applyBorder="1" fontId="7" applyFont="1" fillId="108" applyFill="1" applyAlignment="1">
      <alignment horizontal="center"/>
    </xf>
    <xf xfId="0" numFmtId="3" applyNumberFormat="1" borderId="2" applyBorder="1" fontId="7" applyFont="1" fillId="109" applyFill="1" applyAlignment="1">
      <alignment horizontal="center"/>
    </xf>
    <xf xfId="0" numFmtId="4" applyNumberFormat="1" borderId="2" applyBorder="1" fontId="7" applyFont="1" fillId="65" applyFill="1" applyAlignment="1">
      <alignment horizontal="center"/>
    </xf>
    <xf xfId="0" numFmtId="4" applyNumberFormat="1" borderId="2" applyBorder="1" fontId="7" applyFont="1" fillId="110" applyFill="1" applyAlignment="1">
      <alignment horizontal="center"/>
    </xf>
    <xf xfId="0" numFmtId="4" applyNumberFormat="1" borderId="2" applyBorder="1" fontId="7" applyFont="1" fillId="111" applyFill="1" applyAlignment="1">
      <alignment horizontal="center"/>
    </xf>
    <xf xfId="0" numFmtId="3" applyNumberFormat="1" borderId="2" applyBorder="1" fontId="22" applyFont="1" fillId="7" applyFill="1" applyAlignment="1">
      <alignment horizontal="right"/>
    </xf>
    <xf xfId="0" numFmtId="4" applyNumberFormat="1" borderId="2" applyBorder="1" fontId="7" applyFont="1" fillId="112" applyFill="1" applyAlignment="1">
      <alignment horizontal="center"/>
    </xf>
    <xf xfId="0" numFmtId="4" applyNumberFormat="1" borderId="2" applyBorder="1" fontId="7" applyFont="1" fillId="113" applyFill="1" applyAlignment="1">
      <alignment horizontal="center"/>
    </xf>
    <xf xfId="0" numFmtId="169" applyNumberFormat="1" borderId="1" applyBorder="1" fontId="4" applyFont="1" fillId="0" applyAlignment="1">
      <alignment horizontal="right"/>
    </xf>
    <xf xfId="0" numFmtId="3" applyNumberFormat="1" borderId="1" applyBorder="1" fontId="83" applyFont="1" fillId="0" applyAlignment="1">
      <alignment horizontal="center"/>
    </xf>
    <xf xfId="0" numFmtId="3" applyNumberFormat="1" borderId="2" applyBorder="1" fontId="83" applyFont="1" fillId="13" applyFill="1" applyAlignment="1">
      <alignment horizontal="center"/>
    </xf>
    <xf xfId="0" numFmtId="169" applyNumberFormat="1" borderId="2" applyBorder="1" fontId="7" applyFont="1" fillId="114" applyFill="1" applyAlignment="1">
      <alignment horizontal="right"/>
    </xf>
    <xf xfId="0" numFmtId="4" applyNumberFormat="1" borderId="2" applyBorder="1" fontId="7" applyFont="1" fillId="115" applyFill="1" applyAlignment="1">
      <alignment horizontal="center"/>
    </xf>
    <xf xfId="0" numFmtId="172" applyNumberFormat="1" borderId="2" applyBorder="1" fontId="7" applyFont="1" fillId="4" applyFill="1" applyAlignment="1">
      <alignment horizontal="right"/>
    </xf>
    <xf xfId="0" numFmtId="169" applyNumberFormat="1" borderId="2" applyBorder="1" fontId="7" applyFont="1" fillId="116" applyFill="1" applyAlignment="1">
      <alignment horizontal="right"/>
    </xf>
    <xf xfId="0" numFmtId="4" applyNumberFormat="1" borderId="2" applyBorder="1" fontId="7" applyFont="1" fillId="117" applyFill="1" applyAlignment="1">
      <alignment horizontal="center"/>
    </xf>
    <xf xfId="0" numFmtId="166" applyNumberFormat="1" borderId="2" applyBorder="1" fontId="22" applyFont="1" fillId="21" applyFill="1" applyAlignment="1">
      <alignment horizontal="right"/>
    </xf>
    <xf xfId="0" numFmtId="4" applyNumberFormat="1" borderId="2" applyBorder="1" fontId="7" applyFont="1" fillId="32" applyFill="1" applyAlignment="1">
      <alignment horizontal="center"/>
    </xf>
    <xf xfId="0" numFmtId="0" borderId="1" applyBorder="1" fontId="95" applyFont="1" fillId="0" applyAlignment="1">
      <alignment horizontal="left"/>
    </xf>
    <xf xfId="0" numFmtId="3" applyNumberFormat="1" borderId="1" applyBorder="1" fontId="6" applyFont="1" fillId="0" applyAlignment="1">
      <alignment horizontal="right"/>
    </xf>
    <xf xfId="0" numFmtId="3" applyNumberFormat="1" borderId="2" applyBorder="1" fontId="6" applyFont="1" fillId="21" applyFill="1" applyAlignment="1">
      <alignment horizontal="right"/>
    </xf>
    <xf xfId="0" numFmtId="0" borderId="2" applyBorder="1" fontId="43" applyFont="1" fillId="13" applyFill="1" applyAlignment="1">
      <alignment horizontal="left"/>
    </xf>
    <xf xfId="0" numFmtId="0" borderId="1" applyBorder="1" fontId="96" applyFont="1" fillId="0" applyAlignment="1">
      <alignment horizontal="left"/>
    </xf>
    <xf xfId="0" numFmtId="0" borderId="2" applyBorder="1" fontId="42" applyFont="1" fillId="118" applyFill="1" applyAlignment="1">
      <alignment horizontal="left"/>
    </xf>
    <xf xfId="0" numFmtId="169" applyNumberFormat="1" borderId="2" applyBorder="1" fontId="7" applyFont="1" fillId="119" applyFill="1" applyAlignment="1">
      <alignment horizontal="right"/>
    </xf>
    <xf xfId="0" numFmtId="4" applyNumberFormat="1" borderId="2" applyBorder="1" fontId="7" applyFont="1" fillId="120" applyFill="1" applyAlignment="1">
      <alignment horizontal="center"/>
    </xf>
    <xf xfId="0" numFmtId="4" applyNumberFormat="1" borderId="2" applyBorder="1" fontId="7" applyFont="1" fillId="121" applyFill="1" applyAlignment="1">
      <alignment horizontal="center"/>
    </xf>
    <xf xfId="0" numFmtId="4" applyNumberFormat="1" borderId="2" applyBorder="1" fontId="7" applyFont="1" fillId="122" applyFill="1" applyAlignment="1">
      <alignment horizontal="center"/>
    </xf>
    <xf xfId="0" numFmtId="3" applyNumberFormat="1" borderId="2" applyBorder="1" fontId="7" applyFont="1" fillId="57" applyFill="1" applyAlignment="1">
      <alignment horizontal="center"/>
    </xf>
    <xf xfId="0" numFmtId="169" applyNumberFormat="1" borderId="2" applyBorder="1" fontId="7" applyFont="1" fillId="123" applyFill="1" applyAlignment="1">
      <alignment horizontal="right"/>
    </xf>
    <xf xfId="0" numFmtId="3" applyNumberFormat="1" borderId="2" applyBorder="1" fontId="32" applyFont="1" fillId="3" applyFill="1" applyAlignment="1">
      <alignment horizontal="center"/>
    </xf>
    <xf xfId="0" numFmtId="4" applyNumberFormat="1" borderId="2" applyBorder="1" fontId="7" applyFont="1" fillId="124" applyFill="1" applyAlignment="1">
      <alignment horizontal="center"/>
    </xf>
    <xf xfId="0" numFmtId="4" applyNumberFormat="1" borderId="2" applyBorder="1" fontId="7" applyFont="1" fillId="125" applyFill="1" applyAlignment="1">
      <alignment horizontal="center"/>
    </xf>
    <xf xfId="0" numFmtId="3" applyNumberFormat="1" borderId="2" applyBorder="1" fontId="97" applyFont="1" fillId="3" applyFill="1" applyAlignment="1">
      <alignment horizontal="center"/>
    </xf>
    <xf xfId="0" numFmtId="4" applyNumberFormat="1" borderId="2" applyBorder="1" fontId="31" applyFont="1" fillId="3" applyFill="1" applyAlignment="1">
      <alignment horizontal="center"/>
    </xf>
    <xf xfId="0" numFmtId="169" applyNumberFormat="1" borderId="2" applyBorder="1" fontId="7" applyFont="1" fillId="11" applyFill="1" applyAlignment="1">
      <alignment horizontal="right"/>
    </xf>
    <xf xfId="0" numFmtId="169" applyNumberFormat="1" borderId="2" applyBorder="1" fontId="7" applyFont="1" fillId="126" applyFill="1" applyAlignment="1">
      <alignment horizontal="right"/>
    </xf>
    <xf xfId="0" numFmtId="4" applyNumberFormat="1" borderId="2" applyBorder="1" fontId="24" applyFont="1" fillId="21" applyFill="1" applyAlignment="1">
      <alignment horizontal="center"/>
    </xf>
    <xf xfId="0" numFmtId="4" applyNumberFormat="1" borderId="2" applyBorder="1" fontId="7" applyFont="1" fillId="127" applyFill="1" applyAlignment="1">
      <alignment horizontal="center"/>
    </xf>
    <xf xfId="0" numFmtId="4" applyNumberFormat="1" borderId="2" applyBorder="1" fontId="7" applyFont="1" fillId="128" applyFill="1" applyAlignment="1">
      <alignment horizontal="center"/>
    </xf>
    <xf xfId="0" numFmtId="169" applyNumberFormat="1" borderId="2" applyBorder="1" fontId="7" applyFont="1" fillId="129" applyFill="1" applyAlignment="1">
      <alignment horizontal="right"/>
    </xf>
    <xf xfId="0" numFmtId="4" applyNumberFormat="1" borderId="2" applyBorder="1" fontId="7" applyFont="1" fillId="130" applyFill="1" applyAlignment="1">
      <alignment horizontal="center"/>
    </xf>
    <xf xfId="0" numFmtId="4" applyNumberFormat="1" borderId="2" applyBorder="1" fontId="7" applyFont="1" fillId="131" applyFill="1" applyAlignment="1">
      <alignment horizontal="center"/>
    </xf>
    <xf xfId="0" numFmtId="3" applyNumberFormat="1" borderId="2" applyBorder="1" fontId="7" applyFont="1" fillId="131" applyFill="1" applyAlignment="1">
      <alignment horizontal="center"/>
    </xf>
    <xf xfId="0" numFmtId="4" applyNumberFormat="1" borderId="2" applyBorder="1" fontId="7" applyFont="1" fillId="109" applyFill="1" applyAlignment="1">
      <alignment horizontal="center"/>
    </xf>
    <xf xfId="0" numFmtId="4" applyNumberFormat="1" borderId="2" applyBorder="1" fontId="7" applyFont="1" fillId="132" applyFill="1" applyAlignment="1">
      <alignment horizontal="center"/>
    </xf>
    <xf xfId="0" numFmtId="4" applyNumberFormat="1" borderId="2" applyBorder="1" fontId="7" applyFont="1" fillId="133" applyFill="1" applyAlignment="1">
      <alignment horizontal="center"/>
    </xf>
    <xf xfId="0" numFmtId="172" applyNumberFormat="1" borderId="2" applyBorder="1" fontId="7" applyFont="1" fillId="3" applyFill="1" applyAlignment="1">
      <alignment horizontal="right"/>
    </xf>
    <xf xfId="0" numFmtId="0" borderId="1" applyBorder="1" fontId="94" applyFont="1" fillId="0" applyAlignment="1">
      <alignment horizontal="left"/>
    </xf>
    <xf xfId="0" numFmtId="4" applyNumberFormat="1" borderId="2" applyBorder="1" fontId="31" applyFont="1" fillId="21" applyFill="1" applyAlignment="1">
      <alignment horizontal="center"/>
    </xf>
    <xf xfId="0" numFmtId="3" applyNumberFormat="1" borderId="2" applyBorder="1" fontId="31" applyFont="1" fillId="66" applyFill="1" applyAlignment="1">
      <alignment horizontal="center"/>
    </xf>
    <xf xfId="0" numFmtId="172" applyNumberFormat="1" borderId="1" applyBorder="1" fontId="7" applyFont="1" fillId="0" applyAlignment="1">
      <alignment horizontal="left"/>
    </xf>
    <xf xfId="0" numFmtId="0" borderId="1" applyBorder="1" fontId="79" applyFont="1" fillId="0" applyAlignment="1">
      <alignment horizontal="center"/>
    </xf>
    <xf xfId="0" numFmtId="3" applyNumberFormat="1" borderId="2" applyBorder="1" fontId="7" applyFont="1" fillId="38" applyFill="1" applyAlignment="1">
      <alignment horizontal="center"/>
    </xf>
    <xf xfId="0" numFmtId="3" applyNumberFormat="1" borderId="2" applyBorder="1" fontId="7" applyFont="1" fillId="21" applyFill="1" applyAlignment="1">
      <alignment horizontal="center"/>
    </xf>
    <xf xfId="0" numFmtId="169" applyNumberFormat="1" borderId="2" applyBorder="1" fontId="7" applyFont="1" fillId="134" applyFill="1" applyAlignment="1">
      <alignment horizontal="right"/>
    </xf>
    <xf xfId="0" numFmtId="3" applyNumberFormat="1" borderId="2" applyBorder="1" fontId="7" applyFont="1" fillId="135" applyFill="1" applyAlignment="1">
      <alignment horizontal="center"/>
    </xf>
    <xf xfId="0" numFmtId="4" applyNumberFormat="1" borderId="2" applyBorder="1" fontId="7" applyFont="1" fillId="136" applyFill="1" applyAlignment="1">
      <alignment horizontal="center"/>
    </xf>
    <xf xfId="0" numFmtId="169" applyNumberFormat="1" borderId="2" applyBorder="1" fontId="7" applyFont="1" fillId="66" applyFill="1" applyAlignment="1">
      <alignment horizontal="right"/>
    </xf>
    <xf xfId="0" numFmtId="169" applyNumberFormat="1" borderId="2" applyBorder="1" fontId="7" applyFont="1" fillId="137" applyFill="1" applyAlignment="1">
      <alignment horizontal="right"/>
    </xf>
    <xf xfId="0" numFmtId="3" applyNumberFormat="1" borderId="1" applyBorder="1" fontId="83" applyFont="1" fillId="0" applyAlignment="1">
      <alignment horizontal="right"/>
    </xf>
    <xf xfId="0" numFmtId="3" applyNumberFormat="1" borderId="11" applyBorder="1" fontId="43" applyFont="1" fillId="0" applyAlignment="1">
      <alignment horizontal="right"/>
    </xf>
    <xf xfId="0" numFmtId="172" applyNumberFormat="1" borderId="11" applyBorder="1" fontId="7" applyFont="1" fillId="0" applyAlignment="1">
      <alignment horizontal="left"/>
    </xf>
    <xf xfId="0" numFmtId="169" applyNumberFormat="1" borderId="15" applyBorder="1" fontId="7" applyFont="1" fillId="21" applyFill="1" applyAlignment="1">
      <alignment horizontal="right"/>
    </xf>
    <xf xfId="0" numFmtId="0" borderId="11" applyBorder="1" fontId="86" applyFont="1" fillId="0" applyAlignment="1">
      <alignment horizontal="left"/>
    </xf>
    <xf xfId="0" numFmtId="0" borderId="11" applyBorder="1" fontId="45" applyFont="1" fillId="0" applyAlignment="1">
      <alignment horizontal="left"/>
    </xf>
    <xf xfId="0" numFmtId="169" applyNumberFormat="1" borderId="2" applyBorder="1" fontId="7" applyFont="1" fillId="138" applyFill="1" applyAlignment="1">
      <alignment horizontal="right"/>
    </xf>
    <xf xfId="0" numFmtId="4" applyNumberFormat="1" borderId="2" applyBorder="1" fontId="7" applyFont="1" fillId="139" applyFill="1" applyAlignment="1">
      <alignment horizontal="center"/>
    </xf>
    <xf xfId="0" numFmtId="169" applyNumberFormat="1" borderId="2" applyBorder="1" fontId="7" applyFont="1" fillId="140" applyFill="1" applyAlignment="1">
      <alignment horizontal="right"/>
    </xf>
    <xf xfId="0" numFmtId="4" applyNumberFormat="1" borderId="2" applyBorder="1" fontId="7" applyFont="1" fillId="141" applyFill="1" applyAlignment="1">
      <alignment horizontal="center"/>
    </xf>
    <xf xfId="0" numFmtId="4" applyNumberFormat="1" borderId="2" applyBorder="1" fontId="7" applyFont="1" fillId="142" applyFill="1" applyAlignment="1">
      <alignment horizontal="center"/>
    </xf>
    <xf xfId="0" numFmtId="4" applyNumberFormat="1" borderId="2" applyBorder="1" fontId="7" applyFont="1" fillId="143" applyFill="1" applyAlignment="1">
      <alignment horizontal="center"/>
    </xf>
    <xf xfId="0" numFmtId="3" applyNumberFormat="1" borderId="1" applyBorder="1" fontId="32" applyFont="1" fillId="0" applyAlignment="1">
      <alignment horizontal="center"/>
    </xf>
    <xf xfId="0" numFmtId="4" applyNumberFormat="1" borderId="2" applyBorder="1" fontId="7" applyFont="1" fillId="144" applyFill="1" applyAlignment="1">
      <alignment horizontal="center"/>
    </xf>
    <xf xfId="0" numFmtId="4" applyNumberFormat="1" borderId="2" applyBorder="1" fontId="31" applyFont="1" fillId="109" applyFill="1" applyAlignment="1">
      <alignment horizontal="center"/>
    </xf>
    <xf xfId="0" numFmtId="4" applyNumberFormat="1" borderId="2" applyBorder="1" fontId="31" applyFont="1" fillId="145" applyFill="1" applyAlignment="1">
      <alignment horizontal="center"/>
    </xf>
    <xf xfId="0" numFmtId="169" applyNumberFormat="1" borderId="2" applyBorder="1" fontId="7" applyFont="1" fillId="6" applyFill="1" applyAlignment="1">
      <alignment horizontal="right"/>
    </xf>
    <xf xfId="0" numFmtId="0" borderId="2" applyBorder="1" fontId="86" applyFont="1" fillId="3" applyFill="1" applyAlignment="1">
      <alignment horizontal="center"/>
    </xf>
    <xf xfId="0" numFmtId="4" applyNumberFormat="1" borderId="2" applyBorder="1" fontId="97" applyFont="1" fillId="144" applyFill="1" applyAlignment="1">
      <alignment horizontal="center"/>
    </xf>
    <xf xfId="0" numFmtId="4" applyNumberFormat="1" borderId="2" applyBorder="1" fontId="97" applyFont="1" fillId="109" applyFill="1" applyAlignment="1">
      <alignment horizontal="center"/>
    </xf>
    <xf xfId="0" numFmtId="3" applyNumberFormat="1" borderId="2" applyBorder="1" fontId="97" applyFont="1" fillId="145" applyFill="1" applyAlignment="1">
      <alignment horizontal="center"/>
    </xf>
    <xf xfId="0" numFmtId="169" applyNumberFormat="1" borderId="2" applyBorder="1" fontId="7" applyFont="1" fillId="146" applyFill="1" applyAlignment="1">
      <alignment horizontal="right"/>
    </xf>
    <xf xfId="0" numFmtId="172" applyNumberFormat="1" borderId="2" applyBorder="1" fontId="7" applyFont="1" fillId="3" applyFill="1" applyAlignment="1">
      <alignment horizontal="left"/>
    </xf>
    <xf xfId="0" numFmtId="4" applyNumberFormat="1" borderId="2" applyBorder="1" fontId="32" applyFont="1" fillId="147" applyFill="1" applyAlignment="1">
      <alignment horizontal="center"/>
    </xf>
    <xf xfId="0" numFmtId="169" applyNumberFormat="1" borderId="2" applyBorder="1" fontId="7" applyFont="1" fillId="148" applyFill="1" applyAlignment="1">
      <alignment horizontal="right"/>
    </xf>
    <xf xfId="0" numFmtId="4" applyNumberFormat="1" borderId="2" applyBorder="1" fontId="7" applyFont="1" fillId="145" applyFill="1" applyAlignment="1">
      <alignment horizontal="center"/>
    </xf>
    <xf xfId="0" numFmtId="4" applyNumberFormat="1" borderId="2" applyBorder="1" fontId="7" applyFont="1" fillId="149" applyFill="1" applyAlignment="1">
      <alignment horizontal="center"/>
    </xf>
    <xf xfId="0" numFmtId="169" applyNumberFormat="1" borderId="2" applyBorder="1" fontId="7" applyFont="1" fillId="150" applyFill="1" applyAlignment="1">
      <alignment horizontal="right"/>
    </xf>
    <xf xfId="0" numFmtId="169" applyNumberFormat="1" borderId="2" applyBorder="1" fontId="7" applyFont="1" fillId="151" applyFill="1" applyAlignment="1">
      <alignment horizontal="right"/>
    </xf>
    <xf xfId="0" numFmtId="169" applyNumberFormat="1" borderId="2" applyBorder="1" fontId="7" applyFont="1" fillId="152" applyFill="1" applyAlignment="1">
      <alignment horizontal="right"/>
    </xf>
    <xf xfId="0" numFmtId="4" applyNumberFormat="1" borderId="2" applyBorder="1" fontId="7" applyFont="1" fillId="153" applyFill="1" applyAlignment="1">
      <alignment horizontal="center"/>
    </xf>
    <xf xfId="0" numFmtId="4" applyNumberFormat="1" borderId="2" applyBorder="1" fontId="32" applyFont="1" fillId="153" applyFill="1" applyAlignment="1">
      <alignment horizontal="center"/>
    </xf>
    <xf xfId="0" numFmtId="172" applyNumberFormat="1" borderId="2" applyBorder="1" fontId="31" applyFont="1" fillId="3" applyFill="1" applyAlignment="1">
      <alignment horizontal="right"/>
    </xf>
    <xf xfId="0" numFmtId="169" applyNumberFormat="1" borderId="2" applyBorder="1" fontId="31" applyFont="1" fillId="21" applyFill="1" applyAlignment="1">
      <alignment horizontal="right"/>
    </xf>
    <xf xfId="0" numFmtId="0" borderId="2" applyBorder="1" fontId="23" applyFont="1" fillId="3" applyFill="1" applyAlignment="1">
      <alignment horizontal="left"/>
    </xf>
    <xf xfId="0" numFmtId="3" applyNumberFormat="1" borderId="2" applyBorder="1" fontId="7" applyFont="1" fillId="144" applyFill="1" applyAlignment="1">
      <alignment horizontal="center"/>
    </xf>
    <xf xfId="0" numFmtId="4" applyNumberFormat="1" borderId="2" applyBorder="1" fontId="7" applyFont="1" fillId="154" applyFill="1" applyAlignment="1">
      <alignment horizontal="center"/>
    </xf>
    <xf xfId="0" numFmtId="169" applyNumberFormat="1" borderId="2" applyBorder="1" fontId="7" applyFont="1" fillId="155" applyFill="1" applyAlignment="1">
      <alignment horizontal="right"/>
    </xf>
    <xf xfId="0" numFmtId="0" borderId="1" applyBorder="1" fontId="98" applyFont="1" fillId="0" applyAlignment="1">
      <alignment horizontal="left"/>
    </xf>
    <xf xfId="0" numFmtId="3" applyNumberFormat="1" borderId="1" applyBorder="1" fontId="97" applyFont="1" fillId="0" applyAlignment="1">
      <alignment horizontal="center"/>
    </xf>
    <xf xfId="0" numFmtId="169" applyNumberFormat="1" borderId="2" applyBorder="1" fontId="7" applyFont="1" fillId="156" applyFill="1" applyAlignment="1">
      <alignment horizontal="right"/>
    </xf>
    <xf xfId="0" numFmtId="4" applyNumberFormat="1" borderId="2" applyBorder="1" fontId="7" applyFont="1" fillId="157" applyFill="1" applyAlignment="1">
      <alignment horizontal="center"/>
    </xf>
    <xf xfId="0" numFmtId="169" applyNumberFormat="1" borderId="2" applyBorder="1" fontId="7" applyFont="1" fillId="158" applyFill="1" applyAlignment="1">
      <alignment horizontal="right"/>
    </xf>
    <xf xfId="0" numFmtId="4" applyNumberFormat="1" borderId="2" applyBorder="1" fontId="7" applyFont="1" fillId="159" applyFill="1" applyAlignment="1">
      <alignment horizontal="center"/>
    </xf>
    <xf xfId="0" numFmtId="169" applyNumberFormat="1" borderId="2" applyBorder="1" fontId="7" applyFont="1" fillId="160" applyFill="1" applyAlignment="1">
      <alignment horizontal="right"/>
    </xf>
    <xf xfId="0" numFmtId="0" borderId="2" applyBorder="1" fontId="94" applyFont="1" fillId="13" applyFill="1" applyAlignment="1">
      <alignment horizontal="left"/>
    </xf>
    <xf xfId="0" numFmtId="169" applyNumberFormat="1" borderId="2" applyBorder="1" fontId="7" applyFont="1" fillId="161" applyFill="1" applyAlignment="1">
      <alignment horizontal="right"/>
    </xf>
    <xf xfId="0" numFmtId="0" borderId="2" applyBorder="1" fontId="9" applyFont="1" fillId="13" applyFill="1" applyAlignment="1">
      <alignment horizontal="left"/>
    </xf>
    <xf xfId="0" numFmtId="4" applyNumberFormat="1" borderId="2" applyBorder="1" fontId="7" applyFont="1" fillId="162" applyFill="1" applyAlignment="1">
      <alignment horizontal="center"/>
    </xf>
    <xf xfId="0" numFmtId="0" borderId="2" applyBorder="1" fontId="82" applyFont="1" fillId="21" applyFill="1" applyAlignment="1">
      <alignment horizontal="left"/>
    </xf>
    <xf xfId="0" numFmtId="169" applyNumberFormat="1" borderId="2" applyBorder="1" fontId="7" applyFont="1" fillId="163" applyFill="1" applyAlignment="1">
      <alignment horizontal="right"/>
    </xf>
    <xf xfId="0" numFmtId="4" applyNumberFormat="1" borderId="2" applyBorder="1" fontId="7" applyFont="1" fillId="164" applyFill="1" applyAlignment="1">
      <alignment horizontal="center"/>
    </xf>
    <xf xfId="0" numFmtId="169" applyNumberFormat="1" borderId="2" applyBorder="1" fontId="7" applyFont="1" fillId="165" applyFill="1" applyAlignment="1">
      <alignment horizontal="right"/>
    </xf>
    <xf xfId="0" numFmtId="4" applyNumberFormat="1" borderId="2" applyBorder="1" fontId="7" applyFont="1" fillId="166" applyFill="1" applyAlignment="1">
      <alignment horizontal="center"/>
    </xf>
    <xf xfId="0" numFmtId="169" applyNumberFormat="1" borderId="2" applyBorder="1" fontId="7" applyFont="1" fillId="167" applyFill="1" applyAlignment="1">
      <alignment horizontal="right"/>
    </xf>
    <xf xfId="0" numFmtId="4" applyNumberFormat="1" borderId="2" applyBorder="1" fontId="7" applyFont="1" fillId="168" applyFill="1" applyAlignment="1">
      <alignment horizontal="center"/>
    </xf>
    <xf xfId="0" numFmtId="169" applyNumberFormat="1" borderId="2" applyBorder="1" fontId="7" applyFont="1" fillId="169" applyFill="1" applyAlignment="1">
      <alignment horizontal="right"/>
    </xf>
    <xf xfId="0" numFmtId="172" applyNumberFormat="1" borderId="2" applyBorder="1" fontId="7" applyFont="1" fillId="21" applyFill="1" applyAlignment="1">
      <alignment horizontal="left"/>
    </xf>
    <xf xfId="0" numFmtId="169" applyNumberFormat="1" borderId="2" applyBorder="1" fontId="7" applyFont="1" fillId="170" applyFill="1" applyAlignment="1">
      <alignment horizontal="right"/>
    </xf>
    <xf xfId="0" numFmtId="3" applyNumberFormat="1" borderId="2" applyBorder="1" fontId="83" applyFont="1" fillId="21" applyFill="1" applyAlignment="1">
      <alignment horizontal="right"/>
    </xf>
    <xf xfId="0" numFmtId="169" applyNumberFormat="1" borderId="2" applyBorder="1" fontId="7" applyFont="1" fillId="171" applyFill="1" applyAlignment="1">
      <alignment horizontal="right"/>
    </xf>
    <xf xfId="0" numFmtId="169" applyNumberFormat="1" borderId="2" applyBorder="1" fontId="7" applyFont="1" fillId="172" applyFill="1" applyAlignment="1">
      <alignment horizontal="right"/>
    </xf>
    <xf xfId="0" numFmtId="0" borderId="1" applyBorder="1" fontId="99" applyFont="1" fillId="0" applyAlignment="1">
      <alignment horizontal="left"/>
    </xf>
    <xf xfId="0" numFmtId="169" applyNumberFormat="1" borderId="2" applyBorder="1" fontId="7" applyFont="1" fillId="173" applyFill="1" applyAlignment="1">
      <alignment horizontal="right"/>
    </xf>
    <xf xfId="0" numFmtId="169" applyNumberFormat="1" borderId="2" applyBorder="1" fontId="7" applyFont="1" fillId="174" applyFill="1" applyAlignment="1">
      <alignment horizontal="right"/>
    </xf>
    <xf xfId="0" numFmtId="169" applyNumberFormat="1" borderId="2" applyBorder="1" fontId="7" applyFont="1" fillId="175" applyFill="1" applyAlignment="1">
      <alignment horizontal="right"/>
    </xf>
    <xf xfId="0" numFmtId="169" applyNumberFormat="1" borderId="2" applyBorder="1" fontId="7" applyFont="1" fillId="176" applyFill="1" applyAlignment="1">
      <alignment horizontal="right"/>
    </xf>
    <xf xfId="0" numFmtId="166" applyNumberFormat="1" borderId="2" applyBorder="1" fontId="22" applyFont="1" fillId="3" applyFill="1" applyAlignment="1">
      <alignment horizontal="right"/>
    </xf>
    <xf xfId="0" numFmtId="0" borderId="2" applyBorder="1" fontId="100" applyFont="1" fillId="3" applyFill="1" applyAlignment="1">
      <alignment horizontal="left"/>
    </xf>
    <xf xfId="0" numFmtId="0" borderId="2" applyBorder="1" fontId="99" applyFont="1" fillId="13" applyFill="1" applyAlignment="1">
      <alignment horizontal="left"/>
    </xf>
    <xf xfId="0" numFmtId="172" applyNumberFormat="1" borderId="1" applyBorder="1" fontId="31" applyFont="1" fillId="0" applyAlignment="1">
      <alignment horizontal="right"/>
    </xf>
    <xf xfId="0" numFmtId="0" borderId="1" applyBorder="1" fontId="101" applyFont="1" fillId="0" applyAlignment="1">
      <alignment horizontal="left"/>
    </xf>
    <xf xfId="0" numFmtId="0" borderId="2" applyBorder="1" fontId="9" applyFont="1" fillId="21" applyFill="1" applyAlignment="1">
      <alignment horizontal="left"/>
    </xf>
    <xf xfId="0" numFmtId="0" borderId="2" applyBorder="1" fontId="102" applyFont="1" fillId="13" applyFill="1" applyAlignment="1">
      <alignment horizontal="left"/>
    </xf>
    <xf xfId="0" numFmtId="0" borderId="15" applyBorder="1" fontId="22" applyFont="1" fillId="21" applyFill="1" applyAlignment="1">
      <alignment horizontal="left"/>
    </xf>
    <xf xfId="0" numFmtId="0" borderId="15" applyBorder="1" fontId="8" applyFont="1" fillId="21" applyFill="1" applyAlignment="1">
      <alignment horizontal="left"/>
    </xf>
    <xf xfId="0" numFmtId="4" applyNumberFormat="1" borderId="15" applyBorder="1" fontId="7" applyFont="1" fillId="13" applyFill="1" applyAlignment="1">
      <alignment horizontal="center"/>
    </xf>
    <xf xfId="0" numFmtId="0" borderId="11" applyBorder="1" fontId="79" applyFont="1" fillId="0" applyAlignment="1">
      <alignment horizontal="center"/>
    </xf>
    <xf xfId="0" numFmtId="0" borderId="15" applyBorder="1" fontId="89" applyFont="1" fillId="21" applyFill="1" applyAlignment="1">
      <alignment horizontal="left"/>
    </xf>
    <xf xfId="0" numFmtId="0" borderId="15" applyBorder="1" fontId="22" applyFont="1" fillId="13" applyFill="1" applyAlignment="1">
      <alignment horizontal="left"/>
    </xf>
    <xf xfId="0" numFmtId="0" borderId="15" applyBorder="1" fontId="86" applyFont="1" fillId="21" applyFill="1" applyAlignment="1">
      <alignment horizontal="center"/>
    </xf>
    <xf xfId="0" numFmtId="0" borderId="15" applyBorder="1" fontId="7" applyFont="1" fillId="21" applyFill="1" applyAlignment="1">
      <alignment horizontal="left"/>
    </xf>
    <xf xfId="0" numFmtId="172" applyNumberFormat="1" borderId="2" applyBorder="1" fontId="24" applyFont="1" fillId="13" applyFill="1" applyAlignment="1">
      <alignment horizontal="left"/>
    </xf>
    <xf xfId="0" numFmtId="169" applyNumberFormat="1" borderId="2" applyBorder="1" fontId="24" applyFont="1" fillId="13" applyFill="1" applyAlignment="1">
      <alignment horizontal="right"/>
    </xf>
    <xf xfId="0" numFmtId="173" applyNumberFormat="1" borderId="1" applyBorder="1" fontId="103" applyFont="1" fillId="0" applyAlignment="1">
      <alignment horizontal="right"/>
    </xf>
    <xf xfId="0" numFmtId="169" applyNumberFormat="1" borderId="2" applyBorder="1" fontId="7" applyFont="1" fillId="177" applyFill="1" applyAlignment="1">
      <alignment horizontal="right"/>
    </xf>
    <xf xfId="0" numFmtId="169" applyNumberFormat="1" borderId="2" applyBorder="1" fontId="7" applyFont="1" fillId="178" applyFill="1" applyAlignment="1">
      <alignment horizontal="right"/>
    </xf>
    <xf xfId="0" numFmtId="0" borderId="1" applyBorder="1" fontId="80" applyFont="1" fillId="0" applyAlignment="1">
      <alignment horizontal="center"/>
    </xf>
    <xf xfId="0" numFmtId="3" applyNumberFormat="1" borderId="2" applyBorder="1" fontId="6" applyFont="1" fillId="13" applyFill="1" applyAlignment="1">
      <alignment horizontal="right"/>
    </xf>
    <xf xfId="0" numFmtId="0" borderId="2" applyBorder="1" fontId="8" applyFont="1" fillId="13" applyFill="1" applyAlignment="1">
      <alignment horizontal="left"/>
    </xf>
    <xf xfId="0" numFmtId="4" applyNumberFormat="1" borderId="2" applyBorder="1" fontId="35" applyFont="1" fillId="13" applyFill="1" applyAlignment="1">
      <alignment horizontal="left"/>
    </xf>
    <xf xfId="0" numFmtId="172" applyNumberFormat="1" borderId="2" applyBorder="1" fontId="24" applyFont="1" fillId="21" applyFill="1" applyAlignment="1">
      <alignment horizontal="left"/>
    </xf>
    <xf xfId="0" numFmtId="169" applyNumberFormat="1" borderId="2" applyBorder="1" fontId="24" applyFont="1" fillId="21" applyFill="1" applyAlignment="1">
      <alignment horizontal="right"/>
    </xf>
    <xf xfId="0" numFmtId="0" borderId="2" applyBorder="1" fontId="94" applyFont="1" fillId="3" applyFill="1" applyAlignment="1">
      <alignment horizontal="left"/>
    </xf>
    <xf xfId="0" numFmtId="0" borderId="2" applyBorder="1" fontId="8" applyFont="1" fillId="3" applyFill="1" applyAlignment="1">
      <alignment horizontal="left"/>
    </xf>
    <xf xfId="0" numFmtId="169" applyNumberFormat="1" borderId="2" applyBorder="1" fontId="7" applyFont="1" fillId="179" applyFill="1" applyAlignment="1">
      <alignment horizontal="right"/>
    </xf>
    <xf xfId="0" numFmtId="0" borderId="1" applyBorder="1" fontId="103" applyFont="1" fillId="0" applyAlignment="1">
      <alignment horizontal="left"/>
    </xf>
    <xf xfId="0" numFmtId="169" applyNumberFormat="1" borderId="1" applyBorder="1" fontId="31" applyFont="1" fillId="0" applyAlignment="1">
      <alignment horizontal="right"/>
    </xf>
    <xf xfId="0" numFmtId="172" applyNumberFormat="1" borderId="2" applyBorder="1" fontId="31" applyFont="1" fillId="4" applyFill="1" applyAlignment="1">
      <alignment horizontal="right"/>
    </xf>
    <xf xfId="0" numFmtId="0" borderId="15" applyBorder="1" fontId="103" applyFont="1" fillId="13" applyFill="1" applyAlignment="1">
      <alignment horizontal="left"/>
    </xf>
    <xf xfId="0" numFmtId="4" applyNumberFormat="1" borderId="11" applyBorder="1" fontId="22" applyFont="1" fillId="0" applyAlignment="1">
      <alignment horizontal="right"/>
    </xf>
    <xf xfId="0" numFmtId="0" borderId="11" applyBorder="1" fontId="86" applyFont="1" fillId="0" applyAlignment="1">
      <alignment horizontal="center"/>
    </xf>
    <xf xfId="0" numFmtId="0" borderId="2" applyBorder="1" fontId="103" applyFont="1" fillId="13" applyFill="1" applyAlignment="1">
      <alignment horizontal="left"/>
    </xf>
    <xf xfId="0" numFmtId="0" borderId="1" applyBorder="1" fontId="100" applyFont="1" fillId="0" applyAlignment="1">
      <alignment horizontal="left"/>
    </xf>
    <xf xfId="0" numFmtId="0" borderId="1" applyBorder="1" fontId="9" applyFont="1" fillId="0" applyAlignment="1">
      <alignment horizontal="left"/>
    </xf>
    <xf xfId="0" numFmtId="0" borderId="2" applyBorder="1" fontId="104" applyFont="1" fillId="21" applyFill="1" applyAlignment="1">
      <alignment horizontal="left"/>
    </xf>
    <xf xfId="0" numFmtId="4" applyNumberFormat="1" borderId="1" applyBorder="1" fontId="30" applyFont="1" fillId="0" applyAlignment="1">
      <alignment horizontal="right"/>
    </xf>
    <xf xfId="0" numFmtId="0" borderId="11" applyBorder="1" fontId="42" applyFont="1" fillId="0" applyAlignment="1">
      <alignment horizontal="left"/>
    </xf>
    <xf xfId="0" numFmtId="0" borderId="11" applyBorder="1" fontId="103" applyFont="1" fillId="0" applyAlignment="1">
      <alignment horizontal="left"/>
    </xf>
    <xf xfId="0" numFmtId="0" borderId="11" applyBorder="1" fontId="78" applyFont="1" fillId="0" applyAlignment="1">
      <alignment horizontal="left"/>
    </xf>
    <xf xfId="0" numFmtId="3" applyNumberFormat="1" borderId="1" applyBorder="1" fontId="30" applyFont="1" fillId="0" applyAlignment="1">
      <alignment horizontal="right"/>
    </xf>
    <xf xfId="0" numFmtId="0" borderId="1" applyBorder="1" fontId="92" applyFont="1" fillId="0" applyAlignment="1">
      <alignment horizontal="left"/>
    </xf>
    <xf xfId="0" numFmtId="173" applyNumberFormat="1" borderId="1" applyBorder="1" fontId="8" applyFont="1" fillId="0" applyAlignment="1">
      <alignment horizontal="right"/>
    </xf>
    <xf xfId="0" numFmtId="0" borderId="1" applyBorder="1" fontId="105" applyFont="1" fillId="0" applyAlignment="1">
      <alignment horizontal="left"/>
    </xf>
    <xf xfId="0" numFmtId="0" borderId="1" applyBorder="1" fontId="104" applyFont="1" fillId="0" applyAlignment="1">
      <alignment horizontal="left"/>
    </xf>
    <xf xfId="0" numFmtId="173" applyNumberFormat="1" borderId="11" applyBorder="1" fontId="103" applyFont="1" fillId="0" applyAlignment="1">
      <alignment horizontal="right"/>
    </xf>
    <xf xfId="0" numFmtId="172" applyNumberFormat="1" borderId="15" applyBorder="1" fontId="7" applyFont="1" fillId="3" applyFill="1" applyAlignment="1">
      <alignment horizontal="right"/>
    </xf>
    <xf xfId="0" numFmtId="169" applyNumberFormat="1" borderId="15" applyBorder="1" fontId="7" applyFont="1" fillId="3" applyFill="1" applyAlignment="1">
      <alignment horizontal="right"/>
    </xf>
    <xf xfId="0" numFmtId="0" borderId="11" applyBorder="1" fontId="94" applyFont="1" fillId="0" applyAlignment="1">
      <alignment horizontal="left"/>
    </xf>
    <xf xfId="0" numFmtId="0" borderId="11" applyBorder="1" fontId="105" applyFont="1" fillId="0" applyAlignment="1">
      <alignment horizontal="left"/>
    </xf>
    <xf xfId="0" numFmtId="4" applyNumberFormat="1" borderId="11" applyBorder="1" fontId="6" applyFont="1" fillId="0" applyAlignment="1">
      <alignment horizontal="right"/>
    </xf>
    <xf xfId="0" numFmtId="4" applyNumberFormat="1" borderId="11" applyBorder="1" fontId="7" applyFont="1" fillId="0" applyAlignment="1">
      <alignment horizontal="right"/>
    </xf>
    <xf xfId="0" numFmtId="0" borderId="11" applyBorder="1" fontId="89" applyFont="1" fillId="0" applyAlignment="1">
      <alignment horizontal="left"/>
    </xf>
    <xf xfId="0" numFmtId="0" borderId="1" applyBorder="1" fontId="24" applyFont="1" fillId="0" applyAlignment="1">
      <alignment horizontal="left"/>
    </xf>
    <xf xfId="0" numFmtId="4" applyNumberFormat="1" borderId="1" applyBorder="1" fontId="106" applyFont="1" fillId="0" applyAlignment="1">
      <alignment horizontal="center"/>
    </xf>
    <xf xfId="0" numFmtId="0" borderId="1" applyBorder="1" fontId="107" applyFont="1" fillId="0" applyAlignment="1">
      <alignment horizontal="left"/>
    </xf>
    <xf xfId="0" numFmtId="172" applyNumberFormat="1" borderId="0" fontId="0" fillId="0" applyAlignment="1">
      <alignment horizontal="right"/>
    </xf>
    <xf xfId="0" numFmtId="169" applyNumberFormat="1" borderId="0" fontId="0" fillId="0" applyAlignment="1">
      <alignment horizontal="right"/>
    </xf>
    <xf xfId="0" numFmtId="166"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Z1000" displayName="Table_10" name="Table_10" id="1" headerRowCount="0" totalsRowShown="0">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TableStyleLight1" showColumnStripes="0" showRowStripes="1" showLastColumn="1" showFirstColumn="1"/>
</table>
</file>

<file path=xl/tables/table2.xml><?xml version="1.0" encoding="utf-8"?>
<table xmlns="http://schemas.openxmlformats.org/spreadsheetml/2006/main" ref="A2:O33" displayName="Table_9" name="Table_9" id="2" totalsRowShown="0">
  <autoFilter ref="A2:O33"/>
  <tableColumns count="15">
    <tableColumn name="Lab" id="1"/>
    <tableColumn name="Robot" id="2"/>
    <tableColumn name="Country" id="3"/>
    <tableColumn name="Release" id="4"/>
    <tableColumn name="Height (cm)" id="5"/>
    <tableColumn name="Weight (kg)" id="6"/>
    <tableColumn name="Walk (km/h)" id="7"/>
    <tableColumn name="Run (km/h)" id="8"/>
    <tableColumn name="Payload/carry (kg)" id="9"/>
    <tableColumn name="Power (hours)" id="10"/>
    <tableColumn name="Link" id="11"/>
    <tableColumn name="Video" id="12"/>
    <tableColumn name="Clothed?" id="13"/>
    <tableColumn name="US$ ('000)" id="14"/>
    <tableColumn name="Notes" id="15"/>
  </tableColumns>
  <tableStyleInfo name="TableStyleLight1" showColumnStripes="0" showRowStripes="1" showLastColumn="1" showFirstColumn="1"/>
</table>
</file>

<file path=xl/tables/table3.xml><?xml version="1.0" encoding="utf-8"?>
<table xmlns="http://schemas.openxmlformats.org/spreadsheetml/2006/main" ref="A1:T1010" displayName="Table_8" name="Table_8" id="3" headerRowCount="0" totalsRowShown="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ableStyleLight1" showColumnStripes="0" showRowStripes="1" showLastColumn="1" showFirstColumn="1"/>
</table>
</file>

<file path=xl/tables/table4.xml><?xml version="1.0" encoding="utf-8"?>
<table xmlns="http://schemas.openxmlformats.org/spreadsheetml/2006/main" ref="A1:K60" displayName="Table_7" name="Table_7" id="4" headerRowCount="0" totalsRowShown="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ableStyleLight1" showColumnStripes="0" showRowStripes="1" showLastColumn="1" showFirstColumn="1"/>
</table>
</file>

<file path=xl/tables/table5.xml><?xml version="1.0" encoding="utf-8"?>
<table xmlns="http://schemas.openxmlformats.org/spreadsheetml/2006/main" ref="A1:P1" displayName="Table_5" name="Table_5" id="5" headerRowCount="0" totalsRowShown="0">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TableStyleLight1" showColumnStripes="0" showRowStripes="1" showLastColumn="1" showFirstColumn="1"/>
</table>
</file>

<file path=xl/tables/table6.xml><?xml version="1.0" encoding="utf-8"?>
<table xmlns="http://schemas.openxmlformats.org/spreadsheetml/2006/main" ref="A2:P59" displayName="Table_6" name="Table_6" id="6" headerRowCount="0" totalsRowShown="0">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TableStyleLight1" showColumnStripes="0" showRowStripes="1" showLastColumn="1" showFirstColumn="1"/>
</table>
</file>

<file path=xl/tables/table7.xml><?xml version="1.0" encoding="utf-8"?>
<table xmlns="http://schemas.openxmlformats.org/spreadsheetml/2006/main" ref="A1:S35" displayName="Table_4" name="Table_4" id="7" headerRowCount="0" totalsRowShown="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TableStyleLight1" showColumnStripes="0" showRowStripes="1" showLastColumn="1" showFirstColumn="1"/>
</table>
</file>

<file path=xl/tables/table8.xml><?xml version="1.0" encoding="utf-8"?>
<table xmlns="http://schemas.openxmlformats.org/spreadsheetml/2006/main" ref="A2:O33" displayName="Table_2" name="Table_2" id="8" headerRowCount="0" totalsRowShown="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ableStyleLight1" showColumnStripes="0" showRowStripes="1" showLastColumn="1" showFirstColumn="1"/>
</table>
</file>

<file path=xl/tables/table9.xml><?xml version="1.0" encoding="utf-8"?>
<table xmlns="http://schemas.openxmlformats.org/spreadsheetml/2006/main" ref="A34:O47" displayName="Table_3" name="Table_3" id="9" headerRowCount="0" totalsRowShown="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ableStyleLight1" showColumnStripes="0" showRowStripes="1" showLastColumn="1" showFirstColumn="1"/>
</table>
</file>

<file path=xl/tables/table10.xml><?xml version="1.0" encoding="utf-8"?>
<table xmlns="http://schemas.openxmlformats.org/spreadsheetml/2006/main" ref="A1:S754" displayName="Table_1" name="Table_1" id="10" headerRowCount="0" totalsRowShown="0">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TableStyleLight1" showColumnStripes="0" showRowStripes="1" showLastColumn="1" showFirstColumn="1"/>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10.xml" Type="http://schemas.openxmlformats.org/officeDocument/2006/relationships/table" Id="rId1"/></Relationships>
</file>

<file path=xl/worksheets/_rels/sheet2.xml.rels><?xml version="1.0" encoding="UTF-8" standalone="yes"?><Relationships xmlns="http://schemas.openxmlformats.org/package/2006/relationships"><Relationship Target="../tables/table8.xml" Type="http://schemas.openxmlformats.org/officeDocument/2006/relationships/table" Id="rId1"/><Relationship Target="../tables/table9.xml" Type="http://schemas.openxmlformats.org/officeDocument/2006/relationships/table" Id="rId2"/></Relationships>
</file>

<file path=xl/worksheets/_rels/sheet3.xml.rels><?xml version="1.0" encoding="UTF-8" standalone="yes"?><Relationships xmlns="http://schemas.openxmlformats.org/package/2006/relationships"><Relationship Target="../tables/table7.xml" Type="http://schemas.openxmlformats.org/officeDocument/2006/relationships/table" Id="rId1"/></Relationships>
</file>

<file path=xl/worksheets/_rels/sheet4.xml.rels><?xml version="1.0" encoding="UTF-8" standalone="yes"?><Relationships xmlns="http://schemas.openxmlformats.org/package/2006/relationships"><Relationship Target="../tables/table5.xml" Type="http://schemas.openxmlformats.org/officeDocument/2006/relationships/table" Id="rId1"/><Relationship Target="../tables/table6.xml" Type="http://schemas.openxmlformats.org/officeDocument/2006/relationships/table" Id="rId2"/></Relationships>
</file>

<file path=xl/worksheets/_rels/sheet5.xml.rels><?xml version="1.0" encoding="UTF-8" standalone="yes"?><Relationships xmlns="http://schemas.openxmlformats.org/package/2006/relationships"><Relationship Target="../tables/table4.xml" Type="http://schemas.openxmlformats.org/officeDocument/2006/relationships/table" Id="rId1"/></Relationships>
</file>

<file path=xl/worksheets/_rels/sheet6.xml.rels><?xml version="1.0" encoding="UTF-8" standalone="yes"?><Relationships xmlns="http://schemas.openxmlformats.org/package/2006/relationships"><Relationship Target="../tables/table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xml" Type="http://schemas.openxmlformats.org/officeDocument/2006/relationships/table" Id="rId1"/></Relationships>
</file>

<file path=xl/worksheets/_rels/sheet8.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754"/>
  <sheetViews>
    <sheetView workbookViewId="0" tabSelected="1">
      <pane state="frozen" activePane="bottomLeft" topLeftCell="A3" ySplit="2" xSplit="0"/>
    </sheetView>
  </sheetViews>
  <sheetFormatPr defaultRowHeight="15" x14ac:dyDescent="0.25"/>
  <cols>
    <col min="1" max="1" style="4" width="21.290714285714284" customWidth="1" bestFit="1"/>
    <col min="2" max="2" style="237" width="18.290714285714284" customWidth="1" bestFit="1"/>
    <col min="3" max="3" style="4" width="12.290714285714287" customWidth="1" bestFit="1"/>
    <col min="4" max="4" style="238" width="12.576428571428572" customWidth="1" bestFit="1"/>
    <col min="5" max="5" style="238" width="11.290714285714287" customWidth="1" bestFit="1"/>
    <col min="6" max="6" style="888" width="17.433571428571426" customWidth="1" bestFit="1"/>
    <col min="7" max="7" style="889" width="8.43357142857143" customWidth="1" bestFit="1"/>
    <col min="8" max="8" style="415" width="7.2907142857142855" customWidth="1" bestFit="1"/>
    <col min="9" max="9" style="415" width="7.2907142857142855" customWidth="1" bestFit="1"/>
    <col min="10" max="10" style="415" width="7.2907142857142855" customWidth="1" bestFit="1"/>
    <col min="11" max="11" style="415" width="7.2907142857142855" customWidth="1" bestFit="1"/>
    <col min="12" max="12" style="237" width="16.862142857142857" customWidth="1" bestFit="1"/>
    <col min="13" max="13" style="890" width="11.719285714285713" customWidth="1" bestFit="1"/>
    <col min="14" max="14" style="196" width="10.290714285714287" customWidth="1" bestFit="1"/>
    <col min="15" max="15" style="4" width="8.43357142857143" customWidth="1" bestFit="1"/>
    <col min="16" max="16" style="4" width="6.862142857142857" customWidth="1" bestFit="1"/>
    <col min="17" max="17" style="196" width="15.43357142857143" customWidth="1" bestFit="1"/>
    <col min="18" max="18" style="4" width="83.14785714285713" customWidth="1" bestFit="1"/>
    <col min="19" max="19" style="240" width="8.719285714285713" customWidth="1" bestFit="1"/>
  </cols>
  <sheetData>
    <row x14ac:dyDescent="0.25" r="1" customHeight="1" ht="17.25">
      <c r="A1" s="416">
        <f>"("&amp;COUNTIFS('Models Table'!M3:M754, "&lt;&gt;TBA", 'Models Table'!M3:M754, "&lt;&gt;")&amp;") Permalink:"</f>
      </c>
      <c r="B1" s="417" t="s">
        <v>782</v>
      </c>
      <c r="C1" s="418"/>
      <c r="D1" s="419"/>
      <c r="E1" s="419" t="s">
        <v>783</v>
      </c>
      <c r="F1" s="420" t="s">
        <v>784</v>
      </c>
      <c r="G1" s="421"/>
      <c r="H1" s="422"/>
      <c r="I1" s="422"/>
      <c r="J1" s="419" t="s">
        <v>455</v>
      </c>
      <c r="K1" s="423" t="s">
        <v>456</v>
      </c>
      <c r="L1" s="424"/>
      <c r="M1" s="425"/>
      <c r="N1" s="424"/>
      <c r="O1" s="426"/>
      <c r="P1" s="426"/>
      <c r="Q1" s="426"/>
      <c r="R1" s="426"/>
      <c r="S1" s="427"/>
    </row>
    <row x14ac:dyDescent="0.25" r="2" customHeight="1" ht="39">
      <c r="A2" s="428" t="s">
        <v>149</v>
      </c>
      <c r="B2" s="428" t="s">
        <v>45</v>
      </c>
      <c r="C2" s="428" t="s">
        <v>691</v>
      </c>
      <c r="D2" s="429" t="s">
        <v>785</v>
      </c>
      <c r="E2" s="429" t="s">
        <v>786</v>
      </c>
      <c r="F2" s="430" t="s">
        <v>787</v>
      </c>
      <c r="G2" s="431" t="s">
        <v>788</v>
      </c>
      <c r="H2" s="432" t="s">
        <v>715</v>
      </c>
      <c r="I2" s="432" t="s">
        <v>789</v>
      </c>
      <c r="J2" s="432" t="s">
        <v>723</v>
      </c>
      <c r="K2" s="432" t="s">
        <v>727</v>
      </c>
      <c r="L2" s="428" t="s">
        <v>731</v>
      </c>
      <c r="M2" s="433" t="s">
        <v>790</v>
      </c>
      <c r="N2" s="434" t="s">
        <v>464</v>
      </c>
      <c r="O2" s="435" t="s">
        <v>741</v>
      </c>
      <c r="P2" s="428" t="s">
        <v>744</v>
      </c>
      <c r="Q2" s="434" t="s">
        <v>746</v>
      </c>
      <c r="R2" s="428" t="s">
        <v>58</v>
      </c>
      <c r="S2" s="436" t="s">
        <v>791</v>
      </c>
    </row>
    <row x14ac:dyDescent="0.25" r="3" customHeight="1" ht="25.5">
      <c r="A3" s="437" t="s">
        <v>792</v>
      </c>
      <c r="B3" s="438" t="s">
        <v>517</v>
      </c>
      <c r="C3" s="439" t="s">
        <v>519</v>
      </c>
      <c r="D3" s="440">
        <v>2000</v>
      </c>
      <c r="E3" s="441">
        <v>30000</v>
      </c>
      <c r="F3" s="263">
        <f>IF(E3&lt;&gt;"", ROUNDUP(E3/D3,0),"")</f>
        <v>25568.666666666668</v>
      </c>
      <c r="G3" s="442">
        <f>IF(E3&lt;&gt;"", (SQRT(D3*E3))/300, "")</f>
      </c>
      <c r="H3" s="443"/>
      <c r="I3" s="443"/>
      <c r="J3" s="443"/>
      <c r="K3" s="444"/>
      <c r="L3" s="445"/>
      <c r="M3" s="446" t="s">
        <v>793</v>
      </c>
      <c r="N3" s="447" t="s">
        <v>470</v>
      </c>
      <c r="O3" s="448"/>
      <c r="P3" s="449"/>
      <c r="Q3" s="450"/>
      <c r="R3" s="449" t="s">
        <v>794</v>
      </c>
      <c r="S3" s="451" t="s">
        <v>795</v>
      </c>
    </row>
    <row x14ac:dyDescent="0.25" r="4" customHeight="1" ht="23.25">
      <c r="A4" s="438" t="s">
        <v>796</v>
      </c>
      <c r="B4" s="452" t="s">
        <v>498</v>
      </c>
      <c r="C4" s="453" t="s">
        <v>797</v>
      </c>
      <c r="D4" s="440">
        <v>2000</v>
      </c>
      <c r="E4" s="441">
        <v>30000</v>
      </c>
      <c r="F4" s="454"/>
      <c r="G4" s="442"/>
      <c r="H4" s="455"/>
      <c r="I4" s="455"/>
      <c r="J4" s="455"/>
      <c r="K4" s="444"/>
      <c r="L4" s="445"/>
      <c r="M4" s="446" t="s">
        <v>793</v>
      </c>
      <c r="N4" s="447"/>
      <c r="O4" s="456"/>
      <c r="P4" s="457"/>
      <c r="Q4" s="458"/>
      <c r="R4" s="457" t="s">
        <v>798</v>
      </c>
      <c r="S4" s="451" t="s">
        <v>799</v>
      </c>
    </row>
    <row x14ac:dyDescent="0.25" r="5" customHeight="1" ht="24.75">
      <c r="A5" s="438" t="s">
        <v>478</v>
      </c>
      <c r="B5" s="459" t="s">
        <v>479</v>
      </c>
      <c r="C5" s="453" t="s">
        <v>800</v>
      </c>
      <c r="D5" s="460">
        <v>1200</v>
      </c>
      <c r="E5" s="441">
        <v>15640</v>
      </c>
      <c r="F5" s="454">
        <f>IF(E5&lt;&gt;"", ROUNDUP(E5/D5,0),"")</f>
        <v>25568.666666666668</v>
      </c>
      <c r="G5" s="442">
        <f>IF(E5&lt;&gt;"", (SQRT(D5*E5))/300, "")</f>
      </c>
      <c r="H5" s="455"/>
      <c r="I5" s="455"/>
      <c r="J5" s="455"/>
      <c r="K5" s="444"/>
      <c r="L5" s="445"/>
      <c r="M5" s="446" t="s">
        <v>793</v>
      </c>
      <c r="N5" s="447" t="s">
        <v>503</v>
      </c>
      <c r="O5" s="439" t="s">
        <v>801</v>
      </c>
      <c r="P5" s="457" t="s">
        <v>802</v>
      </c>
      <c r="Q5" s="458" t="s">
        <v>803</v>
      </c>
      <c r="R5" s="461" t="s">
        <v>804</v>
      </c>
      <c r="S5" s="451" t="s">
        <v>805</v>
      </c>
    </row>
    <row x14ac:dyDescent="0.25" r="6" customHeight="1" ht="23.25">
      <c r="A6" s="437" t="s">
        <v>806</v>
      </c>
      <c r="B6" s="462" t="s">
        <v>490</v>
      </c>
      <c r="C6" s="439" t="s">
        <v>807</v>
      </c>
      <c r="D6" s="463"/>
      <c r="E6" s="463"/>
      <c r="F6" s="454">
        <f>IF(E6&lt;&gt;"", ROUNDUP(E6/D6,0),"")</f>
        <v>25568.666666666668</v>
      </c>
      <c r="G6" s="442">
        <f>IF(E6&lt;&gt;"", (SQRT(D6*E6))/300, "")</f>
      </c>
      <c r="H6" s="455"/>
      <c r="I6" s="455"/>
      <c r="J6" s="455"/>
      <c r="K6" s="444"/>
      <c r="L6" s="445"/>
      <c r="M6" s="446" t="s">
        <v>793</v>
      </c>
      <c r="N6" s="464"/>
      <c r="O6" s="465"/>
      <c r="P6" s="457"/>
      <c r="Q6" s="458" t="s">
        <v>808</v>
      </c>
      <c r="R6" s="457" t="s">
        <v>798</v>
      </c>
      <c r="S6" s="451" t="s">
        <v>809</v>
      </c>
    </row>
    <row x14ac:dyDescent="0.25" r="7" customHeight="1" ht="23.25">
      <c r="A7" s="438" t="s">
        <v>810</v>
      </c>
      <c r="B7" s="462" t="s">
        <v>811</v>
      </c>
      <c r="C7" s="439" t="s">
        <v>812</v>
      </c>
      <c r="D7" s="460">
        <v>6000</v>
      </c>
      <c r="E7" s="441">
        <v>100000</v>
      </c>
      <c r="F7" s="454">
        <f>IF(E7&lt;&gt;"", ROUNDUP(E7/D7,0),"")</f>
        <v>25568.666666666668</v>
      </c>
      <c r="G7" s="442">
        <f>IF(E7&lt;&gt;"", (SQRT(D7*E7))/300, "")</f>
      </c>
      <c r="H7" s="455"/>
      <c r="I7" s="455"/>
      <c r="J7" s="455"/>
      <c r="K7" s="444"/>
      <c r="L7" s="445"/>
      <c r="M7" s="446" t="s">
        <v>793</v>
      </c>
      <c r="N7" s="464"/>
      <c r="O7" s="465"/>
      <c r="P7" s="457" t="s">
        <v>802</v>
      </c>
      <c r="Q7" s="458"/>
      <c r="R7" s="466" t="s">
        <v>813</v>
      </c>
      <c r="S7" s="451" t="s">
        <v>814</v>
      </c>
    </row>
    <row x14ac:dyDescent="0.25" r="8" customHeight="1" ht="24.75">
      <c r="A8" s="438" t="s">
        <v>815</v>
      </c>
      <c r="B8" s="467" t="s">
        <v>816</v>
      </c>
      <c r="C8" s="468" t="s">
        <v>817</v>
      </c>
      <c r="D8" s="469">
        <v>4</v>
      </c>
      <c r="E8" s="460">
        <v>80</v>
      </c>
      <c r="F8" s="454">
        <f>IF(E8&lt;&gt;"", ROUNDUP(E8/D8,0),"")</f>
        <v>25568.666666666668</v>
      </c>
      <c r="G8" s="442">
        <f>IF(E8&lt;&gt;"", (SQRT(D8*E8))/300, "")</f>
      </c>
      <c r="H8" s="444"/>
      <c r="I8" s="470"/>
      <c r="J8" s="444"/>
      <c r="K8" s="470"/>
      <c r="L8" s="471" t="s">
        <v>818</v>
      </c>
      <c r="M8" s="446" t="s">
        <v>793</v>
      </c>
      <c r="N8" s="464" t="s">
        <v>503</v>
      </c>
      <c r="O8" s="468" t="s">
        <v>817</v>
      </c>
      <c r="P8" s="438" t="s">
        <v>819</v>
      </c>
      <c r="Q8" s="472"/>
      <c r="R8" s="467" t="s">
        <v>820</v>
      </c>
      <c r="S8" s="473" t="s">
        <v>821</v>
      </c>
    </row>
    <row x14ac:dyDescent="0.25" r="9" customHeight="1" ht="24.75">
      <c r="A9" s="438" t="s">
        <v>822</v>
      </c>
      <c r="B9" s="467" t="s">
        <v>823</v>
      </c>
      <c r="C9" s="468" t="s">
        <v>824</v>
      </c>
      <c r="D9" s="469">
        <v>420</v>
      </c>
      <c r="E9" s="460">
        <v>20000</v>
      </c>
      <c r="F9" s="454">
        <f>IF(E9&lt;&gt;"", ROUNDUP(E9/D9,0),"")</f>
        <v>25568.666666666668</v>
      </c>
      <c r="G9" s="442">
        <f>IF(E9&lt;&gt;"", (SQRT(D9*E9))/300, "")</f>
      </c>
      <c r="H9" s="444"/>
      <c r="I9" s="470"/>
      <c r="J9" s="444"/>
      <c r="K9" s="470"/>
      <c r="L9" s="474"/>
      <c r="M9" s="475" t="s">
        <v>793</v>
      </c>
      <c r="N9" s="464" t="s">
        <v>503</v>
      </c>
      <c r="O9" s="468" t="s">
        <v>824</v>
      </c>
      <c r="P9" s="438" t="s">
        <v>802</v>
      </c>
      <c r="Q9" s="472" t="s">
        <v>445</v>
      </c>
      <c r="R9" s="467" t="s">
        <v>825</v>
      </c>
      <c r="S9" s="473" t="s">
        <v>826</v>
      </c>
    </row>
    <row x14ac:dyDescent="0.25" r="10" customHeight="1" ht="24.75">
      <c r="A10" s="228" t="s">
        <v>827</v>
      </c>
      <c r="B10" s="462" t="s">
        <v>828</v>
      </c>
      <c r="C10" s="476" t="s">
        <v>829</v>
      </c>
      <c r="D10" s="477">
        <v>4</v>
      </c>
      <c r="E10" s="478">
        <v>14000</v>
      </c>
      <c r="F10" s="230">
        <f>IF(E10&lt;&gt;"", ROUNDUP(E10/D10,0),"")</f>
        <v>25568.666666666668</v>
      </c>
      <c r="G10" s="479">
        <f>IF(E10&lt;&gt;"", (SQRT(D10*E10))/300, "")</f>
      </c>
      <c r="H10" s="480">
        <v>67.2</v>
      </c>
      <c r="I10" s="480"/>
      <c r="J10" s="480"/>
      <c r="K10" s="481"/>
      <c r="L10" s="482" t="s">
        <v>830</v>
      </c>
      <c r="M10" s="269">
        <v>46023</v>
      </c>
      <c r="N10" s="223" t="s">
        <v>503</v>
      </c>
      <c r="O10" s="483" t="s">
        <v>831</v>
      </c>
      <c r="P10" s="228" t="s">
        <v>819</v>
      </c>
      <c r="Q10" s="484"/>
      <c r="R10" s="25" t="s">
        <v>832</v>
      </c>
      <c r="S10" s="485">
        <v>744</v>
      </c>
    </row>
    <row x14ac:dyDescent="0.25" r="11" customHeight="1" ht="24.75">
      <c r="A11" s="228" t="s">
        <v>833</v>
      </c>
      <c r="B11" s="21" t="s">
        <v>834</v>
      </c>
      <c r="C11" s="476" t="s">
        <v>835</v>
      </c>
      <c r="D11" s="477">
        <v>32</v>
      </c>
      <c r="E11" s="486">
        <v>36000</v>
      </c>
      <c r="F11" s="230">
        <f>IF(E11&lt;&gt;"", ROUNDUP(E11/D11,0),"")</f>
        <v>25568.666666666668</v>
      </c>
      <c r="G11" s="487">
        <f>IF(E11&lt;&gt;"", (SQRT(D11*E11))/300, "")</f>
      </c>
      <c r="H11" s="488"/>
      <c r="I11" s="488"/>
      <c r="J11" s="488"/>
      <c r="K11" s="481"/>
      <c r="L11" s="489" t="s">
        <v>836</v>
      </c>
      <c r="M11" s="269">
        <v>46023</v>
      </c>
      <c r="N11" s="490" t="s">
        <v>503</v>
      </c>
      <c r="O11" s="491" t="s">
        <v>837</v>
      </c>
      <c r="P11" s="492" t="s">
        <v>819</v>
      </c>
      <c r="Q11" s="493"/>
      <c r="R11" s="21" t="s">
        <v>838</v>
      </c>
      <c r="S11" s="485">
        <v>743</v>
      </c>
    </row>
    <row x14ac:dyDescent="0.25" r="12" customHeight="1" ht="24.75">
      <c r="A12" s="259" t="s">
        <v>839</v>
      </c>
      <c r="B12" s="494" t="s">
        <v>474</v>
      </c>
      <c r="C12" s="495"/>
      <c r="D12" s="496">
        <v>28</v>
      </c>
      <c r="E12" s="496">
        <v>9700</v>
      </c>
      <c r="F12" s="263">
        <f>IF(E12&lt;&gt;"", ROUNDUP(E12/D12,0),"")</f>
        <v>25568.666666666668</v>
      </c>
      <c r="G12" s="487">
        <f>IF(E12&lt;&gt;"", (SQRT(D12*E12))/300, "")</f>
      </c>
      <c r="H12" s="497"/>
      <c r="I12" s="498"/>
      <c r="J12" s="481"/>
      <c r="K12" s="481"/>
      <c r="L12" s="499" t="s">
        <v>840</v>
      </c>
      <c r="M12" s="269">
        <v>46023</v>
      </c>
      <c r="N12" s="500" t="s">
        <v>470</v>
      </c>
      <c r="O12" s="501" t="s">
        <v>841</v>
      </c>
      <c r="P12" s="492" t="s">
        <v>819</v>
      </c>
      <c r="Q12" s="502"/>
      <c r="R12" s="503" t="s">
        <v>842</v>
      </c>
      <c r="S12" s="485">
        <v>742</v>
      </c>
    </row>
    <row x14ac:dyDescent="0.25" r="13" customHeight="1" ht="24.75">
      <c r="A13" s="259" t="s">
        <v>843</v>
      </c>
      <c r="B13" s="504" t="s">
        <v>844</v>
      </c>
      <c r="C13" s="505" t="s">
        <v>845</v>
      </c>
      <c r="D13" s="506">
        <v>235</v>
      </c>
      <c r="E13" s="506">
        <v>20000</v>
      </c>
      <c r="F13" s="263">
        <f>IF(E13&lt;&gt;"", ROUNDUP(E13/D13,0),"")</f>
        <v>25568.666666666668</v>
      </c>
      <c r="G13" s="507">
        <f>IF(E13&lt;&gt;"", (SQRT(D13*E13))/300, "")</f>
      </c>
      <c r="H13" s="508"/>
      <c r="I13" s="508"/>
      <c r="J13" s="508"/>
      <c r="K13" s="509"/>
      <c r="L13" s="510" t="s">
        <v>836</v>
      </c>
      <c r="M13" s="269">
        <v>46023</v>
      </c>
      <c r="N13" s="270" t="s">
        <v>503</v>
      </c>
      <c r="O13" s="271" t="s">
        <v>846</v>
      </c>
      <c r="P13" s="492" t="s">
        <v>819</v>
      </c>
      <c r="Q13" s="272" t="s">
        <v>445</v>
      </c>
      <c r="R13" s="259" t="s">
        <v>847</v>
      </c>
      <c r="S13" s="485">
        <v>741</v>
      </c>
    </row>
    <row x14ac:dyDescent="0.25" r="14" customHeight="1" ht="24.75">
      <c r="A14" s="259" t="s">
        <v>848</v>
      </c>
      <c r="B14" s="504" t="s">
        <v>479</v>
      </c>
      <c r="C14" s="511" t="s">
        <v>849</v>
      </c>
      <c r="D14" s="512">
        <v>39.5</v>
      </c>
      <c r="E14" s="486">
        <v>262</v>
      </c>
      <c r="F14" s="513">
        <f>IF(E14&lt;&gt;"", ROUNDUP(E14/D14,0),"")</f>
        <v>25568.666666666668</v>
      </c>
      <c r="G14" s="487">
        <f>IF(E14&lt;&gt;"", (SQRT(D14*E14))/300, "")</f>
      </c>
      <c r="H14" s="514">
        <v>60.6</v>
      </c>
      <c r="I14" s="515">
        <v>31.3</v>
      </c>
      <c r="J14" s="516"/>
      <c r="K14" s="516"/>
      <c r="L14" s="268" t="s">
        <v>836</v>
      </c>
      <c r="M14" s="269">
        <v>46023</v>
      </c>
      <c r="N14" s="490" t="s">
        <v>484</v>
      </c>
      <c r="O14" s="271" t="s">
        <v>850</v>
      </c>
      <c r="P14" s="259" t="s">
        <v>802</v>
      </c>
      <c r="Q14" s="517"/>
      <c r="R14" s="249" t="s">
        <v>851</v>
      </c>
      <c r="S14" s="485">
        <v>740</v>
      </c>
    </row>
    <row x14ac:dyDescent="0.25" r="15" customHeight="1" ht="24.75">
      <c r="A15" s="492" t="s">
        <v>852</v>
      </c>
      <c r="B15" s="21" t="s">
        <v>853</v>
      </c>
      <c r="C15" s="518" t="s">
        <v>854</v>
      </c>
      <c r="D15" s="519">
        <v>0.091</v>
      </c>
      <c r="E15" s="520">
        <v>12.63</v>
      </c>
      <c r="F15" s="263">
        <f>IF(E15&lt;&gt;"", ROUNDUP(E15/D15,0),"")</f>
        <v>25568.666666666668</v>
      </c>
      <c r="G15" s="521">
        <f>IF(E15&lt;&gt;"", (SQRT(D15*E15))/300, "")</f>
      </c>
      <c r="H15" s="522"/>
      <c r="I15" s="523"/>
      <c r="J15" s="524"/>
      <c r="K15" s="481"/>
      <c r="L15" s="525" t="s">
        <v>855</v>
      </c>
      <c r="M15" s="269">
        <v>46023</v>
      </c>
      <c r="N15" s="490" t="s">
        <v>503</v>
      </c>
      <c r="O15" s="501" t="s">
        <v>856</v>
      </c>
      <c r="P15" s="492" t="s">
        <v>819</v>
      </c>
      <c r="Q15" s="502"/>
      <c r="R15" s="492" t="s">
        <v>857</v>
      </c>
      <c r="S15" s="485">
        <v>739</v>
      </c>
    </row>
    <row x14ac:dyDescent="0.25" r="16" customHeight="1" ht="24.75">
      <c r="A16" s="492" t="s">
        <v>858</v>
      </c>
      <c r="B16" s="21" t="s">
        <v>859</v>
      </c>
      <c r="C16" s="518" t="s">
        <v>860</v>
      </c>
      <c r="D16" s="519">
        <v>1.2</v>
      </c>
      <c r="E16" s="526">
        <v>15</v>
      </c>
      <c r="F16" s="263">
        <f>IF(E16&lt;&gt;"", ROUNDUP(E16/D16,0),"")</f>
        <v>25568.666666666668</v>
      </c>
      <c r="G16" s="521">
        <f>IF(E16&lt;&gt;"", (SQRT(D16*E16))/300, "")</f>
      </c>
      <c r="H16" s="522"/>
      <c r="I16" s="523"/>
      <c r="J16" s="524"/>
      <c r="K16" s="481"/>
      <c r="L16" s="527" t="s">
        <v>818</v>
      </c>
      <c r="M16" s="269">
        <v>46023</v>
      </c>
      <c r="N16" s="490" t="s">
        <v>503</v>
      </c>
      <c r="O16" s="501" t="s">
        <v>861</v>
      </c>
      <c r="P16" s="492" t="s">
        <v>819</v>
      </c>
      <c r="Q16" s="502"/>
      <c r="R16" s="492" t="s">
        <v>862</v>
      </c>
      <c r="S16" s="485">
        <v>738</v>
      </c>
    </row>
    <row x14ac:dyDescent="0.25" r="17" customHeight="1" ht="24.75">
      <c r="A17" s="492" t="s">
        <v>863</v>
      </c>
      <c r="B17" s="528" t="s">
        <v>864</v>
      </c>
      <c r="C17" s="518" t="s">
        <v>865</v>
      </c>
      <c r="D17" s="529">
        <v>52</v>
      </c>
      <c r="E17" s="526">
        <v>1700</v>
      </c>
      <c r="F17" s="263">
        <f>IF(E17&lt;&gt;"", ROUNDUP(E17/D17,0),"")</f>
        <v>25568.666666666668</v>
      </c>
      <c r="G17" s="521">
        <f>IF(E17&lt;&gt;"", (SQRT(D17*E17))/300, "")</f>
      </c>
      <c r="H17" s="522"/>
      <c r="I17" s="523"/>
      <c r="J17" s="524"/>
      <c r="K17" s="481"/>
      <c r="L17" s="482" t="s">
        <v>830</v>
      </c>
      <c r="M17" s="269">
        <v>46023</v>
      </c>
      <c r="N17" s="490" t="s">
        <v>503</v>
      </c>
      <c r="O17" s="501" t="s">
        <v>866</v>
      </c>
      <c r="P17" s="492" t="s">
        <v>802</v>
      </c>
      <c r="Q17" s="502" t="s">
        <v>445</v>
      </c>
      <c r="R17" s="492" t="s">
        <v>867</v>
      </c>
      <c r="S17" s="485">
        <v>737</v>
      </c>
    </row>
    <row x14ac:dyDescent="0.25" r="18" customHeight="1" ht="24.75">
      <c r="A18" s="259" t="s">
        <v>868</v>
      </c>
      <c r="B18" s="249" t="s">
        <v>869</v>
      </c>
      <c r="C18" s="271" t="s">
        <v>870</v>
      </c>
      <c r="D18" s="512">
        <v>1.2</v>
      </c>
      <c r="E18" s="486">
        <v>28000</v>
      </c>
      <c r="F18" s="263">
        <f>IF(E18&lt;&gt;"", ROUNDUP(E18/D18,0),"")</f>
        <v>25568.666666666668</v>
      </c>
      <c r="G18" s="530">
        <f>IF(E18&lt;&gt;"", (SQRT(D18*E18))/300, "")</f>
      </c>
      <c r="H18" s="531"/>
      <c r="I18" s="532">
        <v>44.35</v>
      </c>
      <c r="J18" s="533">
        <v>38.89</v>
      </c>
      <c r="K18" s="516"/>
      <c r="L18" s="534" t="s">
        <v>830</v>
      </c>
      <c r="M18" s="269">
        <v>46023</v>
      </c>
      <c r="N18" s="270" t="s">
        <v>503</v>
      </c>
      <c r="O18" s="271" t="s">
        <v>870</v>
      </c>
      <c r="P18" s="259" t="s">
        <v>819</v>
      </c>
      <c r="Q18" s="517"/>
      <c r="R18" s="259" t="s">
        <v>871</v>
      </c>
      <c r="S18" s="485">
        <v>736</v>
      </c>
    </row>
    <row x14ac:dyDescent="0.25" r="19" customHeight="1" ht="24.75">
      <c r="A19" s="492" t="s">
        <v>872</v>
      </c>
      <c r="B19" s="21" t="s">
        <v>873</v>
      </c>
      <c r="C19" s="535" t="s">
        <v>874</v>
      </c>
      <c r="D19" s="496">
        <v>235</v>
      </c>
      <c r="E19" s="477">
        <v>36000</v>
      </c>
      <c r="F19" s="536">
        <f>IF(E19&lt;&gt;"", ROUNDUP(E19/D19,0),"")</f>
        <v>25568.666666666668</v>
      </c>
      <c r="G19" s="537">
        <f>IF(E19&lt;&gt;"", (SQRT(D19*E19))/300, "")</f>
      </c>
      <c r="H19" s="538"/>
      <c r="I19" s="480"/>
      <c r="J19" s="533"/>
      <c r="K19" s="509">
        <v>39.2</v>
      </c>
      <c r="L19" s="510" t="s">
        <v>836</v>
      </c>
      <c r="M19" s="269">
        <v>46023</v>
      </c>
      <c r="N19" s="490" t="s">
        <v>503</v>
      </c>
      <c r="O19" s="535" t="s">
        <v>875</v>
      </c>
      <c r="P19" s="259" t="s">
        <v>802</v>
      </c>
      <c r="Q19" s="539" t="s">
        <v>445</v>
      </c>
      <c r="R19" s="540" t="s">
        <v>876</v>
      </c>
      <c r="S19" s="485">
        <v>735</v>
      </c>
    </row>
    <row x14ac:dyDescent="0.25" r="20" customHeight="1" ht="25.5">
      <c r="A20" s="541" t="s">
        <v>877</v>
      </c>
      <c r="B20" s="542" t="s">
        <v>552</v>
      </c>
      <c r="C20" s="543" t="s">
        <v>878</v>
      </c>
      <c r="D20" s="544">
        <v>7</v>
      </c>
      <c r="E20" s="544">
        <v>18000</v>
      </c>
      <c r="F20" s="545">
        <f>IF(E20&lt;&gt;"", ROUNDUP(E20/D20,0),"")</f>
        <v>25568.666666666668</v>
      </c>
      <c r="G20" s="546">
        <f>IF(E20&lt;&gt;"", (SQRT(D20*E20))/300, "")</f>
      </c>
      <c r="H20" s="547"/>
      <c r="I20" s="547">
        <v>72.1</v>
      </c>
      <c r="J20" s="547">
        <v>70.2</v>
      </c>
      <c r="K20" s="547">
        <v>11.1</v>
      </c>
      <c r="L20" s="548" t="s">
        <v>836</v>
      </c>
      <c r="M20" s="549">
        <v>46023</v>
      </c>
      <c r="N20" s="550" t="s">
        <v>503</v>
      </c>
      <c r="O20" s="543" t="s">
        <v>879</v>
      </c>
      <c r="P20" s="541" t="s">
        <v>819</v>
      </c>
      <c r="Q20" s="551" t="s">
        <v>445</v>
      </c>
      <c r="R20" s="552" t="s">
        <v>880</v>
      </c>
      <c r="S20" s="553">
        <v>734</v>
      </c>
    </row>
    <row x14ac:dyDescent="0.25" r="21" customHeight="1" ht="25.5">
      <c r="A21" s="259" t="s">
        <v>881</v>
      </c>
      <c r="B21" s="504" t="s">
        <v>479</v>
      </c>
      <c r="C21" s="33"/>
      <c r="D21" s="486">
        <v>27</v>
      </c>
      <c r="E21" s="486">
        <v>262</v>
      </c>
      <c r="F21" s="263">
        <f>IF(E21&lt;&gt;"", ROUNDUP(E21/D21,0),"")</f>
        <v>25568.666666666668</v>
      </c>
      <c r="G21" s="530">
        <f>IF(E21&lt;&gt;"", (SQRT(D21*E21))/300, "")</f>
      </c>
      <c r="H21" s="554">
        <v>63.4</v>
      </c>
      <c r="I21" s="555"/>
      <c r="J21" s="556"/>
      <c r="K21" s="481"/>
      <c r="L21" s="268" t="s">
        <v>836</v>
      </c>
      <c r="M21" s="269">
        <v>45992</v>
      </c>
      <c r="N21" s="500" t="s">
        <v>470</v>
      </c>
      <c r="O21" s="271" t="s">
        <v>882</v>
      </c>
      <c r="P21" s="259" t="s">
        <v>802</v>
      </c>
      <c r="Q21" s="272"/>
      <c r="R21" s="249" t="s">
        <v>883</v>
      </c>
      <c r="S21" s="485">
        <v>733</v>
      </c>
    </row>
    <row x14ac:dyDescent="0.25" r="22" customHeight="1" ht="24.75">
      <c r="A22" s="259" t="s">
        <v>884</v>
      </c>
      <c r="B22" s="557" t="s">
        <v>885</v>
      </c>
      <c r="C22" s="511" t="s">
        <v>886</v>
      </c>
      <c r="D22" s="506">
        <v>40</v>
      </c>
      <c r="E22" s="478">
        <v>1000</v>
      </c>
      <c r="F22" s="263">
        <f>IF(E22&lt;&gt;"", ROUNDUP(E22/D22,0),"")</f>
        <v>25568.666666666668</v>
      </c>
      <c r="G22" s="530">
        <f>IF(E22&lt;&gt;"", (SQRT(D22*E22))/300, "")</f>
      </c>
      <c r="H22" s="558"/>
      <c r="I22" s="481"/>
      <c r="J22" s="559"/>
      <c r="K22" s="481"/>
      <c r="L22" s="510" t="s">
        <v>830</v>
      </c>
      <c r="M22" s="269">
        <v>45992</v>
      </c>
      <c r="N22" s="270" t="s">
        <v>503</v>
      </c>
      <c r="O22" s="511" t="s">
        <v>887</v>
      </c>
      <c r="P22" s="249" t="s">
        <v>819</v>
      </c>
      <c r="Q22" s="484" t="s">
        <v>445</v>
      </c>
      <c r="R22" s="560" t="s">
        <v>888</v>
      </c>
      <c r="S22" s="485">
        <v>732</v>
      </c>
    </row>
    <row x14ac:dyDescent="0.25" r="23" customHeight="1" ht="24.75">
      <c r="A23" s="259" t="s">
        <v>889</v>
      </c>
      <c r="B23" s="561" t="s">
        <v>890</v>
      </c>
      <c r="C23" s="511" t="s">
        <v>891</v>
      </c>
      <c r="D23" s="506">
        <v>519</v>
      </c>
      <c r="E23" s="478">
        <v>10000</v>
      </c>
      <c r="F23" s="263">
        <f>IF(E23&lt;&gt;"", ROUNDUP(E23/D23,0),"")</f>
        <v>25568.666666666668</v>
      </c>
      <c r="G23" s="530">
        <f>IF(E23&lt;&gt;"", (SQRT(D23*E23))/300, "")</f>
      </c>
      <c r="H23" s="558"/>
      <c r="I23" s="481"/>
      <c r="J23" s="559"/>
      <c r="K23" s="481"/>
      <c r="L23" s="268" t="s">
        <v>836</v>
      </c>
      <c r="M23" s="269">
        <v>45992</v>
      </c>
      <c r="N23" s="270" t="s">
        <v>503</v>
      </c>
      <c r="O23" s="511" t="s">
        <v>891</v>
      </c>
      <c r="P23" s="249" t="s">
        <v>802</v>
      </c>
      <c r="Q23" s="484" t="s">
        <v>445</v>
      </c>
      <c r="R23" s="259" t="s">
        <v>892</v>
      </c>
      <c r="S23" s="485">
        <v>731</v>
      </c>
    </row>
    <row x14ac:dyDescent="0.25" r="24" customHeight="1" ht="24.75">
      <c r="A24" s="259" t="s">
        <v>893</v>
      </c>
      <c r="B24" s="259" t="s">
        <v>894</v>
      </c>
      <c r="C24" s="271" t="s">
        <v>895</v>
      </c>
      <c r="D24" s="506">
        <v>236</v>
      </c>
      <c r="E24" s="562">
        <v>14000</v>
      </c>
      <c r="F24" s="263">
        <f>IF(E24&lt;&gt;"", ROUNDUP(E24/D24,0),"")</f>
        <v>25568.666666666668</v>
      </c>
      <c r="G24" s="530">
        <f>IF(E24&lt;&gt;"", (SQRT(D24*E24))/300, "")</f>
      </c>
      <c r="H24" s="563"/>
      <c r="I24" s="564">
        <v>83.9</v>
      </c>
      <c r="J24" s="565">
        <v>80</v>
      </c>
      <c r="K24" s="481">
        <v>13.8</v>
      </c>
      <c r="L24" s="268" t="s">
        <v>836</v>
      </c>
      <c r="M24" s="269">
        <v>45992</v>
      </c>
      <c r="N24" s="270" t="s">
        <v>503</v>
      </c>
      <c r="O24" s="271" t="s">
        <v>895</v>
      </c>
      <c r="P24" s="249" t="s">
        <v>802</v>
      </c>
      <c r="Q24" s="566" t="s">
        <v>445</v>
      </c>
      <c r="R24" s="259" t="s">
        <v>896</v>
      </c>
      <c r="S24" s="485">
        <v>730</v>
      </c>
    </row>
    <row x14ac:dyDescent="0.25" r="25" customHeight="1" ht="24.75">
      <c r="A25" s="259" t="s">
        <v>897</v>
      </c>
      <c r="B25" s="504" t="s">
        <v>898</v>
      </c>
      <c r="C25" s="511" t="s">
        <v>899</v>
      </c>
      <c r="D25" s="506">
        <v>8</v>
      </c>
      <c r="E25" s="478">
        <v>18000</v>
      </c>
      <c r="F25" s="263">
        <f>IF(E25&lt;&gt;"", ROUNDUP(E25/D25,0),"")</f>
        <v>25568.666666666668</v>
      </c>
      <c r="G25" s="567">
        <f>IF(E25&lt;&gt;"", (SQRT(D25*E25))/300, "")</f>
      </c>
      <c r="H25" s="558">
        <v>75.14</v>
      </c>
      <c r="I25" s="481"/>
      <c r="J25" s="559">
        <v>44.95</v>
      </c>
      <c r="K25" s="481"/>
      <c r="L25" s="268" t="s">
        <v>836</v>
      </c>
      <c r="M25" s="269">
        <v>45992</v>
      </c>
      <c r="N25" s="270" t="s">
        <v>503</v>
      </c>
      <c r="O25" s="511" t="s">
        <v>900</v>
      </c>
      <c r="P25" s="259" t="s">
        <v>819</v>
      </c>
      <c r="Q25" s="484" t="s">
        <v>901</v>
      </c>
      <c r="R25" s="560" t="s">
        <v>902</v>
      </c>
      <c r="S25" s="485">
        <v>729</v>
      </c>
    </row>
    <row x14ac:dyDescent="0.25" r="26" customHeight="1" ht="24.75">
      <c r="A26" s="259" t="s">
        <v>903</v>
      </c>
      <c r="B26" s="249" t="s">
        <v>904</v>
      </c>
      <c r="C26" s="271" t="s">
        <v>905</v>
      </c>
      <c r="D26" s="506">
        <v>102</v>
      </c>
      <c r="E26" s="486">
        <v>19700</v>
      </c>
      <c r="F26" s="263">
        <f>IF(E26&lt;&gt;"", ROUNDUP(E26/D26,0),"")</f>
        <v>25568.666666666668</v>
      </c>
      <c r="G26" s="568">
        <f>IF(E26&lt;&gt;"", (SQRT(D26*E26))/300, "")</f>
      </c>
      <c r="H26" s="558">
        <v>88.2</v>
      </c>
      <c r="I26" s="569">
        <v>80.4</v>
      </c>
      <c r="J26" s="570">
        <v>68.1</v>
      </c>
      <c r="K26" s="571">
        <v>10.5</v>
      </c>
      <c r="L26" s="268" t="s">
        <v>836</v>
      </c>
      <c r="M26" s="269">
        <v>45992</v>
      </c>
      <c r="N26" s="270" t="s">
        <v>503</v>
      </c>
      <c r="O26" s="271" t="s">
        <v>905</v>
      </c>
      <c r="P26" s="259" t="s">
        <v>802</v>
      </c>
      <c r="Q26" s="517"/>
      <c r="R26" s="259" t="s">
        <v>906</v>
      </c>
      <c r="S26" s="485">
        <v>728</v>
      </c>
    </row>
    <row x14ac:dyDescent="0.25" r="27" customHeight="1" ht="24.75">
      <c r="A27" s="259" t="s">
        <v>907</v>
      </c>
      <c r="B27" s="504" t="s">
        <v>908</v>
      </c>
      <c r="C27" s="271" t="s">
        <v>909</v>
      </c>
      <c r="D27" s="486">
        <v>355</v>
      </c>
      <c r="E27" s="486">
        <v>22000</v>
      </c>
      <c r="F27" s="263">
        <f>IF(E27&lt;&gt;"", ROUNDUP(E27/D27,0),"")</f>
        <v>25568.666666666668</v>
      </c>
      <c r="G27" s="568">
        <f>IF(E27&lt;&gt;"", (SQRT(D27*E27))/300, "")</f>
      </c>
      <c r="H27" s="516"/>
      <c r="I27" s="569">
        <v>84.3</v>
      </c>
      <c r="J27" s="570">
        <v>85.7</v>
      </c>
      <c r="K27" s="571">
        <v>42.8</v>
      </c>
      <c r="L27" s="268" t="s">
        <v>836</v>
      </c>
      <c r="M27" s="269">
        <v>45992</v>
      </c>
      <c r="N27" s="270" t="s">
        <v>503</v>
      </c>
      <c r="O27" s="271" t="s">
        <v>910</v>
      </c>
      <c r="P27" s="259" t="s">
        <v>802</v>
      </c>
      <c r="Q27" s="272" t="s">
        <v>445</v>
      </c>
      <c r="R27" s="259" t="s">
        <v>911</v>
      </c>
      <c r="S27" s="485">
        <v>727</v>
      </c>
    </row>
    <row x14ac:dyDescent="0.25" r="28" customHeight="1" ht="24.75">
      <c r="A28" s="259" t="s">
        <v>912</v>
      </c>
      <c r="B28" s="494" t="s">
        <v>474</v>
      </c>
      <c r="C28" s="495" t="s">
        <v>913</v>
      </c>
      <c r="D28" s="572">
        <v>0.493</v>
      </c>
      <c r="E28" s="573">
        <v>2000</v>
      </c>
      <c r="F28" s="263">
        <f>IF(E28&lt;&gt;"", ROUNDUP(E28/D28,0),"")</f>
        <v>25568.666666666668</v>
      </c>
      <c r="G28" s="487">
        <f>IF(E28&lt;&gt;"", (SQRT(D28*E28))/300, "")</f>
      </c>
      <c r="H28" s="497"/>
      <c r="I28" s="498"/>
      <c r="J28" s="481"/>
      <c r="K28" s="481"/>
      <c r="L28" s="574" t="s">
        <v>914</v>
      </c>
      <c r="M28" s="269">
        <v>45992</v>
      </c>
      <c r="N28" s="490" t="s">
        <v>503</v>
      </c>
      <c r="O28" s="501" t="s">
        <v>915</v>
      </c>
      <c r="P28" s="492" t="s">
        <v>819</v>
      </c>
      <c r="Q28" s="502"/>
      <c r="R28" s="503" t="s">
        <v>916</v>
      </c>
      <c r="S28" s="485">
        <v>726</v>
      </c>
    </row>
    <row x14ac:dyDescent="0.25" r="29" customHeight="1" ht="24.75">
      <c r="A29" s="259" t="s">
        <v>917</v>
      </c>
      <c r="B29" s="462" t="s">
        <v>918</v>
      </c>
      <c r="C29" s="505" t="s">
        <v>919</v>
      </c>
      <c r="D29" s="496">
        <v>309</v>
      </c>
      <c r="E29" s="496">
        <v>27000</v>
      </c>
      <c r="F29" s="263">
        <f>IF(E29&lt;&gt;"", ROUNDUP(E29/D29,0),"")</f>
        <v>25568.666666666668</v>
      </c>
      <c r="G29" s="575">
        <f>IF(E29&lt;&gt;"", (SQRT(D29*E29))/300, "")</f>
      </c>
      <c r="H29" s="576">
        <v>86.7</v>
      </c>
      <c r="I29" s="569">
        <v>84.9</v>
      </c>
      <c r="J29" s="480">
        <v>83.7</v>
      </c>
      <c r="K29" s="509">
        <v>22.1</v>
      </c>
      <c r="L29" s="510" t="s">
        <v>836</v>
      </c>
      <c r="M29" s="269">
        <v>45992</v>
      </c>
      <c r="N29" s="270" t="s">
        <v>503</v>
      </c>
      <c r="O29" s="511" t="s">
        <v>920</v>
      </c>
      <c r="P29" s="249" t="s">
        <v>802</v>
      </c>
      <c r="Q29" s="566" t="s">
        <v>445</v>
      </c>
      <c r="R29" s="228" t="s">
        <v>921</v>
      </c>
      <c r="S29" s="485">
        <v>725</v>
      </c>
    </row>
    <row x14ac:dyDescent="0.25" r="30" customHeight="1" ht="24.75">
      <c r="A30" s="492" t="s">
        <v>922</v>
      </c>
      <c r="B30" s="577" t="s">
        <v>828</v>
      </c>
      <c r="C30" s="578" t="s">
        <v>923</v>
      </c>
      <c r="D30" s="572">
        <v>0.27</v>
      </c>
      <c r="E30" s="496">
        <v>6000</v>
      </c>
      <c r="F30" s="536">
        <f>IF(E30&lt;&gt;"", ROUNDUP(E30/D30,0),"")</f>
        <v>25568.666666666668</v>
      </c>
      <c r="G30" s="487">
        <f>IF(E30&lt;&gt;"", (SQRT(D30*E30))/300, "")</f>
      </c>
      <c r="H30" s="579"/>
      <c r="I30" s="579"/>
      <c r="J30" s="579"/>
      <c r="K30" s="579"/>
      <c r="L30" s="510" t="s">
        <v>836</v>
      </c>
      <c r="M30" s="269">
        <v>45992</v>
      </c>
      <c r="N30" s="490" t="s">
        <v>503</v>
      </c>
      <c r="O30" s="495" t="s">
        <v>924</v>
      </c>
      <c r="P30" s="492" t="s">
        <v>819</v>
      </c>
      <c r="Q30" s="580"/>
      <c r="R30" s="503" t="s">
        <v>925</v>
      </c>
      <c r="S30" s="485">
        <v>724</v>
      </c>
    </row>
    <row x14ac:dyDescent="0.25" r="31" customHeight="1" ht="24.75">
      <c r="A31" s="228" t="s">
        <v>926</v>
      </c>
      <c r="B31" s="462" t="s">
        <v>828</v>
      </c>
      <c r="C31" s="476" t="s">
        <v>927</v>
      </c>
      <c r="D31" s="477">
        <v>4</v>
      </c>
      <c r="E31" s="477">
        <v>6000</v>
      </c>
      <c r="F31" s="230">
        <f>IF(E31&lt;&gt;"", ROUNDUP(E31/D31,0),"")</f>
        <v>25568.666666666668</v>
      </c>
      <c r="G31" s="479">
        <f>IF(E31&lt;&gt;"", (SQRT(D31*E31))/300, "")</f>
      </c>
      <c r="H31" s="480"/>
      <c r="I31" s="480">
        <v>44.4</v>
      </c>
      <c r="J31" s="480">
        <v>27.8</v>
      </c>
      <c r="K31" s="481"/>
      <c r="L31" s="510" t="s">
        <v>836</v>
      </c>
      <c r="M31" s="269">
        <v>45992</v>
      </c>
      <c r="N31" s="223" t="s">
        <v>503</v>
      </c>
      <c r="O31" s="495" t="s">
        <v>928</v>
      </c>
      <c r="P31" s="228" t="s">
        <v>819</v>
      </c>
      <c r="Q31" s="484" t="s">
        <v>445</v>
      </c>
      <c r="R31" s="21" t="s">
        <v>929</v>
      </c>
      <c r="S31" s="485">
        <v>723</v>
      </c>
    </row>
    <row x14ac:dyDescent="0.25" r="32" customHeight="1" ht="24.75">
      <c r="A32" s="492" t="s">
        <v>930</v>
      </c>
      <c r="B32" s="577" t="s">
        <v>828</v>
      </c>
      <c r="C32" s="501" t="s">
        <v>931</v>
      </c>
      <c r="D32" s="573">
        <v>200</v>
      </c>
      <c r="E32" s="573">
        <v>100000</v>
      </c>
      <c r="F32" s="263">
        <f>IF(E32&lt;&gt;"", ROUNDUP(E32/D32,0),"")</f>
        <v>25568.666666666668</v>
      </c>
      <c r="G32" s="567">
        <f>IF(E32&lt;&gt;"", (SQRT(D32*E32))/300, "")</f>
      </c>
      <c r="H32" s="579"/>
      <c r="I32" s="579"/>
      <c r="J32" s="531">
        <v>90.4</v>
      </c>
      <c r="K32" s="581">
        <v>43.5</v>
      </c>
      <c r="L32" s="510" t="s">
        <v>836</v>
      </c>
      <c r="M32" s="269">
        <v>45992</v>
      </c>
      <c r="N32" s="490" t="s">
        <v>503</v>
      </c>
      <c r="O32" s="495" t="s">
        <v>932</v>
      </c>
      <c r="P32" s="582" t="s">
        <v>802</v>
      </c>
      <c r="Q32" s="583" t="s">
        <v>445</v>
      </c>
      <c r="R32" s="584" t="s">
        <v>933</v>
      </c>
      <c r="S32" s="485">
        <v>722</v>
      </c>
    </row>
    <row x14ac:dyDescent="0.25" r="33" customHeight="1" ht="24.75">
      <c r="A33" s="259" t="s">
        <v>934</v>
      </c>
      <c r="B33" s="494" t="s">
        <v>474</v>
      </c>
      <c r="C33" s="495" t="s">
        <v>935</v>
      </c>
      <c r="D33" s="496">
        <v>30</v>
      </c>
      <c r="E33" s="496">
        <v>25000</v>
      </c>
      <c r="F33" s="263">
        <f>IF(E33&lt;&gt;"", ROUNDUP(E33/D33,0),"")</f>
        <v>25568.666666666668</v>
      </c>
      <c r="G33" s="487">
        <f>IF(E33&lt;&gt;"", (SQRT(D33*E33))/300, "")</f>
      </c>
      <c r="H33" s="497"/>
      <c r="I33" s="498">
        <v>78.3</v>
      </c>
      <c r="J33" s="585">
        <v>75</v>
      </c>
      <c r="K33" s="481">
        <v>15.5</v>
      </c>
      <c r="L33" s="510" t="s">
        <v>836</v>
      </c>
      <c r="M33" s="269">
        <v>45992</v>
      </c>
      <c r="N33" s="490" t="s">
        <v>503</v>
      </c>
      <c r="O33" s="501" t="s">
        <v>936</v>
      </c>
      <c r="P33" s="249" t="s">
        <v>802</v>
      </c>
      <c r="Q33" s="502" t="s">
        <v>445</v>
      </c>
      <c r="R33" s="503" t="s">
        <v>937</v>
      </c>
      <c r="S33" s="485">
        <v>721</v>
      </c>
    </row>
    <row x14ac:dyDescent="0.25" r="34" customHeight="1" ht="17.25">
      <c r="A34" s="259" t="s">
        <v>938</v>
      </c>
      <c r="B34" s="249" t="s">
        <v>939</v>
      </c>
      <c r="C34" s="586" t="s">
        <v>940</v>
      </c>
      <c r="D34" s="486">
        <v>7</v>
      </c>
      <c r="E34" s="486">
        <v>6000</v>
      </c>
      <c r="F34" s="263">
        <f>IF(E34&lt;&gt;"", ROUNDUP(E34/D34,0),"")</f>
        <v>25568.666666666668</v>
      </c>
      <c r="G34" s="587">
        <f>IF(E34&lt;&gt;"", (SQRT(D34*E34))/300, "")</f>
      </c>
      <c r="H34" s="588">
        <v>65.1</v>
      </c>
      <c r="I34" s="508"/>
      <c r="J34" s="481"/>
      <c r="K34" s="509"/>
      <c r="L34" s="510" t="s">
        <v>836</v>
      </c>
      <c r="M34" s="269">
        <v>45992</v>
      </c>
      <c r="N34" s="270" t="s">
        <v>503</v>
      </c>
      <c r="O34" s="589" t="s">
        <v>941</v>
      </c>
      <c r="P34" s="259" t="s">
        <v>819</v>
      </c>
      <c r="Q34" s="590" t="s">
        <v>445</v>
      </c>
      <c r="R34" s="591" t="s">
        <v>942</v>
      </c>
      <c r="S34" s="485">
        <v>720</v>
      </c>
    </row>
    <row x14ac:dyDescent="0.25" r="35" customHeight="1" ht="17.25">
      <c r="A35" s="592" t="s">
        <v>943</v>
      </c>
      <c r="B35" s="249" t="s">
        <v>944</v>
      </c>
      <c r="C35" s="271" t="s">
        <v>945</v>
      </c>
      <c r="D35" s="486">
        <v>22</v>
      </c>
      <c r="E35" s="486">
        <v>4100</v>
      </c>
      <c r="F35" s="263">
        <f>IF(E35&lt;&gt;"", ROUNDUP(E35/D35,0),"")</f>
        <v>25568.666666666668</v>
      </c>
      <c r="G35" s="487">
        <f>IF(E35&lt;&gt;"", (SQRT(D35*E35))/300, "")</f>
      </c>
      <c r="H35" s="593">
        <v>69.81</v>
      </c>
      <c r="I35" s="594">
        <v>50.85</v>
      </c>
      <c r="J35" s="595">
        <v>26.77</v>
      </c>
      <c r="K35" s="516"/>
      <c r="L35" s="268" t="s">
        <v>836</v>
      </c>
      <c r="M35" s="269">
        <v>45992</v>
      </c>
      <c r="N35" s="270" t="s">
        <v>503</v>
      </c>
      <c r="O35" s="271" t="s">
        <v>946</v>
      </c>
      <c r="P35" s="249" t="s">
        <v>819</v>
      </c>
      <c r="Q35" s="517"/>
      <c r="R35" s="249" t="s">
        <v>947</v>
      </c>
      <c r="S35" s="485">
        <v>719</v>
      </c>
    </row>
    <row x14ac:dyDescent="0.25" r="36" customHeight="1" ht="17.25">
      <c r="A36" s="259" t="s">
        <v>948</v>
      </c>
      <c r="B36" s="596" t="s">
        <v>949</v>
      </c>
      <c r="C36" s="511" t="s">
        <v>950</v>
      </c>
      <c r="D36" s="506">
        <v>103</v>
      </c>
      <c r="E36" s="486">
        <v>20750</v>
      </c>
      <c r="F36" s="263">
        <f>IF(E36&lt;&gt;"", ROUNDUP(E36/D36,0),"")</f>
        <v>25568.666666666668</v>
      </c>
      <c r="G36" s="597">
        <f>IF(E36&lt;&gt;"", (SQRT(D36*E36))/300, "")</f>
      </c>
      <c r="H36" s="598">
        <v>87.69</v>
      </c>
      <c r="I36" s="481">
        <v>73.4</v>
      </c>
      <c r="J36" s="595">
        <v>61.98</v>
      </c>
      <c r="K36" s="599"/>
      <c r="L36" s="268" t="s">
        <v>836</v>
      </c>
      <c r="M36" s="269">
        <v>45992</v>
      </c>
      <c r="N36" s="270" t="s">
        <v>503</v>
      </c>
      <c r="O36" s="271" t="s">
        <v>951</v>
      </c>
      <c r="P36" s="249" t="s">
        <v>802</v>
      </c>
      <c r="Q36" s="590" t="s">
        <v>901</v>
      </c>
      <c r="R36" s="249" t="s">
        <v>952</v>
      </c>
      <c r="S36" s="485">
        <v>718</v>
      </c>
    </row>
    <row x14ac:dyDescent="0.25" r="37" customHeight="1" ht="17.25">
      <c r="A37" s="259" t="s">
        <v>953</v>
      </c>
      <c r="B37" s="600" t="s">
        <v>490</v>
      </c>
      <c r="C37" s="511" t="s">
        <v>954</v>
      </c>
      <c r="D37" s="601">
        <v>3000</v>
      </c>
      <c r="E37" s="562">
        <v>114000</v>
      </c>
      <c r="F37" s="263">
        <f>IF(E37&lt;&gt;"", ROUNDUP(E37/D37,0),"")</f>
        <v>25568.666666666668</v>
      </c>
      <c r="G37" s="597">
        <f>IF(E37&lt;&gt;"", (SQRT(D37*E37))/300, "")</f>
      </c>
      <c r="H37" s="598">
        <v>91.3</v>
      </c>
      <c r="I37" s="481"/>
      <c r="J37" s="602">
        <v>93.2</v>
      </c>
      <c r="K37" s="603">
        <v>50</v>
      </c>
      <c r="L37" s="268" t="s">
        <v>836</v>
      </c>
      <c r="M37" s="269">
        <v>45992</v>
      </c>
      <c r="N37" s="270" t="s">
        <v>503</v>
      </c>
      <c r="O37" s="271" t="s">
        <v>955</v>
      </c>
      <c r="P37" s="249" t="s">
        <v>802</v>
      </c>
      <c r="Q37" s="590" t="s">
        <v>803</v>
      </c>
      <c r="R37" s="591" t="s">
        <v>956</v>
      </c>
      <c r="S37" s="485">
        <v>717</v>
      </c>
    </row>
    <row x14ac:dyDescent="0.25" r="38" customHeight="1" ht="17.25">
      <c r="A38" s="259" t="s">
        <v>957</v>
      </c>
      <c r="B38" s="604" t="s">
        <v>958</v>
      </c>
      <c r="C38" s="511" t="s">
        <v>959</v>
      </c>
      <c r="D38" s="486">
        <v>15</v>
      </c>
      <c r="E38" s="562">
        <v>6000</v>
      </c>
      <c r="F38" s="263">
        <f>IF(E38&lt;&gt;"", ROUNDUP(E38/D38,0),"")</f>
        <v>25568.666666666668</v>
      </c>
      <c r="G38" s="605">
        <f>IF(E38&lt;&gt;"", (SQRT(D38*E38))/300, "")</f>
      </c>
      <c r="H38" s="516"/>
      <c r="I38" s="481"/>
      <c r="J38" s="606">
        <v>73</v>
      </c>
      <c r="K38" s="585">
        <v>10</v>
      </c>
      <c r="L38" s="268" t="s">
        <v>836</v>
      </c>
      <c r="M38" s="269">
        <v>45992</v>
      </c>
      <c r="N38" s="270" t="s">
        <v>503</v>
      </c>
      <c r="O38" s="271" t="s">
        <v>959</v>
      </c>
      <c r="P38" s="249" t="s">
        <v>819</v>
      </c>
      <c r="Q38" s="517" t="s">
        <v>445</v>
      </c>
      <c r="R38" s="259"/>
      <c r="S38" s="485">
        <v>716</v>
      </c>
    </row>
    <row x14ac:dyDescent="0.25" r="39" customHeight="1" ht="17.25">
      <c r="A39" s="259" t="s">
        <v>960</v>
      </c>
      <c r="B39" s="604" t="s">
        <v>961</v>
      </c>
      <c r="C39" s="271" t="s">
        <v>962</v>
      </c>
      <c r="D39" s="512">
        <v>12.7</v>
      </c>
      <c r="E39" s="486">
        <v>5500</v>
      </c>
      <c r="F39" s="263">
        <f>IF(E39&lt;&gt;"", ROUNDUP(E39/D39,0),"")</f>
        <v>25568.666666666668</v>
      </c>
      <c r="G39" s="605">
        <f>IF(E39&lt;&gt;"", (SQRT(D39*E39))/300, "")</f>
      </c>
      <c r="H39" s="480">
        <v>86.11</v>
      </c>
      <c r="I39" s="585">
        <v>70</v>
      </c>
      <c r="J39" s="481"/>
      <c r="K39" s="509"/>
      <c r="L39" s="268" t="s">
        <v>836</v>
      </c>
      <c r="M39" s="269">
        <v>45992</v>
      </c>
      <c r="N39" s="270" t="s">
        <v>503</v>
      </c>
      <c r="O39" s="271" t="s">
        <v>963</v>
      </c>
      <c r="P39" s="259" t="s">
        <v>819</v>
      </c>
      <c r="Q39" s="517"/>
      <c r="R39" s="259"/>
      <c r="S39" s="485">
        <v>715</v>
      </c>
    </row>
    <row x14ac:dyDescent="0.25" r="40" customHeight="1" ht="17.25">
      <c r="A40" s="259" t="s">
        <v>964</v>
      </c>
      <c r="B40" s="607" t="s">
        <v>965</v>
      </c>
      <c r="C40" s="271" t="s">
        <v>966</v>
      </c>
      <c r="D40" s="486">
        <v>123</v>
      </c>
      <c r="E40" s="562">
        <v>30000</v>
      </c>
      <c r="F40" s="263">
        <f>IF(E40&lt;&gt;"", ROUNDUP(E40/D40,0),"")</f>
        <v>25568.666666666668</v>
      </c>
      <c r="G40" s="605">
        <f>IF(E40&lt;&gt;"", (SQRT(D40*E40))/300, "")</f>
      </c>
      <c r="H40" s="516"/>
      <c r="I40" s="481"/>
      <c r="J40" s="516"/>
      <c r="K40" s="516"/>
      <c r="L40" s="268" t="s">
        <v>836</v>
      </c>
      <c r="M40" s="269">
        <v>45992</v>
      </c>
      <c r="N40" s="270" t="s">
        <v>503</v>
      </c>
      <c r="O40" s="271" t="s">
        <v>967</v>
      </c>
      <c r="P40" s="259" t="s">
        <v>819</v>
      </c>
      <c r="Q40" s="517"/>
      <c r="R40" s="259" t="s">
        <v>968</v>
      </c>
      <c r="S40" s="485">
        <v>714</v>
      </c>
    </row>
    <row x14ac:dyDescent="0.25" r="41" customHeight="1" ht="17.25">
      <c r="A41" s="259" t="s">
        <v>969</v>
      </c>
      <c r="B41" s="504" t="s">
        <v>898</v>
      </c>
      <c r="C41" s="511" t="s">
        <v>970</v>
      </c>
      <c r="D41" s="506">
        <v>406</v>
      </c>
      <c r="E41" s="562">
        <v>40000</v>
      </c>
      <c r="F41" s="263">
        <f>IF(E41&lt;&gt;"", ROUNDUP(E41/D41,0),"")</f>
        <v>25568.666666666668</v>
      </c>
      <c r="G41" s="567">
        <f>IF(E41&lt;&gt;"", (SQRT(D41*E41))/300, "")</f>
      </c>
      <c r="H41" s="558"/>
      <c r="I41" s="481"/>
      <c r="J41" s="559"/>
      <c r="K41" s="481">
        <v>18.8</v>
      </c>
      <c r="L41" s="268" t="s">
        <v>836</v>
      </c>
      <c r="M41" s="269">
        <v>45992</v>
      </c>
      <c r="N41" s="270" t="s">
        <v>503</v>
      </c>
      <c r="O41" s="271" t="s">
        <v>971</v>
      </c>
      <c r="P41" s="259" t="s">
        <v>802</v>
      </c>
      <c r="Q41" s="484" t="s">
        <v>445</v>
      </c>
      <c r="R41" s="259" t="s">
        <v>972</v>
      </c>
      <c r="S41" s="485">
        <v>713</v>
      </c>
    </row>
    <row x14ac:dyDescent="0.25" r="42" customHeight="1" ht="17.25">
      <c r="A42" s="228" t="s">
        <v>973</v>
      </c>
      <c r="B42" s="21" t="s">
        <v>974</v>
      </c>
      <c r="C42" s="491" t="s">
        <v>975</v>
      </c>
      <c r="D42" s="477">
        <v>70</v>
      </c>
      <c r="E42" s="477">
        <v>12000</v>
      </c>
      <c r="F42" s="230">
        <f>IF(E42&lt;&gt;"", ROUNDUP(E42/D42,0),"")</f>
        <v>25568.666666666668</v>
      </c>
      <c r="G42" s="479">
        <f>IF(E42&lt;&gt;"", (SQRT(D42*E42))/300, "")</f>
      </c>
      <c r="H42" s="480">
        <v>75.2</v>
      </c>
      <c r="I42" s="481">
        <v>59.8</v>
      </c>
      <c r="J42" s="481">
        <v>69.3</v>
      </c>
      <c r="K42" s="509"/>
      <c r="L42" s="510" t="s">
        <v>836</v>
      </c>
      <c r="M42" s="269">
        <v>45992</v>
      </c>
      <c r="N42" s="223" t="s">
        <v>503</v>
      </c>
      <c r="O42" s="608" t="s">
        <v>976</v>
      </c>
      <c r="P42" s="228" t="s">
        <v>819</v>
      </c>
      <c r="Q42" s="566" t="s">
        <v>445</v>
      </c>
      <c r="R42" s="609" t="s">
        <v>977</v>
      </c>
      <c r="S42" s="485">
        <v>712</v>
      </c>
    </row>
    <row x14ac:dyDescent="0.25" r="43" customHeight="1" ht="17.25">
      <c r="A43" s="228" t="s">
        <v>978</v>
      </c>
      <c r="B43" s="21" t="s">
        <v>823</v>
      </c>
      <c r="C43" s="491" t="s">
        <v>979</v>
      </c>
      <c r="D43" s="23">
        <v>26</v>
      </c>
      <c r="E43" s="477">
        <v>20000</v>
      </c>
      <c r="F43" s="230">
        <f>IF(E43&lt;&gt;"", ROUNDUP(E43/D43,0),"")</f>
        <v>25568.666666666668</v>
      </c>
      <c r="G43" s="479">
        <f>IF(E43&lt;&gt;"", (SQRT(D43*E43))/300, "")</f>
      </c>
      <c r="H43" s="481">
        <v>84.95</v>
      </c>
      <c r="I43" s="481"/>
      <c r="J43" s="481">
        <v>58.55</v>
      </c>
      <c r="K43" s="481"/>
      <c r="L43" s="489" t="s">
        <v>836</v>
      </c>
      <c r="M43" s="269">
        <v>45992</v>
      </c>
      <c r="N43" s="223" t="s">
        <v>503</v>
      </c>
      <c r="O43" s="491" t="s">
        <v>980</v>
      </c>
      <c r="P43" s="259" t="s">
        <v>802</v>
      </c>
      <c r="Q43" s="484" t="s">
        <v>445</v>
      </c>
      <c r="R43" s="21" t="s">
        <v>981</v>
      </c>
      <c r="S43" s="485">
        <v>711</v>
      </c>
    </row>
    <row x14ac:dyDescent="0.25" r="44" customHeight="1" ht="17.25">
      <c r="A44" s="228" t="s">
        <v>982</v>
      </c>
      <c r="B44" s="21" t="s">
        <v>983</v>
      </c>
      <c r="C44" s="491" t="s">
        <v>984</v>
      </c>
      <c r="D44" s="226">
        <v>200</v>
      </c>
      <c r="E44" s="478">
        <v>20000</v>
      </c>
      <c r="F44" s="230">
        <f>IF(E44&lt;&gt;"", ROUNDUP(E44/D44,0),"")</f>
        <v>25568.666666666668</v>
      </c>
      <c r="G44" s="479">
        <f>IF(E44&lt;&gt;"", (SQRT(D44*E44))/300, "")</f>
      </c>
      <c r="H44" s="481"/>
      <c r="I44" s="481">
        <v>81.6</v>
      </c>
      <c r="J44" s="481">
        <v>81.4</v>
      </c>
      <c r="K44" s="481"/>
      <c r="L44" s="489" t="s">
        <v>836</v>
      </c>
      <c r="M44" s="269">
        <v>45992</v>
      </c>
      <c r="N44" s="223" t="s">
        <v>503</v>
      </c>
      <c r="O44" s="491" t="s">
        <v>985</v>
      </c>
      <c r="P44" s="21" t="s">
        <v>819</v>
      </c>
      <c r="Q44" s="484" t="s">
        <v>445</v>
      </c>
      <c r="R44" s="21" t="s">
        <v>986</v>
      </c>
      <c r="S44" s="485">
        <v>710</v>
      </c>
    </row>
    <row x14ac:dyDescent="0.25" r="45" customHeight="1" ht="17.25">
      <c r="A45" s="492" t="s">
        <v>987</v>
      </c>
      <c r="B45" s="607" t="s">
        <v>965</v>
      </c>
      <c r="C45" s="491" t="s">
        <v>988</v>
      </c>
      <c r="D45" s="477">
        <v>675</v>
      </c>
      <c r="E45" s="478">
        <v>20000</v>
      </c>
      <c r="F45" s="263">
        <f>IF(E45&lt;&gt;"", ROUNDUP(E45/D45,0),"")</f>
        <v>25568.666666666668</v>
      </c>
      <c r="G45" s="575">
        <f>IF(E45&lt;&gt;"", (SQRT(D45*E45))/300, "")</f>
      </c>
      <c r="H45" s="610"/>
      <c r="I45" s="611"/>
      <c r="J45" s="612">
        <v>43.9</v>
      </c>
      <c r="K45" s="481"/>
      <c r="L45" s="489" t="s">
        <v>836</v>
      </c>
      <c r="M45" s="269">
        <v>45992</v>
      </c>
      <c r="N45" s="490" t="s">
        <v>503</v>
      </c>
      <c r="O45" s="501" t="s">
        <v>989</v>
      </c>
      <c r="P45" s="259" t="s">
        <v>802</v>
      </c>
      <c r="Q45" s="502" t="s">
        <v>445</v>
      </c>
      <c r="R45" s="613" t="s">
        <v>990</v>
      </c>
      <c r="S45" s="485">
        <v>709</v>
      </c>
    </row>
    <row x14ac:dyDescent="0.25" r="46" customHeight="1" ht="17.25">
      <c r="A46" s="259" t="s">
        <v>991</v>
      </c>
      <c r="B46" s="504" t="s">
        <v>479</v>
      </c>
      <c r="C46" s="491" t="s">
        <v>992</v>
      </c>
      <c r="D46" s="486">
        <v>685</v>
      </c>
      <c r="E46" s="562">
        <v>15640</v>
      </c>
      <c r="F46" s="263">
        <v>23</v>
      </c>
      <c r="G46" s="264">
        <v>10.61340870995009</v>
      </c>
      <c r="H46" s="554"/>
      <c r="I46" s="555"/>
      <c r="J46" s="556">
        <v>85.7</v>
      </c>
      <c r="K46" s="481">
        <v>30.6</v>
      </c>
      <c r="L46" s="268" t="s">
        <v>836</v>
      </c>
      <c r="M46" s="269">
        <v>45992</v>
      </c>
      <c r="N46" s="270" t="s">
        <v>503</v>
      </c>
      <c r="O46" s="271" t="s">
        <v>993</v>
      </c>
      <c r="P46" s="259" t="s">
        <v>802</v>
      </c>
      <c r="Q46" s="272" t="s">
        <v>994</v>
      </c>
      <c r="R46" s="591" t="s">
        <v>995</v>
      </c>
      <c r="S46" s="485">
        <v>708</v>
      </c>
    </row>
    <row x14ac:dyDescent="0.25" r="47" customHeight="1" ht="17.25">
      <c r="A47" s="259" t="s">
        <v>996</v>
      </c>
      <c r="B47" s="504" t="s">
        <v>479</v>
      </c>
      <c r="C47" s="271" t="s">
        <v>997</v>
      </c>
      <c r="D47" s="486">
        <v>685</v>
      </c>
      <c r="E47" s="562">
        <v>15640</v>
      </c>
      <c r="F47" s="263">
        <v>23</v>
      </c>
      <c r="G47" s="264">
        <v>10.61340870995009</v>
      </c>
      <c r="H47" s="516"/>
      <c r="I47" s="516"/>
      <c r="J47" s="555"/>
      <c r="K47" s="571"/>
      <c r="L47" s="268" t="s">
        <v>836</v>
      </c>
      <c r="M47" s="269">
        <v>45962</v>
      </c>
      <c r="N47" s="270" t="s">
        <v>503</v>
      </c>
      <c r="O47" s="271" t="s">
        <v>998</v>
      </c>
      <c r="P47" s="259" t="s">
        <v>802</v>
      </c>
      <c r="Q47" s="272" t="s">
        <v>994</v>
      </c>
      <c r="R47" s="249" t="s">
        <v>999</v>
      </c>
      <c r="S47" s="485">
        <v>707</v>
      </c>
    </row>
    <row x14ac:dyDescent="0.25" r="48" customHeight="1" ht="17.25">
      <c r="A48" s="228" t="s">
        <v>1000</v>
      </c>
      <c r="B48" s="21" t="s">
        <v>474</v>
      </c>
      <c r="C48" s="476" t="s">
        <v>1001</v>
      </c>
      <c r="D48" s="477">
        <v>8</v>
      </c>
      <c r="E48" s="486">
        <v>36000</v>
      </c>
      <c r="F48" s="230">
        <f>IF(E48&lt;&gt;"", ROUNDUP(E48/D48,0),"")</f>
        <v>25568.666666666668</v>
      </c>
      <c r="G48" s="487">
        <f>IF(E48&lt;&gt;"", (SQRT(D48*E48))/300, "")</f>
      </c>
      <c r="H48" s="488"/>
      <c r="I48" s="481"/>
      <c r="J48" s="481"/>
      <c r="K48" s="481">
        <v>37.1</v>
      </c>
      <c r="L48" s="489" t="s">
        <v>836</v>
      </c>
      <c r="M48" s="269">
        <v>45962</v>
      </c>
      <c r="N48" s="490" t="s">
        <v>503</v>
      </c>
      <c r="O48" s="491" t="s">
        <v>1002</v>
      </c>
      <c r="P48" s="492" t="s">
        <v>819</v>
      </c>
      <c r="Q48" s="484" t="s">
        <v>445</v>
      </c>
      <c r="R48" s="21" t="s">
        <v>1003</v>
      </c>
      <c r="S48" s="485">
        <v>706</v>
      </c>
    </row>
    <row x14ac:dyDescent="0.25" r="49" customHeight="1" ht="17.25">
      <c r="A49" s="228" t="s">
        <v>1004</v>
      </c>
      <c r="B49" s="21" t="s">
        <v>1005</v>
      </c>
      <c r="C49" s="476" t="s">
        <v>1006</v>
      </c>
      <c r="D49" s="477">
        <v>106</v>
      </c>
      <c r="E49" s="486">
        <v>22000</v>
      </c>
      <c r="F49" s="230">
        <f>IF(E49&lt;&gt;"", ROUNDUP(E49/D49,0),"")</f>
        <v>25568.666666666668</v>
      </c>
      <c r="G49" s="487">
        <f>IF(E49&lt;&gt;"", (SQRT(D49*E49))/300, "")</f>
      </c>
      <c r="H49" s="488"/>
      <c r="I49" s="481">
        <v>81.9</v>
      </c>
      <c r="J49" s="481">
        <v>74.4</v>
      </c>
      <c r="K49" s="481">
        <v>14.6</v>
      </c>
      <c r="L49" s="489" t="s">
        <v>836</v>
      </c>
      <c r="M49" s="269">
        <v>45962</v>
      </c>
      <c r="N49" s="490" t="s">
        <v>503</v>
      </c>
      <c r="O49" s="491" t="s">
        <v>1007</v>
      </c>
      <c r="P49" s="492" t="s">
        <v>819</v>
      </c>
      <c r="Q49" s="493" t="s">
        <v>445</v>
      </c>
      <c r="R49" s="251" t="s">
        <v>1008</v>
      </c>
      <c r="S49" s="485">
        <v>705</v>
      </c>
    </row>
    <row x14ac:dyDescent="0.25" r="50" customHeight="1" ht="17.25">
      <c r="A50" s="228" t="s">
        <v>1009</v>
      </c>
      <c r="B50" s="21" t="s">
        <v>834</v>
      </c>
      <c r="C50" s="476" t="s">
        <v>1010</v>
      </c>
      <c r="D50" s="477">
        <v>7</v>
      </c>
      <c r="E50" s="486">
        <v>18000</v>
      </c>
      <c r="F50" s="230">
        <f>IF(E50&lt;&gt;"", ROUNDUP(E50/D50,0),"")</f>
        <v>25568.666666666668</v>
      </c>
      <c r="G50" s="487">
        <f>IF(E50&lt;&gt;"", (SQRT(D50*E50))/300, "")</f>
      </c>
      <c r="H50" s="488"/>
      <c r="I50" s="488"/>
      <c r="J50" s="488"/>
      <c r="K50" s="481"/>
      <c r="L50" s="489" t="s">
        <v>836</v>
      </c>
      <c r="M50" s="269">
        <v>45962</v>
      </c>
      <c r="N50" s="490" t="s">
        <v>503</v>
      </c>
      <c r="O50" s="491" t="s">
        <v>1011</v>
      </c>
      <c r="P50" s="492" t="s">
        <v>819</v>
      </c>
      <c r="Q50" s="493"/>
      <c r="R50" s="21" t="s">
        <v>1012</v>
      </c>
      <c r="S50" s="485">
        <v>704</v>
      </c>
    </row>
    <row x14ac:dyDescent="0.25" r="51" customHeight="1" ht="17.25">
      <c r="A51" s="228" t="s">
        <v>1013</v>
      </c>
      <c r="B51" s="504" t="s">
        <v>523</v>
      </c>
      <c r="C51" s="491" t="s">
        <v>1014</v>
      </c>
      <c r="D51" s="478">
        <v>5000</v>
      </c>
      <c r="E51" s="478">
        <v>100000</v>
      </c>
      <c r="F51" s="263">
        <f>IF(E51&lt;&gt;"", ROUNDUP(E51/D51,0),"")</f>
        <v>25568.666666666668</v>
      </c>
      <c r="G51" s="487">
        <f>IF(E51&lt;&gt;"", (SQRT(D51*E51))/300, "")</f>
      </c>
      <c r="H51" s="480"/>
      <c r="I51" s="480"/>
      <c r="J51" s="480">
        <v>86.95</v>
      </c>
      <c r="K51" s="481">
        <v>43.2</v>
      </c>
      <c r="L51" s="489" t="s">
        <v>836</v>
      </c>
      <c r="M51" s="269">
        <v>45962</v>
      </c>
      <c r="N51" s="490" t="s">
        <v>503</v>
      </c>
      <c r="O51" s="491" t="s">
        <v>1015</v>
      </c>
      <c r="P51" s="259" t="s">
        <v>802</v>
      </c>
      <c r="Q51" s="566" t="s">
        <v>803</v>
      </c>
      <c r="R51" s="609" t="s">
        <v>1016</v>
      </c>
      <c r="S51" s="485">
        <v>703</v>
      </c>
    </row>
    <row x14ac:dyDescent="0.25" r="52" customHeight="1" ht="17.25">
      <c r="A52" s="492" t="s">
        <v>1017</v>
      </c>
      <c r="B52" s="494" t="s">
        <v>474</v>
      </c>
      <c r="C52" s="495" t="s">
        <v>1018</v>
      </c>
      <c r="D52" s="496">
        <v>12</v>
      </c>
      <c r="E52" s="496">
        <v>110</v>
      </c>
      <c r="F52" s="263">
        <f>IF(E52&lt;&gt;"", ROUNDUP(E52/D52,0),"")</f>
        <v>25568.666666666668</v>
      </c>
      <c r="G52" s="487">
        <f>IF(E52&lt;&gt;"", (SQRT(D52*E52))/300, "")</f>
      </c>
      <c r="H52" s="497"/>
      <c r="I52" s="498">
        <v>76.2</v>
      </c>
      <c r="J52" s="481">
        <v>63.25</v>
      </c>
      <c r="K52" s="579"/>
      <c r="L52" s="510" t="s">
        <v>836</v>
      </c>
      <c r="M52" s="269">
        <v>45962</v>
      </c>
      <c r="N52" s="490" t="s">
        <v>503</v>
      </c>
      <c r="O52" s="495" t="s">
        <v>1019</v>
      </c>
      <c r="P52" s="492" t="s">
        <v>819</v>
      </c>
      <c r="Q52" s="502" t="s">
        <v>445</v>
      </c>
      <c r="R52" s="503" t="s">
        <v>1020</v>
      </c>
      <c r="S52" s="485">
        <v>702</v>
      </c>
    </row>
    <row x14ac:dyDescent="0.25" r="53" customHeight="1" ht="17.25">
      <c r="A53" s="259" t="s">
        <v>1021</v>
      </c>
      <c r="B53" s="249" t="s">
        <v>898</v>
      </c>
      <c r="C53" s="586" t="s">
        <v>1022</v>
      </c>
      <c r="D53" s="486">
        <v>7</v>
      </c>
      <c r="E53" s="486">
        <v>18000</v>
      </c>
      <c r="F53" s="536">
        <f>IF(E53&lt;&gt;"", ROUNDUP(E53/D53,0),"")</f>
        <v>25568.666666666668</v>
      </c>
      <c r="G53" s="530">
        <f>IF(E53&lt;&gt;"", (SQRT(D53*E53))/300, "")</f>
      </c>
      <c r="H53" s="488"/>
      <c r="I53" s="488"/>
      <c r="J53" s="481"/>
      <c r="K53" s="481"/>
      <c r="L53" s="510" t="s">
        <v>836</v>
      </c>
      <c r="M53" s="269">
        <v>45962</v>
      </c>
      <c r="N53" s="490" t="s">
        <v>503</v>
      </c>
      <c r="O53" s="589" t="s">
        <v>1023</v>
      </c>
      <c r="P53" s="259" t="s">
        <v>819</v>
      </c>
      <c r="Q53" s="590"/>
      <c r="R53" s="591" t="s">
        <v>1024</v>
      </c>
      <c r="S53" s="485">
        <v>701</v>
      </c>
    </row>
    <row x14ac:dyDescent="0.25" r="54" customHeight="1" ht="17.25">
      <c r="A54" s="259" t="s">
        <v>1025</v>
      </c>
      <c r="B54" s="249" t="s">
        <v>939</v>
      </c>
      <c r="C54" s="586" t="s">
        <v>1026</v>
      </c>
      <c r="D54" s="486">
        <v>32</v>
      </c>
      <c r="E54" s="486">
        <v>6000</v>
      </c>
      <c r="F54" s="263">
        <f>IF(E54&lt;&gt;"", ROUNDUP(E54/D54,0),"")</f>
        <v>25568.666666666668</v>
      </c>
      <c r="G54" s="587">
        <f>IF(E54&lt;&gt;"", (SQRT(D54*E54))/300, "")</f>
      </c>
      <c r="H54" s="588">
        <v>85.4</v>
      </c>
      <c r="I54" s="508"/>
      <c r="J54" s="481">
        <v>58.1</v>
      </c>
      <c r="K54" s="509"/>
      <c r="L54" s="510" t="s">
        <v>836</v>
      </c>
      <c r="M54" s="269">
        <v>45962</v>
      </c>
      <c r="N54" s="270" t="s">
        <v>503</v>
      </c>
      <c r="O54" s="589" t="s">
        <v>1027</v>
      </c>
      <c r="P54" s="259" t="s">
        <v>819</v>
      </c>
      <c r="Q54" s="590" t="s">
        <v>445</v>
      </c>
      <c r="R54" s="591" t="s">
        <v>1028</v>
      </c>
      <c r="S54" s="485">
        <v>700</v>
      </c>
    </row>
    <row x14ac:dyDescent="0.25" r="55" customHeight="1" ht="17.25">
      <c r="A55" s="228" t="s">
        <v>260</v>
      </c>
      <c r="B55" s="462" t="s">
        <v>828</v>
      </c>
      <c r="C55" s="491" t="s">
        <v>931</v>
      </c>
      <c r="D55" s="226">
        <v>3000</v>
      </c>
      <c r="E55" s="478">
        <v>100000</v>
      </c>
      <c r="F55" s="230">
        <f>IF(E55&lt;&gt;"", ROUNDUP(E55/D55,0),"")</f>
        <v>25568.666666666668</v>
      </c>
      <c r="G55" s="479">
        <f>IF(E55&lt;&gt;"", (SQRT(D55*E55))/300, "")</f>
      </c>
      <c r="H55" s="488"/>
      <c r="I55" s="614">
        <v>90.1</v>
      </c>
      <c r="J55" s="481">
        <v>93.8</v>
      </c>
      <c r="K55" s="481">
        <v>45.8</v>
      </c>
      <c r="L55" s="510" t="s">
        <v>836</v>
      </c>
      <c r="M55" s="269">
        <v>45962</v>
      </c>
      <c r="N55" s="490" t="s">
        <v>503</v>
      </c>
      <c r="O55" s="491" t="s">
        <v>1029</v>
      </c>
      <c r="P55" s="21" t="s">
        <v>802</v>
      </c>
      <c r="Q55" s="484" t="s">
        <v>803</v>
      </c>
      <c r="R55" s="21" t="s">
        <v>1030</v>
      </c>
      <c r="S55" s="485">
        <v>699</v>
      </c>
    </row>
    <row x14ac:dyDescent="0.25" r="56" customHeight="1" ht="17.25">
      <c r="A56" s="228" t="s">
        <v>1031</v>
      </c>
      <c r="B56" s="21" t="s">
        <v>811</v>
      </c>
      <c r="C56" s="615" t="s">
        <v>1032</v>
      </c>
      <c r="D56" s="23">
        <v>3000</v>
      </c>
      <c r="E56" s="478">
        <v>80000</v>
      </c>
      <c r="F56" s="536">
        <f>IF(E56&lt;&gt;"", ROUNDUP(E56/D56,0),"")</f>
        <v>25568.666666666668</v>
      </c>
      <c r="G56" s="530">
        <f>IF(E56&lt;&gt;"", (SQRT(D56*E56))/300, "")</f>
      </c>
      <c r="H56" s="488"/>
      <c r="I56" s="488"/>
      <c r="J56" s="481"/>
      <c r="K56" s="481"/>
      <c r="L56" s="510" t="s">
        <v>836</v>
      </c>
      <c r="M56" s="269">
        <v>45962</v>
      </c>
      <c r="N56" s="490" t="s">
        <v>503</v>
      </c>
      <c r="O56" s="476" t="s">
        <v>1033</v>
      </c>
      <c r="P56" s="21" t="s">
        <v>802</v>
      </c>
      <c r="Q56" s="484" t="s">
        <v>445</v>
      </c>
      <c r="R56" s="21"/>
      <c r="S56" s="485">
        <v>698</v>
      </c>
    </row>
    <row x14ac:dyDescent="0.25" r="57" customHeight="1" ht="17.25">
      <c r="A57" s="228" t="s">
        <v>1034</v>
      </c>
      <c r="B57" s="21" t="s">
        <v>1035</v>
      </c>
      <c r="C57" s="491" t="s">
        <v>1036</v>
      </c>
      <c r="D57" s="24">
        <v>0.321</v>
      </c>
      <c r="E57" s="477">
        <v>200</v>
      </c>
      <c r="F57" s="230">
        <f>IF(E57&lt;&gt;"", ROUNDUP(E57/D57,0),"")</f>
        <v>25568.666666666668</v>
      </c>
      <c r="G57" s="479">
        <f>IF(E57&lt;&gt;"", (SQRT(D57*E57))/300, "")</f>
      </c>
      <c r="H57" s="585">
        <v>40</v>
      </c>
      <c r="I57" s="616"/>
      <c r="J57" s="481"/>
      <c r="K57" s="509"/>
      <c r="L57" s="510" t="s">
        <v>836</v>
      </c>
      <c r="M57" s="269">
        <v>45962</v>
      </c>
      <c r="N57" s="223" t="s">
        <v>503</v>
      </c>
      <c r="O57" s="491" t="s">
        <v>1036</v>
      </c>
      <c r="P57" s="21" t="s">
        <v>819</v>
      </c>
      <c r="Q57" s="484" t="s">
        <v>445</v>
      </c>
      <c r="R57" s="21" t="s">
        <v>1037</v>
      </c>
      <c r="S57" s="485">
        <v>697</v>
      </c>
    </row>
    <row x14ac:dyDescent="0.25" r="58" customHeight="1" ht="17.25">
      <c r="A58" s="228" t="s">
        <v>1038</v>
      </c>
      <c r="B58" s="462" t="s">
        <v>1039</v>
      </c>
      <c r="C58" s="491" t="s">
        <v>1040</v>
      </c>
      <c r="D58" s="477">
        <v>2400</v>
      </c>
      <c r="E58" s="478">
        <v>100000</v>
      </c>
      <c r="F58" s="230">
        <f>IF(E58&lt;&gt;"", ROUNDUP(E58/D58,0),"")</f>
        <v>25568.666666666668</v>
      </c>
      <c r="G58" s="479">
        <f>IF(E58&lt;&gt;"", (SQRT(D58*E58))/300, "")</f>
      </c>
      <c r="H58" s="481"/>
      <c r="I58" s="481"/>
      <c r="J58" s="617"/>
      <c r="K58" s="509"/>
      <c r="L58" s="510" t="s">
        <v>836</v>
      </c>
      <c r="M58" s="269">
        <v>45962</v>
      </c>
      <c r="N58" s="223" t="s">
        <v>503</v>
      </c>
      <c r="O58" s="608" t="s">
        <v>1041</v>
      </c>
      <c r="P58" s="492" t="s">
        <v>802</v>
      </c>
      <c r="Q58" s="566" t="s">
        <v>445</v>
      </c>
      <c r="R58" s="609" t="s">
        <v>1042</v>
      </c>
      <c r="S58" s="485">
        <v>696</v>
      </c>
    </row>
    <row x14ac:dyDescent="0.25" r="59" customHeight="1" ht="17.25">
      <c r="A59" s="259" t="s">
        <v>1043</v>
      </c>
      <c r="B59" s="600" t="s">
        <v>490</v>
      </c>
      <c r="C59" s="511" t="s">
        <v>954</v>
      </c>
      <c r="D59" s="601">
        <v>2000</v>
      </c>
      <c r="E59" s="562">
        <v>114000</v>
      </c>
      <c r="F59" s="263">
        <f>IF(E59&lt;&gt;"", ROUNDUP(E59/D59,0),"")</f>
        <v>25568.666666666668</v>
      </c>
      <c r="G59" s="597">
        <f>IF(E59&lt;&gt;"", (SQRT(D59*E59))/300, "")</f>
      </c>
      <c r="H59" s="618">
        <v>91</v>
      </c>
      <c r="I59" s="516"/>
      <c r="J59" s="595">
        <v>88.1</v>
      </c>
      <c r="K59" s="599"/>
      <c r="L59" s="268" t="s">
        <v>836</v>
      </c>
      <c r="M59" s="269">
        <v>45962</v>
      </c>
      <c r="N59" s="270" t="s">
        <v>503</v>
      </c>
      <c r="O59" s="271" t="s">
        <v>1044</v>
      </c>
      <c r="P59" s="249" t="s">
        <v>802</v>
      </c>
      <c r="Q59" s="590" t="s">
        <v>803</v>
      </c>
      <c r="R59" s="249" t="s">
        <v>1045</v>
      </c>
      <c r="S59" s="485">
        <v>695</v>
      </c>
    </row>
    <row x14ac:dyDescent="0.25" r="60" customHeight="1" ht="17.25">
      <c r="A60" s="492" t="s">
        <v>1046</v>
      </c>
      <c r="B60" s="494" t="s">
        <v>474</v>
      </c>
      <c r="C60" s="495" t="s">
        <v>1047</v>
      </c>
      <c r="D60" s="496">
        <v>8</v>
      </c>
      <c r="E60" s="496">
        <v>36150</v>
      </c>
      <c r="F60" s="263">
        <f>IF(E60&lt;&gt;"", ROUNDUP(E60/D60,0),"")</f>
        <v>25568.666666666668</v>
      </c>
      <c r="G60" s="487">
        <f>IF(E60&lt;&gt;"", (SQRT(D60*E60))/300, "")</f>
      </c>
      <c r="H60" s="497">
        <v>76.57</v>
      </c>
      <c r="I60" s="498"/>
      <c r="J60" s="481"/>
      <c r="K60" s="579"/>
      <c r="L60" s="510" t="s">
        <v>836</v>
      </c>
      <c r="M60" s="269">
        <v>45962</v>
      </c>
      <c r="N60" s="490" t="s">
        <v>503</v>
      </c>
      <c r="O60" s="495" t="s">
        <v>1048</v>
      </c>
      <c r="P60" s="492" t="s">
        <v>819</v>
      </c>
      <c r="Q60" s="502" t="s">
        <v>1049</v>
      </c>
      <c r="R60" s="503" t="s">
        <v>1050</v>
      </c>
      <c r="S60" s="485">
        <v>694</v>
      </c>
    </row>
    <row x14ac:dyDescent="0.25" r="61" customHeight="1" ht="17.25">
      <c r="A61" s="259" t="s">
        <v>1051</v>
      </c>
      <c r="B61" s="600" t="s">
        <v>1052</v>
      </c>
      <c r="C61" s="511" t="s">
        <v>1053</v>
      </c>
      <c r="D61" s="619">
        <v>1.5</v>
      </c>
      <c r="E61" s="562">
        <v>9000</v>
      </c>
      <c r="F61" s="263">
        <f>IF(E61&lt;&gt;"", ROUNDUP(E61/D61,0),"")</f>
        <v>25568.666666666668</v>
      </c>
      <c r="G61" s="597">
        <f>IF(E61&lt;&gt;"", (SQRT(D61*E61))/300, "")</f>
      </c>
      <c r="H61" s="598"/>
      <c r="I61" s="516"/>
      <c r="J61" s="595"/>
      <c r="K61" s="599"/>
      <c r="L61" s="268" t="s">
        <v>836</v>
      </c>
      <c r="M61" s="269">
        <v>45962</v>
      </c>
      <c r="N61" s="270" t="s">
        <v>503</v>
      </c>
      <c r="O61" s="271" t="s">
        <v>1054</v>
      </c>
      <c r="P61" s="249" t="s">
        <v>819</v>
      </c>
      <c r="Q61" s="590" t="s">
        <v>445</v>
      </c>
      <c r="R61" s="249" t="s">
        <v>1055</v>
      </c>
      <c r="S61" s="485">
        <v>693</v>
      </c>
    </row>
    <row x14ac:dyDescent="0.25" r="62" customHeight="1" ht="17.25">
      <c r="A62" s="228" t="s">
        <v>1056</v>
      </c>
      <c r="B62" s="462" t="s">
        <v>1039</v>
      </c>
      <c r="C62" s="491" t="s">
        <v>1057</v>
      </c>
      <c r="D62" s="477">
        <v>28</v>
      </c>
      <c r="E62" s="478">
        <v>15000</v>
      </c>
      <c r="F62" s="230">
        <f>IF(E62&lt;&gt;"", ROUNDUP(E62/D62,0),"")</f>
        <v>25568.666666666668</v>
      </c>
      <c r="G62" s="479">
        <f>IF(E62&lt;&gt;"", (SQRT(D62*E62))/300, "")</f>
      </c>
      <c r="H62" s="481">
        <v>78.9</v>
      </c>
      <c r="I62" s="585">
        <v>66</v>
      </c>
      <c r="J62" s="617"/>
      <c r="K62" s="509"/>
      <c r="L62" s="510" t="s">
        <v>836</v>
      </c>
      <c r="M62" s="269">
        <v>45962</v>
      </c>
      <c r="N62" s="223" t="s">
        <v>503</v>
      </c>
      <c r="O62" s="608" t="s">
        <v>1058</v>
      </c>
      <c r="P62" s="492" t="s">
        <v>802</v>
      </c>
      <c r="Q62" s="566" t="s">
        <v>445</v>
      </c>
      <c r="R62" s="228" t="s">
        <v>1059</v>
      </c>
      <c r="S62" s="485">
        <v>692</v>
      </c>
    </row>
    <row x14ac:dyDescent="0.25" r="63" customHeight="1" ht="17.25">
      <c r="A63" s="228" t="s">
        <v>1060</v>
      </c>
      <c r="B63" s="462" t="s">
        <v>828</v>
      </c>
      <c r="C63" s="33"/>
      <c r="D63" s="620">
        <v>1.3</v>
      </c>
      <c r="E63" s="477">
        <v>100</v>
      </c>
      <c r="F63" s="230">
        <f>IF(E63&lt;&gt;"", ROUNDUP(E63/D63,0),"")</f>
        <v>25568.666666666668</v>
      </c>
      <c r="G63" s="479">
        <f>IF(E63&lt;&gt;"", (SQRT(D63*E63))/300, "")</f>
      </c>
      <c r="H63" s="488"/>
      <c r="I63" s="488"/>
      <c r="J63" s="481"/>
      <c r="K63" s="509"/>
      <c r="L63" s="510" t="s">
        <v>836</v>
      </c>
      <c r="M63" s="269">
        <v>45962</v>
      </c>
      <c r="N63" s="490" t="s">
        <v>484</v>
      </c>
      <c r="O63" s="615" t="s">
        <v>1061</v>
      </c>
      <c r="P63" s="492" t="s">
        <v>819</v>
      </c>
      <c r="Q63" s="484"/>
      <c r="R63" s="25" t="s">
        <v>1062</v>
      </c>
      <c r="S63" s="485">
        <v>691</v>
      </c>
    </row>
    <row x14ac:dyDescent="0.25" r="64" customHeight="1" ht="17.25">
      <c r="A64" s="228" t="s">
        <v>1063</v>
      </c>
      <c r="B64" s="21" t="s">
        <v>1064</v>
      </c>
      <c r="C64" s="476" t="s">
        <v>1065</v>
      </c>
      <c r="D64" s="477">
        <v>1000</v>
      </c>
      <c r="E64" s="477">
        <v>15500</v>
      </c>
      <c r="F64" s="230">
        <f>IF(E64&lt;&gt;"", ROUNDUP(E64/D64,0),"")</f>
        <v>25568.666666666668</v>
      </c>
      <c r="G64" s="479">
        <f>IF(E64&lt;&gt;"", (SQRT(D64*E64))/300, "")</f>
      </c>
      <c r="H64" s="481">
        <v>94.4</v>
      </c>
      <c r="I64" s="481">
        <v>84.6</v>
      </c>
      <c r="J64" s="481">
        <v>84.5</v>
      </c>
      <c r="K64" s="621">
        <v>44</v>
      </c>
      <c r="L64" s="510" t="s">
        <v>836</v>
      </c>
      <c r="M64" s="269">
        <v>45962</v>
      </c>
      <c r="N64" s="490" t="s">
        <v>503</v>
      </c>
      <c r="O64" s="491" t="s">
        <v>1066</v>
      </c>
      <c r="P64" s="492" t="s">
        <v>802</v>
      </c>
      <c r="Q64" s="484" t="s">
        <v>803</v>
      </c>
      <c r="R64" s="21" t="s">
        <v>1067</v>
      </c>
      <c r="S64" s="485">
        <v>690</v>
      </c>
    </row>
    <row x14ac:dyDescent="0.25" r="65" customHeight="1" ht="17.25">
      <c r="A65" s="228" t="s">
        <v>1068</v>
      </c>
      <c r="B65" s="21" t="s">
        <v>949</v>
      </c>
      <c r="C65" s="476" t="s">
        <v>1069</v>
      </c>
      <c r="D65" s="477">
        <v>1000</v>
      </c>
      <c r="E65" s="486">
        <v>20750</v>
      </c>
      <c r="F65" s="230">
        <f>IF(E65&lt;&gt;"", ROUNDUP(E65/D65,0),"")</f>
        <v>25568.666666666668</v>
      </c>
      <c r="G65" s="479">
        <f>IF(E65&lt;&gt;"", (SQRT(D65*E65))/300, "")</f>
      </c>
      <c r="H65" s="481">
        <v>86.03</v>
      </c>
      <c r="I65" s="481">
        <v>82.04</v>
      </c>
      <c r="J65" s="481">
        <v>72.98</v>
      </c>
      <c r="K65" s="481"/>
      <c r="L65" s="510" t="s">
        <v>836</v>
      </c>
      <c r="M65" s="269">
        <v>45962</v>
      </c>
      <c r="N65" s="490" t="s">
        <v>503</v>
      </c>
      <c r="O65" s="491" t="s">
        <v>1070</v>
      </c>
      <c r="P65" s="492" t="s">
        <v>802</v>
      </c>
      <c r="Q65" s="484"/>
      <c r="R65" s="21" t="s">
        <v>1071</v>
      </c>
      <c r="S65" s="485">
        <v>689</v>
      </c>
    </row>
    <row x14ac:dyDescent="0.25" r="66" customHeight="1" ht="17.25">
      <c r="A66" s="228" t="s">
        <v>1072</v>
      </c>
      <c r="B66" s="21" t="s">
        <v>1073</v>
      </c>
      <c r="C66" s="476" t="s">
        <v>1074</v>
      </c>
      <c r="D66" s="477">
        <v>10</v>
      </c>
      <c r="E66" s="478">
        <v>10000</v>
      </c>
      <c r="F66" s="230">
        <f>IF(E66&lt;&gt;"", ROUNDUP(E66/D66,0),"")</f>
        <v>25568.666666666668</v>
      </c>
      <c r="G66" s="479">
        <f>IF(E66&lt;&gt;"", (SQRT(D66*E66))/300, "")</f>
      </c>
      <c r="H66" s="481"/>
      <c r="I66" s="481"/>
      <c r="J66" s="481"/>
      <c r="K66" s="481"/>
      <c r="L66" s="510" t="s">
        <v>830</v>
      </c>
      <c r="M66" s="269">
        <v>45962</v>
      </c>
      <c r="N66" s="490" t="s">
        <v>484</v>
      </c>
      <c r="O66" s="491" t="s">
        <v>1074</v>
      </c>
      <c r="P66" s="492" t="s">
        <v>819</v>
      </c>
      <c r="Q66" s="484" t="s">
        <v>808</v>
      </c>
      <c r="R66" s="21" t="s">
        <v>1075</v>
      </c>
      <c r="S66" s="485">
        <v>688</v>
      </c>
    </row>
    <row x14ac:dyDescent="0.25" r="67" customHeight="1" ht="17.25">
      <c r="A67" s="228" t="s">
        <v>1076</v>
      </c>
      <c r="B67" s="21" t="s">
        <v>1077</v>
      </c>
      <c r="C67" s="476" t="s">
        <v>1078</v>
      </c>
      <c r="D67" s="620">
        <v>1.82</v>
      </c>
      <c r="E67" s="477">
        <v>230</v>
      </c>
      <c r="F67" s="230">
        <f>IF(E67&lt;&gt;"", ROUNDUP(E67/D67,0),"")</f>
        <v>25568.666666666668</v>
      </c>
      <c r="G67" s="479">
        <f>IF(E67&lt;&gt;"", (SQRT(D67*E67))/300, "")</f>
      </c>
      <c r="H67" s="481"/>
      <c r="I67" s="481"/>
      <c r="J67" s="481"/>
      <c r="K67" s="481"/>
      <c r="L67" s="510" t="s">
        <v>830</v>
      </c>
      <c r="M67" s="269">
        <v>45931</v>
      </c>
      <c r="N67" s="490" t="s">
        <v>503</v>
      </c>
      <c r="O67" s="491" t="s">
        <v>1079</v>
      </c>
      <c r="P67" s="492" t="s">
        <v>819</v>
      </c>
      <c r="Q67" s="493"/>
      <c r="R67" s="21" t="s">
        <v>1080</v>
      </c>
      <c r="S67" s="485">
        <v>687</v>
      </c>
    </row>
    <row x14ac:dyDescent="0.25" r="68" customHeight="1" ht="17.25">
      <c r="A68" s="228" t="s">
        <v>1081</v>
      </c>
      <c r="B68" s="21" t="s">
        <v>1064</v>
      </c>
      <c r="C68" s="476" t="s">
        <v>1082</v>
      </c>
      <c r="D68" s="477">
        <v>48</v>
      </c>
      <c r="E68" s="477">
        <v>5700</v>
      </c>
      <c r="F68" s="230">
        <f>IF(E68&lt;&gt;"", ROUNDUP(E68/D68,0),"")</f>
        <v>25568.666666666668</v>
      </c>
      <c r="G68" s="479">
        <f>IF(E68&lt;&gt;"", (SQRT(D68*E68))/300, "")</f>
      </c>
      <c r="H68" s="481"/>
      <c r="I68" s="585">
        <v>51</v>
      </c>
      <c r="J68" s="481"/>
      <c r="K68" s="481"/>
      <c r="L68" s="510" t="s">
        <v>836</v>
      </c>
      <c r="M68" s="269">
        <v>45931</v>
      </c>
      <c r="N68" s="490" t="s">
        <v>503</v>
      </c>
      <c r="O68" s="491" t="s">
        <v>1083</v>
      </c>
      <c r="P68" s="492" t="s">
        <v>802</v>
      </c>
      <c r="Q68" s="493"/>
      <c r="R68" s="21" t="s">
        <v>1084</v>
      </c>
      <c r="S68" s="485">
        <v>686</v>
      </c>
    </row>
    <row x14ac:dyDescent="0.25" r="69" customHeight="1" ht="17.25">
      <c r="A69" s="492" t="s">
        <v>1085</v>
      </c>
      <c r="B69" s="504" t="s">
        <v>1086</v>
      </c>
      <c r="C69" s="495" t="s">
        <v>1087</v>
      </c>
      <c r="D69" s="496">
        <v>230</v>
      </c>
      <c r="E69" s="526">
        <v>7200</v>
      </c>
      <c r="F69" s="513">
        <f>IF(E69&lt;&gt;"", ROUNDUP(E69/D69,0),"")</f>
        <v>25568.666666666668</v>
      </c>
      <c r="G69" s="567">
        <f>IF(E69&lt;&gt;"", (SQRT(D69*E69))/300, "")</f>
      </c>
      <c r="H69" s="514"/>
      <c r="I69" s="622">
        <v>82</v>
      </c>
      <c r="J69" s="623">
        <v>78</v>
      </c>
      <c r="K69" s="481">
        <v>31.8</v>
      </c>
      <c r="L69" s="624" t="s">
        <v>830</v>
      </c>
      <c r="M69" s="269">
        <v>45931</v>
      </c>
      <c r="N69" s="490" t="s">
        <v>503</v>
      </c>
      <c r="O69" s="495" t="s">
        <v>1088</v>
      </c>
      <c r="P69" s="503" t="s">
        <v>802</v>
      </c>
      <c r="Q69" s="502" t="s">
        <v>445</v>
      </c>
      <c r="R69" s="503" t="s">
        <v>1089</v>
      </c>
      <c r="S69" s="485">
        <v>685</v>
      </c>
    </row>
    <row x14ac:dyDescent="0.25" r="70" customHeight="1" ht="17.25">
      <c r="A70" s="259" t="s">
        <v>1090</v>
      </c>
      <c r="B70" s="561" t="s">
        <v>1091</v>
      </c>
      <c r="C70" s="271" t="s">
        <v>1092</v>
      </c>
      <c r="D70" s="512">
        <v>0.025</v>
      </c>
      <c r="E70" s="512">
        <v>0.205</v>
      </c>
      <c r="F70" s="230">
        <f>IF(E70&lt;&gt;"", ROUNDUP(E70/D70,0),"")</f>
        <v>25568.666666666668</v>
      </c>
      <c r="G70" s="479">
        <f>IF(E70&lt;&gt;"", (SQRT(D70*E70))/300, "")</f>
      </c>
      <c r="H70" s="554"/>
      <c r="I70" s="555"/>
      <c r="J70" s="556"/>
      <c r="K70" s="625"/>
      <c r="L70" s="626" t="s">
        <v>1093</v>
      </c>
      <c r="M70" s="269">
        <v>45931</v>
      </c>
      <c r="N70" s="490" t="s">
        <v>503</v>
      </c>
      <c r="O70" s="271" t="s">
        <v>1094</v>
      </c>
      <c r="P70" s="259" t="s">
        <v>1095</v>
      </c>
      <c r="Q70" s="272"/>
      <c r="R70" s="249" t="s">
        <v>1096</v>
      </c>
      <c r="S70" s="485">
        <v>684</v>
      </c>
    </row>
    <row x14ac:dyDescent="0.25" r="71" customHeight="1" ht="17.25">
      <c r="A71" s="259" t="s">
        <v>1097</v>
      </c>
      <c r="B71" s="504" t="s">
        <v>479</v>
      </c>
      <c r="C71" s="271" t="s">
        <v>1098</v>
      </c>
      <c r="D71" s="486">
        <v>3</v>
      </c>
      <c r="E71" s="562">
        <v>6000</v>
      </c>
      <c r="F71" s="230">
        <f>IF(E71&lt;&gt;"", ROUNDUP(E71/D71,0),"")</f>
        <v>25568.666666666668</v>
      </c>
      <c r="G71" s="479">
        <f>IF(E71&lt;&gt;"", (SQRT(D71*E71))/300, "")</f>
      </c>
      <c r="H71" s="554"/>
      <c r="I71" s="555"/>
      <c r="J71" s="556"/>
      <c r="K71" s="625"/>
      <c r="L71" s="627" t="s">
        <v>1099</v>
      </c>
      <c r="M71" s="269">
        <v>45931</v>
      </c>
      <c r="N71" s="270" t="s">
        <v>503</v>
      </c>
      <c r="O71" s="271" t="s">
        <v>1098</v>
      </c>
      <c r="P71" s="259" t="s">
        <v>802</v>
      </c>
      <c r="Q71" s="272"/>
      <c r="R71" s="249" t="s">
        <v>1100</v>
      </c>
      <c r="S71" s="485">
        <v>683</v>
      </c>
    </row>
    <row x14ac:dyDescent="0.25" r="72" customHeight="1" ht="17.25">
      <c r="A72" s="228" t="s">
        <v>1101</v>
      </c>
      <c r="B72" s="21" t="s">
        <v>834</v>
      </c>
      <c r="C72" s="476" t="s">
        <v>1102</v>
      </c>
      <c r="D72" s="477">
        <v>8</v>
      </c>
      <c r="E72" s="478">
        <v>1000</v>
      </c>
      <c r="F72" s="230">
        <f>IF(E72&lt;&gt;"", ROUNDUP(E72/D72,0),"")</f>
        <v>25568.666666666668</v>
      </c>
      <c r="G72" s="479">
        <f>IF(E72&lt;&gt;"", (SQRT(D72*E72))/300, "")</f>
      </c>
      <c r="H72" s="488"/>
      <c r="I72" s="488"/>
      <c r="J72" s="488"/>
      <c r="K72" s="481"/>
      <c r="L72" s="499" t="s">
        <v>1103</v>
      </c>
      <c r="M72" s="269">
        <v>45931</v>
      </c>
      <c r="N72" s="490" t="s">
        <v>503</v>
      </c>
      <c r="O72" s="491" t="s">
        <v>1102</v>
      </c>
      <c r="P72" s="492" t="s">
        <v>819</v>
      </c>
      <c r="Q72" s="493"/>
      <c r="R72" s="21" t="s">
        <v>1104</v>
      </c>
      <c r="S72" s="485">
        <v>682</v>
      </c>
    </row>
    <row x14ac:dyDescent="0.25" r="73" customHeight="1" ht="17.25">
      <c r="A73" s="592" t="s">
        <v>1105</v>
      </c>
      <c r="B73" s="628" t="s">
        <v>1106</v>
      </c>
      <c r="C73" s="629" t="s">
        <v>1107</v>
      </c>
      <c r="D73" s="630">
        <v>1.7</v>
      </c>
      <c r="E73" s="631">
        <v>180</v>
      </c>
      <c r="F73" s="263">
        <f>IF(E73&lt;&gt;"", ROUNDUP(E73/D73,0),"")</f>
        <v>25568.666666666668</v>
      </c>
      <c r="G73" s="632">
        <f>IF(E73&lt;&gt;"", (SQRT(D73*E73))/300, "")</f>
      </c>
      <c r="H73" s="633"/>
      <c r="I73" s="634"/>
      <c r="J73" s="635"/>
      <c r="K73" s="481"/>
      <c r="L73" s="489" t="s">
        <v>836</v>
      </c>
      <c r="M73" s="269">
        <v>45931</v>
      </c>
      <c r="N73" s="223" t="s">
        <v>503</v>
      </c>
      <c r="O73" s="589" t="s">
        <v>1108</v>
      </c>
      <c r="P73" s="592" t="s">
        <v>819</v>
      </c>
      <c r="Q73" s="636" t="s">
        <v>901</v>
      </c>
      <c r="R73" s="592" t="s">
        <v>1109</v>
      </c>
      <c r="S73" s="485">
        <v>681</v>
      </c>
    </row>
    <row x14ac:dyDescent="0.25" r="74" customHeight="1" ht="17.25">
      <c r="A74" s="492" t="s">
        <v>1110</v>
      </c>
      <c r="B74" s="21" t="s">
        <v>1111</v>
      </c>
      <c r="C74" s="535" t="s">
        <v>1112</v>
      </c>
      <c r="D74" s="572">
        <v>0.007</v>
      </c>
      <c r="E74" s="637">
        <v>0.1</v>
      </c>
      <c r="F74" s="230">
        <f>IF(E74&lt;&gt;"", ROUNDUP(E74/D74,0),"")</f>
        <v>25568.666666666668</v>
      </c>
      <c r="G74" s="487">
        <f>IF(E74&lt;&gt;"", (SQRT(D74*E74))/300, "")</f>
      </c>
      <c r="H74" s="480"/>
      <c r="I74" s="480"/>
      <c r="J74" s="480"/>
      <c r="K74" s="481"/>
      <c r="L74" s="638" t="s">
        <v>1113</v>
      </c>
      <c r="M74" s="269">
        <v>45931</v>
      </c>
      <c r="N74" s="223" t="s">
        <v>503</v>
      </c>
      <c r="O74" s="511" t="s">
        <v>1114</v>
      </c>
      <c r="P74" s="259" t="s">
        <v>819</v>
      </c>
      <c r="Q74" s="566"/>
      <c r="R74" s="228" t="s">
        <v>1115</v>
      </c>
      <c r="S74" s="485">
        <v>680</v>
      </c>
    </row>
    <row x14ac:dyDescent="0.25" r="75" customHeight="1" ht="17.25">
      <c r="A75" s="228" t="s">
        <v>1116</v>
      </c>
      <c r="B75" s="21" t="s">
        <v>1117</v>
      </c>
      <c r="C75" s="608" t="s">
        <v>1118</v>
      </c>
      <c r="D75" s="23">
        <v>32</v>
      </c>
      <c r="E75" s="526">
        <v>15000</v>
      </c>
      <c r="F75" s="230">
        <f>IF(E75&lt;&gt;"", ROUNDUP(E75/D75,0),"")</f>
        <v>25568.666666666668</v>
      </c>
      <c r="G75" s="479">
        <f>IF(E75&lt;&gt;"", (SQRT(D75*E75))/300, "")</f>
      </c>
      <c r="H75" s="481">
        <v>78.33</v>
      </c>
      <c r="I75" s="481">
        <v>55.47</v>
      </c>
      <c r="J75" s="480">
        <v>40.63</v>
      </c>
      <c r="K75" s="639"/>
      <c r="L75" s="489" t="s">
        <v>836</v>
      </c>
      <c r="M75" s="269">
        <v>45931</v>
      </c>
      <c r="N75" s="223" t="s">
        <v>503</v>
      </c>
      <c r="O75" s="615" t="s">
        <v>1119</v>
      </c>
      <c r="P75" s="259" t="s">
        <v>802</v>
      </c>
      <c r="Q75" s="566" t="s">
        <v>445</v>
      </c>
      <c r="R75" s="609" t="s">
        <v>1120</v>
      </c>
      <c r="S75" s="485">
        <v>679</v>
      </c>
    </row>
    <row x14ac:dyDescent="0.25" r="76" customHeight="1" ht="17.25">
      <c r="A76" s="228" t="s">
        <v>1121</v>
      </c>
      <c r="B76" s="504" t="s">
        <v>908</v>
      </c>
      <c r="C76" s="491" t="s">
        <v>1122</v>
      </c>
      <c r="D76" s="477">
        <v>355</v>
      </c>
      <c r="E76" s="477">
        <v>22000</v>
      </c>
      <c r="F76" s="263">
        <f>IF(E76&lt;&gt;"", ROUNDUP(E76/D76,0),"")</f>
        <v>25568.666666666668</v>
      </c>
      <c r="G76" s="487">
        <f>IF(E76&lt;&gt;"", (SQRT(D76*E76))/300, "")</f>
      </c>
      <c r="H76" s="480"/>
      <c r="I76" s="480"/>
      <c r="J76" s="480">
        <v>82.9</v>
      </c>
      <c r="K76" s="481">
        <v>30.4</v>
      </c>
      <c r="L76" s="489" t="s">
        <v>836</v>
      </c>
      <c r="M76" s="269">
        <v>45901</v>
      </c>
      <c r="N76" s="490" t="s">
        <v>503</v>
      </c>
      <c r="O76" s="491" t="s">
        <v>1123</v>
      </c>
      <c r="P76" s="259" t="s">
        <v>802</v>
      </c>
      <c r="Q76" s="566" t="s">
        <v>445</v>
      </c>
      <c r="R76" s="228" t="s">
        <v>911</v>
      </c>
      <c r="S76" s="485">
        <v>678</v>
      </c>
    </row>
    <row x14ac:dyDescent="0.25" r="77" customHeight="1" ht="17.25">
      <c r="A77" s="228" t="s">
        <v>1124</v>
      </c>
      <c r="B77" s="504" t="s">
        <v>1125</v>
      </c>
      <c r="C77" s="491" t="s">
        <v>1126</v>
      </c>
      <c r="D77" s="477">
        <v>1000</v>
      </c>
      <c r="E77" s="478">
        <v>20000</v>
      </c>
      <c r="F77" s="263">
        <f>IF(E77&lt;&gt;"", ROUNDUP(E77/D77,0),"")</f>
        <v>25568.666666666668</v>
      </c>
      <c r="G77" s="487">
        <f>IF(E77&lt;&gt;"", (SQRT(D77*E77))/300, "")</f>
      </c>
      <c r="H77" s="480"/>
      <c r="I77" s="480"/>
      <c r="J77" s="480"/>
      <c r="K77" s="481"/>
      <c r="L77" s="489" t="s">
        <v>836</v>
      </c>
      <c r="M77" s="269">
        <v>45901</v>
      </c>
      <c r="N77" s="490" t="s">
        <v>503</v>
      </c>
      <c r="O77" s="491" t="s">
        <v>1126</v>
      </c>
      <c r="P77" s="259" t="s">
        <v>802</v>
      </c>
      <c r="Q77" s="566" t="s">
        <v>445</v>
      </c>
      <c r="R77" s="228" t="s">
        <v>1127</v>
      </c>
      <c r="S77" s="485">
        <v>677</v>
      </c>
    </row>
    <row x14ac:dyDescent="0.25" r="78" customHeight="1" ht="17.25">
      <c r="A78" s="228" t="s">
        <v>1128</v>
      </c>
      <c r="B78" s="504" t="s">
        <v>523</v>
      </c>
      <c r="C78" s="491" t="s">
        <v>1014</v>
      </c>
      <c r="D78" s="478">
        <v>400</v>
      </c>
      <c r="E78" s="478">
        <v>80000</v>
      </c>
      <c r="F78" s="263">
        <f>IF(E78&lt;&gt;"", ROUNDUP(E78/D78,0),"")</f>
        <v>25568.666666666668</v>
      </c>
      <c r="G78" s="487">
        <f>IF(E78&lt;&gt;"", (SQRT(D78*E78))/300, "")</f>
      </c>
      <c r="H78" s="480"/>
      <c r="I78" s="480"/>
      <c r="J78" s="480">
        <v>83.4</v>
      </c>
      <c r="K78" s="481"/>
      <c r="L78" s="489" t="s">
        <v>836</v>
      </c>
      <c r="M78" s="269">
        <v>45901</v>
      </c>
      <c r="N78" s="490" t="s">
        <v>503</v>
      </c>
      <c r="O78" s="491" t="s">
        <v>1129</v>
      </c>
      <c r="P78" s="259" t="s">
        <v>802</v>
      </c>
      <c r="Q78" s="566" t="s">
        <v>803</v>
      </c>
      <c r="R78" s="609" t="s">
        <v>1130</v>
      </c>
      <c r="S78" s="485">
        <v>676</v>
      </c>
    </row>
    <row x14ac:dyDescent="0.25" r="79" customHeight="1" ht="17.25">
      <c r="A79" s="228" t="s">
        <v>1131</v>
      </c>
      <c r="B79" s="462" t="s">
        <v>828</v>
      </c>
      <c r="C79" s="33"/>
      <c r="D79" s="478">
        <v>200</v>
      </c>
      <c r="E79" s="478">
        <v>20000</v>
      </c>
      <c r="F79" s="230">
        <f>IF(E79&lt;&gt;"", ROUNDUP(E79/D79,0),"")</f>
        <v>25568.666666666668</v>
      </c>
      <c r="G79" s="479">
        <f>IF(E79&lt;&gt;"", (SQRT(D79*E79))/300, "")</f>
      </c>
      <c r="H79" s="488"/>
      <c r="I79" s="488"/>
      <c r="J79" s="481">
        <v>59.6</v>
      </c>
      <c r="K79" s="509"/>
      <c r="L79" s="510" t="s">
        <v>836</v>
      </c>
      <c r="M79" s="269">
        <v>45901</v>
      </c>
      <c r="N79" s="270" t="s">
        <v>503</v>
      </c>
      <c r="O79" s="615" t="s">
        <v>1132</v>
      </c>
      <c r="P79" s="640" t="s">
        <v>802</v>
      </c>
      <c r="Q79" s="484" t="s">
        <v>445</v>
      </c>
      <c r="R79" s="21" t="s">
        <v>1133</v>
      </c>
      <c r="S79" s="485">
        <v>675</v>
      </c>
    </row>
    <row x14ac:dyDescent="0.25" r="80" customHeight="1" ht="17.25">
      <c r="A80" s="228" t="s">
        <v>1134</v>
      </c>
      <c r="B80" s="462" t="s">
        <v>828</v>
      </c>
      <c r="C80" s="491" t="s">
        <v>1135</v>
      </c>
      <c r="D80" s="478">
        <v>30</v>
      </c>
      <c r="E80" s="478">
        <v>30000</v>
      </c>
      <c r="F80" s="230">
        <f>IF(E80&lt;&gt;"", ROUNDUP(E80/D80,0),"")</f>
        <v>25568.666666666668</v>
      </c>
      <c r="G80" s="479">
        <f>IF(E80&lt;&gt;"", (SQRT(D80*E80))/300, "")</f>
      </c>
      <c r="H80" s="488"/>
      <c r="I80" s="488"/>
      <c r="J80" s="481">
        <v>83.3</v>
      </c>
      <c r="K80" s="509"/>
      <c r="L80" s="510" t="s">
        <v>836</v>
      </c>
      <c r="M80" s="269">
        <v>45901</v>
      </c>
      <c r="N80" s="270" t="s">
        <v>503</v>
      </c>
      <c r="O80" s="615" t="s">
        <v>1132</v>
      </c>
      <c r="P80" s="640" t="s">
        <v>802</v>
      </c>
      <c r="Q80" s="484" t="s">
        <v>445</v>
      </c>
      <c r="R80" s="21" t="s">
        <v>1136</v>
      </c>
      <c r="S80" s="485">
        <v>674</v>
      </c>
    </row>
    <row x14ac:dyDescent="0.25" r="81" customHeight="1" ht="17.25">
      <c r="A81" s="492" t="s">
        <v>1137</v>
      </c>
      <c r="B81" s="577" t="s">
        <v>508</v>
      </c>
      <c r="C81" s="641" t="s">
        <v>1138</v>
      </c>
      <c r="D81" s="572">
        <v>0.2</v>
      </c>
      <c r="E81" s="496">
        <v>100</v>
      </c>
      <c r="F81" s="536">
        <f>IF(E81&lt;&gt;"", ROUNDUP(E81/D81,0),"")</f>
        <v>25568.666666666668</v>
      </c>
      <c r="G81" s="487">
        <f>IF(E81&lt;&gt;"", (SQRT(D81*E81))/300, "")</f>
      </c>
      <c r="H81" s="579"/>
      <c r="I81" s="579"/>
      <c r="J81" s="579"/>
      <c r="K81" s="579"/>
      <c r="L81" s="642" t="s">
        <v>1099</v>
      </c>
      <c r="M81" s="269">
        <v>45901</v>
      </c>
      <c r="N81" s="500" t="s">
        <v>470</v>
      </c>
      <c r="O81" s="495" t="s">
        <v>1139</v>
      </c>
      <c r="P81" s="492" t="s">
        <v>819</v>
      </c>
      <c r="Q81" s="580"/>
      <c r="R81" s="503" t="s">
        <v>1140</v>
      </c>
      <c r="S81" s="485">
        <v>673</v>
      </c>
    </row>
    <row x14ac:dyDescent="0.25" r="82" customHeight="1" ht="17.25">
      <c r="A82" s="259" t="s">
        <v>1141</v>
      </c>
      <c r="B82" s="504" t="s">
        <v>494</v>
      </c>
      <c r="C82" s="643" t="s">
        <v>1142</v>
      </c>
      <c r="D82" s="562">
        <v>1000</v>
      </c>
      <c r="E82" s="562">
        <v>36000</v>
      </c>
      <c r="F82" s="263">
        <f>IF(E82&lt;&gt;"", ROUNDUP(E82/D82,0),"")</f>
        <v>25568.666666666668</v>
      </c>
      <c r="G82" s="644">
        <f>IF(E82&lt;&gt;"", (SQRT(D82*E82))/300, "")</f>
      </c>
      <c r="H82" s="516"/>
      <c r="I82" s="516"/>
      <c r="J82" s="497">
        <v>85.4</v>
      </c>
      <c r="K82" s="516"/>
      <c r="L82" s="268" t="s">
        <v>836</v>
      </c>
      <c r="M82" s="269">
        <v>45901</v>
      </c>
      <c r="N82" s="270" t="s">
        <v>503</v>
      </c>
      <c r="O82" s="511" t="s">
        <v>1143</v>
      </c>
      <c r="P82" s="259" t="s">
        <v>802</v>
      </c>
      <c r="Q82" s="484" t="s">
        <v>445</v>
      </c>
      <c r="R82" s="249" t="s">
        <v>1144</v>
      </c>
      <c r="S82" s="485">
        <v>672</v>
      </c>
    </row>
    <row x14ac:dyDescent="0.25" r="83" customHeight="1" ht="17.25">
      <c r="A83" s="228" t="s">
        <v>1145</v>
      </c>
      <c r="B83" s="21" t="s">
        <v>494</v>
      </c>
      <c r="C83" s="476" t="s">
        <v>1146</v>
      </c>
      <c r="D83" s="477">
        <v>30</v>
      </c>
      <c r="E83" s="477">
        <v>17000</v>
      </c>
      <c r="F83" s="230">
        <f>IF(E83&lt;&gt;"", ROUNDUP(E83/D83,0),"")</f>
        <v>25568.666666666668</v>
      </c>
      <c r="G83" s="479">
        <f>IF(E83&lt;&gt;"", (SQRT(D83*E83))/300, "")</f>
      </c>
      <c r="H83" s="488">
        <v>88.8</v>
      </c>
      <c r="I83" s="481"/>
      <c r="J83" s="481">
        <v>73.1</v>
      </c>
      <c r="K83" s="481"/>
      <c r="L83" s="510" t="s">
        <v>836</v>
      </c>
      <c r="M83" s="269">
        <v>45901</v>
      </c>
      <c r="N83" s="490" t="s">
        <v>503</v>
      </c>
      <c r="O83" s="491" t="s">
        <v>1147</v>
      </c>
      <c r="P83" s="492" t="s">
        <v>802</v>
      </c>
      <c r="Q83" s="484" t="s">
        <v>445</v>
      </c>
      <c r="R83" s="21" t="s">
        <v>1148</v>
      </c>
      <c r="S83" s="485">
        <v>671</v>
      </c>
    </row>
    <row x14ac:dyDescent="0.25" r="84" customHeight="1" ht="17.25">
      <c r="A84" s="259" t="s">
        <v>1149</v>
      </c>
      <c r="B84" s="504" t="s">
        <v>479</v>
      </c>
      <c r="C84" s="271" t="s">
        <v>1150</v>
      </c>
      <c r="D84" s="486">
        <v>685</v>
      </c>
      <c r="E84" s="562">
        <v>15640</v>
      </c>
      <c r="F84" s="263">
        <v>23</v>
      </c>
      <c r="G84" s="264">
        <v>10.61340870995009</v>
      </c>
      <c r="H84" s="554"/>
      <c r="I84" s="645">
        <v>85</v>
      </c>
      <c r="J84" s="556">
        <v>80.7</v>
      </c>
      <c r="K84" s="625">
        <v>21.7</v>
      </c>
      <c r="L84" s="268" t="s">
        <v>836</v>
      </c>
      <c r="M84" s="269">
        <v>45901</v>
      </c>
      <c r="N84" s="270" t="s">
        <v>503</v>
      </c>
      <c r="O84" s="271" t="s">
        <v>1151</v>
      </c>
      <c r="P84" s="259" t="s">
        <v>802</v>
      </c>
      <c r="Q84" s="272" t="s">
        <v>994</v>
      </c>
      <c r="R84" s="591" t="s">
        <v>1152</v>
      </c>
      <c r="S84" s="485">
        <v>670</v>
      </c>
    </row>
    <row x14ac:dyDescent="0.25" r="85" customHeight="1" ht="17.25">
      <c r="A85" s="228" t="s">
        <v>1153</v>
      </c>
      <c r="B85" s="21" t="s">
        <v>1154</v>
      </c>
      <c r="C85" s="476" t="s">
        <v>1155</v>
      </c>
      <c r="D85" s="23">
        <v>2</v>
      </c>
      <c r="E85" s="478">
        <v>2000</v>
      </c>
      <c r="F85" s="536">
        <f>IF(E85&lt;&gt;"", ROUNDUP(E85/D85,0),"")</f>
        <v>25568.666666666668</v>
      </c>
      <c r="G85" s="530">
        <f>IF(E85&lt;&gt;"", (SQRT(D85*E85))/300, "")</f>
      </c>
      <c r="H85" s="488"/>
      <c r="I85" s="488"/>
      <c r="J85" s="481"/>
      <c r="K85" s="481"/>
      <c r="L85" s="510" t="s">
        <v>836</v>
      </c>
      <c r="M85" s="269">
        <v>45901</v>
      </c>
      <c r="N85" s="490" t="s">
        <v>503</v>
      </c>
      <c r="O85" s="476" t="s">
        <v>1156</v>
      </c>
      <c r="P85" s="21" t="s">
        <v>819</v>
      </c>
      <c r="Q85" s="484"/>
      <c r="R85" s="21" t="s">
        <v>1157</v>
      </c>
      <c r="S85" s="485">
        <v>669</v>
      </c>
    </row>
    <row x14ac:dyDescent="0.25" r="86" customHeight="1" ht="17.25">
      <c r="A86" s="228" t="s">
        <v>1158</v>
      </c>
      <c r="B86" s="21" t="s">
        <v>811</v>
      </c>
      <c r="C86" s="615" t="s">
        <v>1032</v>
      </c>
      <c r="D86" s="226">
        <v>3000</v>
      </c>
      <c r="E86" s="478">
        <v>20000</v>
      </c>
      <c r="F86" s="536">
        <f>IF(E86&lt;&gt;"", ROUNDUP(E86/D86,0),"")</f>
        <v>25568.666666666668</v>
      </c>
      <c r="G86" s="530">
        <f>IF(E86&lt;&gt;"", (SQRT(D86*E86))/300, "")</f>
      </c>
      <c r="H86" s="488"/>
      <c r="I86" s="488"/>
      <c r="J86" s="481">
        <v>85.7</v>
      </c>
      <c r="K86" s="585">
        <v>20</v>
      </c>
      <c r="L86" s="510" t="s">
        <v>836</v>
      </c>
      <c r="M86" s="269">
        <v>45901</v>
      </c>
      <c r="N86" s="490" t="s">
        <v>503</v>
      </c>
      <c r="O86" s="476" t="s">
        <v>1159</v>
      </c>
      <c r="P86" s="646" t="s">
        <v>802</v>
      </c>
      <c r="Q86" s="484" t="s">
        <v>803</v>
      </c>
      <c r="R86" s="21" t="s">
        <v>1160</v>
      </c>
      <c r="S86" s="485">
        <v>668</v>
      </c>
    </row>
    <row x14ac:dyDescent="0.25" r="87" customHeight="1" ht="17.25">
      <c r="A87" s="228" t="s">
        <v>1161</v>
      </c>
      <c r="B87" s="462" t="s">
        <v>828</v>
      </c>
      <c r="C87" s="476" t="s">
        <v>1162</v>
      </c>
      <c r="D87" s="477">
        <v>1</v>
      </c>
      <c r="E87" s="478">
        <v>13000</v>
      </c>
      <c r="F87" s="230">
        <f>IF(E87&lt;&gt;"", ROUNDUP(E87/D87,0),"")</f>
        <v>25568.666666666668</v>
      </c>
      <c r="G87" s="479">
        <f>IF(E87&lt;&gt;"", (SQRT(D87*E87))/300, "")</f>
      </c>
      <c r="H87" s="480"/>
      <c r="I87" s="480"/>
      <c r="J87" s="480"/>
      <c r="K87" s="481"/>
      <c r="L87" s="482" t="s">
        <v>830</v>
      </c>
      <c r="M87" s="269">
        <v>45901</v>
      </c>
      <c r="N87" s="223" t="s">
        <v>503</v>
      </c>
      <c r="O87" s="495" t="s">
        <v>1163</v>
      </c>
      <c r="P87" s="228" t="s">
        <v>819</v>
      </c>
      <c r="Q87" s="484"/>
      <c r="R87" s="25" t="s">
        <v>1164</v>
      </c>
      <c r="S87" s="485">
        <v>667</v>
      </c>
    </row>
    <row x14ac:dyDescent="0.25" r="88" customHeight="1" ht="17.25">
      <c r="A88" s="228" t="s">
        <v>1165</v>
      </c>
      <c r="B88" s="21" t="s">
        <v>494</v>
      </c>
      <c r="C88" s="476" t="s">
        <v>1166</v>
      </c>
      <c r="D88" s="477">
        <v>80</v>
      </c>
      <c r="E88" s="477">
        <v>15000</v>
      </c>
      <c r="F88" s="230">
        <f>IF(E88&lt;&gt;"", ROUNDUP(E88/D88,0),"")</f>
        <v>25568.666666666668</v>
      </c>
      <c r="G88" s="479">
        <f>IF(E88&lt;&gt;"", (SQRT(D88*E88))/300, "")</f>
      </c>
      <c r="H88" s="481">
        <v>84.72</v>
      </c>
      <c r="I88" s="481">
        <v>66.05</v>
      </c>
      <c r="J88" s="481">
        <v>43.43</v>
      </c>
      <c r="K88" s="481"/>
      <c r="L88" s="510" t="s">
        <v>836</v>
      </c>
      <c r="M88" s="269">
        <v>45901</v>
      </c>
      <c r="N88" s="490" t="s">
        <v>503</v>
      </c>
      <c r="O88" s="491" t="s">
        <v>1167</v>
      </c>
      <c r="P88" s="492" t="s">
        <v>802</v>
      </c>
      <c r="Q88" s="484" t="s">
        <v>445</v>
      </c>
      <c r="R88" s="21" t="s">
        <v>1168</v>
      </c>
      <c r="S88" s="485">
        <v>666</v>
      </c>
    </row>
    <row x14ac:dyDescent="0.25" r="89" customHeight="1" ht="17.25">
      <c r="A89" s="228" t="s">
        <v>1169</v>
      </c>
      <c r="B89" s="21" t="s">
        <v>974</v>
      </c>
      <c r="C89" s="491" t="s">
        <v>1170</v>
      </c>
      <c r="D89" s="477">
        <v>32</v>
      </c>
      <c r="E89" s="477">
        <v>18000</v>
      </c>
      <c r="F89" s="230">
        <f>IF(E89&lt;&gt;"", ROUNDUP(E89/D89,0),"")</f>
        <v>25568.666666666668</v>
      </c>
      <c r="G89" s="479">
        <f>IF(E89&lt;&gt;"", (SQRT(D89*E89))/300, "")</f>
      </c>
      <c r="H89" s="617"/>
      <c r="I89" s="488"/>
      <c r="J89" s="481">
        <v>71.08</v>
      </c>
      <c r="K89" s="509">
        <v>9.95</v>
      </c>
      <c r="L89" s="510" t="s">
        <v>836</v>
      </c>
      <c r="M89" s="269">
        <v>45901</v>
      </c>
      <c r="N89" s="223" t="s">
        <v>503</v>
      </c>
      <c r="O89" s="608" t="s">
        <v>1171</v>
      </c>
      <c r="P89" s="228" t="s">
        <v>819</v>
      </c>
      <c r="Q89" s="566" t="s">
        <v>445</v>
      </c>
      <c r="R89" s="228" t="s">
        <v>1172</v>
      </c>
      <c r="S89" s="485">
        <v>665</v>
      </c>
    </row>
    <row x14ac:dyDescent="0.25" r="90" customHeight="1" ht="17.25">
      <c r="A90" s="228" t="s">
        <v>1173</v>
      </c>
      <c r="B90" s="21" t="s">
        <v>1174</v>
      </c>
      <c r="C90" s="491" t="s">
        <v>1175</v>
      </c>
      <c r="D90" s="620">
        <v>0.307</v>
      </c>
      <c r="E90" s="477">
        <v>3000</v>
      </c>
      <c r="F90" s="230">
        <f>IF(E90&lt;&gt;"", ROUNDUP(E90/D90,0),"")</f>
        <v>25568.666666666668</v>
      </c>
      <c r="G90" s="479">
        <f>IF(E90&lt;&gt;"", (SQRT(D90*E90))/300, "")</f>
      </c>
      <c r="H90" s="617"/>
      <c r="I90" s="488"/>
      <c r="J90" s="617"/>
      <c r="K90" s="509"/>
      <c r="L90" s="510" t="s">
        <v>836</v>
      </c>
      <c r="M90" s="269">
        <v>45901</v>
      </c>
      <c r="N90" s="223" t="s">
        <v>503</v>
      </c>
      <c r="O90" s="608" t="s">
        <v>1176</v>
      </c>
      <c r="P90" s="228" t="s">
        <v>819</v>
      </c>
      <c r="Q90" s="566"/>
      <c r="R90" s="228" t="s">
        <v>1177</v>
      </c>
      <c r="S90" s="485">
        <v>664</v>
      </c>
    </row>
    <row x14ac:dyDescent="0.25" r="91" customHeight="1" ht="17.25">
      <c r="A91" s="228" t="s">
        <v>1178</v>
      </c>
      <c r="B91" s="462" t="s">
        <v>1039</v>
      </c>
      <c r="C91" s="491" t="s">
        <v>1040</v>
      </c>
      <c r="D91" s="647"/>
      <c r="E91" s="647"/>
      <c r="F91" s="230">
        <f>IF(E91&lt;&gt;"", ROUNDUP(E91/D91,0),"")</f>
        <v>25568.666666666668</v>
      </c>
      <c r="G91" s="479">
        <f>IF(E91&lt;&gt;"", (SQRT(D91*E91))/300, "")</f>
      </c>
      <c r="H91" s="617"/>
      <c r="I91" s="488"/>
      <c r="J91" s="617"/>
      <c r="K91" s="509"/>
      <c r="L91" s="510" t="s">
        <v>836</v>
      </c>
      <c r="M91" s="269">
        <v>45901</v>
      </c>
      <c r="N91" s="223" t="s">
        <v>503</v>
      </c>
      <c r="O91" s="608" t="s">
        <v>1179</v>
      </c>
      <c r="P91" s="640" t="s">
        <v>802</v>
      </c>
      <c r="Q91" s="566" t="s">
        <v>445</v>
      </c>
      <c r="R91" s="228"/>
      <c r="S91" s="485">
        <v>663</v>
      </c>
    </row>
    <row x14ac:dyDescent="0.25" r="92" customHeight="1" ht="17.25">
      <c r="A92" s="228" t="s">
        <v>1180</v>
      </c>
      <c r="B92" s="462" t="s">
        <v>1039</v>
      </c>
      <c r="C92" s="476" t="s">
        <v>1181</v>
      </c>
      <c r="D92" s="477">
        <v>21</v>
      </c>
      <c r="E92" s="478">
        <v>15000</v>
      </c>
      <c r="F92" s="230">
        <f>IF(E92&lt;&gt;"", ROUNDUP(E92/D92,0),"")</f>
        <v>25568.666666666668</v>
      </c>
      <c r="G92" s="479">
        <f>IF(E92&lt;&gt;"", (SQRT(D92*E92))/300, "")</f>
      </c>
      <c r="H92" s="481"/>
      <c r="I92" s="481"/>
      <c r="J92" s="481"/>
      <c r="K92" s="481"/>
      <c r="L92" s="510" t="s">
        <v>836</v>
      </c>
      <c r="M92" s="269">
        <v>45901</v>
      </c>
      <c r="N92" s="490" t="s">
        <v>503</v>
      </c>
      <c r="O92" s="491" t="s">
        <v>1181</v>
      </c>
      <c r="P92" s="492" t="s">
        <v>802</v>
      </c>
      <c r="Q92" s="493" t="s">
        <v>445</v>
      </c>
      <c r="R92" s="21"/>
      <c r="S92" s="485">
        <v>662</v>
      </c>
    </row>
    <row x14ac:dyDescent="0.25" r="93" customHeight="1" ht="17.25">
      <c r="A93" s="228" t="s">
        <v>1182</v>
      </c>
      <c r="B93" s="21" t="s">
        <v>1183</v>
      </c>
      <c r="C93" s="476" t="s">
        <v>1184</v>
      </c>
      <c r="D93" s="477">
        <v>46</v>
      </c>
      <c r="E93" s="477">
        <v>22000</v>
      </c>
      <c r="F93" s="230">
        <f>IF(E93&lt;&gt;"", ROUNDUP(E93/D93,0),"")</f>
        <v>25568.666666666668</v>
      </c>
      <c r="G93" s="479">
        <f>IF(E93&lt;&gt;"", (SQRT(D93*E93))/300, "")</f>
      </c>
      <c r="H93" s="481">
        <v>80.5</v>
      </c>
      <c r="I93" s="481">
        <v>57.6</v>
      </c>
      <c r="J93" s="481">
        <v>35.3</v>
      </c>
      <c r="K93" s="481"/>
      <c r="L93" s="510" t="s">
        <v>836</v>
      </c>
      <c r="M93" s="269">
        <v>45901</v>
      </c>
      <c r="N93" s="490" t="s">
        <v>503</v>
      </c>
      <c r="O93" s="491" t="s">
        <v>1184</v>
      </c>
      <c r="P93" s="492" t="s">
        <v>802</v>
      </c>
      <c r="Q93" s="493"/>
      <c r="R93" s="21" t="s">
        <v>1185</v>
      </c>
      <c r="S93" s="485">
        <v>661</v>
      </c>
    </row>
    <row x14ac:dyDescent="0.25" r="94" customHeight="1" ht="17.25">
      <c r="A94" s="228" t="s">
        <v>1186</v>
      </c>
      <c r="B94" s="21" t="s">
        <v>1187</v>
      </c>
      <c r="C94" s="476" t="s">
        <v>1188</v>
      </c>
      <c r="D94" s="477">
        <v>30</v>
      </c>
      <c r="E94" s="477">
        <v>2000</v>
      </c>
      <c r="F94" s="230">
        <f>IF(E94&lt;&gt;"", ROUNDUP(E94/D94,0),"")</f>
        <v>25568.666666666668</v>
      </c>
      <c r="G94" s="479">
        <f>IF(E94&lt;&gt;"", (SQRT(D94*E94))/300, "")</f>
      </c>
      <c r="H94" s="481"/>
      <c r="I94" s="488"/>
      <c r="J94" s="488"/>
      <c r="K94" s="481"/>
      <c r="L94" s="510" t="s">
        <v>836</v>
      </c>
      <c r="M94" s="269">
        <v>45901</v>
      </c>
      <c r="N94" s="490" t="s">
        <v>503</v>
      </c>
      <c r="O94" s="491" t="s">
        <v>1189</v>
      </c>
      <c r="P94" s="492" t="s">
        <v>819</v>
      </c>
      <c r="Q94" s="493"/>
      <c r="R94" s="21" t="s">
        <v>1190</v>
      </c>
      <c r="S94" s="485">
        <v>660</v>
      </c>
    </row>
    <row x14ac:dyDescent="0.25" r="95" customHeight="1" ht="17.25">
      <c r="A95" s="228" t="s">
        <v>1191</v>
      </c>
      <c r="B95" s="21" t="s">
        <v>494</v>
      </c>
      <c r="C95" s="476" t="s">
        <v>1142</v>
      </c>
      <c r="D95" s="478">
        <v>1000</v>
      </c>
      <c r="E95" s="478">
        <v>36000</v>
      </c>
      <c r="F95" s="230">
        <f>IF(E95&lt;&gt;"", ROUNDUP(E95/D95,0),"")</f>
        <v>25568.666666666668</v>
      </c>
      <c r="G95" s="479">
        <f>IF(E95&lt;&gt;"", (SQRT(D95*E95))/300, "")</f>
      </c>
      <c r="H95" s="481"/>
      <c r="I95" s="488"/>
      <c r="J95" s="488">
        <v>64.6</v>
      </c>
      <c r="K95" s="481"/>
      <c r="L95" s="510" t="s">
        <v>836</v>
      </c>
      <c r="M95" s="269">
        <v>45901</v>
      </c>
      <c r="N95" s="490" t="s">
        <v>503</v>
      </c>
      <c r="O95" s="491" t="s">
        <v>1192</v>
      </c>
      <c r="P95" s="492" t="s">
        <v>802</v>
      </c>
      <c r="Q95" s="493"/>
      <c r="R95" s="21" t="s">
        <v>1193</v>
      </c>
      <c r="S95" s="485">
        <v>659</v>
      </c>
    </row>
    <row x14ac:dyDescent="0.25" r="96" customHeight="1" ht="17.25">
      <c r="A96" s="228" t="s">
        <v>1194</v>
      </c>
      <c r="B96" s="21" t="s">
        <v>1064</v>
      </c>
      <c r="C96" s="476" t="s">
        <v>1195</v>
      </c>
      <c r="D96" s="477">
        <v>1000</v>
      </c>
      <c r="E96" s="477">
        <v>15500</v>
      </c>
      <c r="F96" s="230">
        <f>IF(E96&lt;&gt;"", ROUNDUP(E96/D96,0),"")</f>
        <v>25568.666666666668</v>
      </c>
      <c r="G96" s="479">
        <f>IF(E96&lt;&gt;"", (SQRT(D96*E96))/300, "")</f>
      </c>
      <c r="H96" s="481"/>
      <c r="I96" s="488"/>
      <c r="J96" s="481"/>
      <c r="K96" s="481"/>
      <c r="L96" s="510" t="s">
        <v>836</v>
      </c>
      <c r="M96" s="269">
        <v>45901</v>
      </c>
      <c r="N96" s="490" t="s">
        <v>503</v>
      </c>
      <c r="O96" s="491" t="s">
        <v>1196</v>
      </c>
      <c r="P96" s="492" t="s">
        <v>802</v>
      </c>
      <c r="Q96" s="493" t="s">
        <v>803</v>
      </c>
      <c r="R96" s="21" t="s">
        <v>1197</v>
      </c>
      <c r="S96" s="485">
        <v>658</v>
      </c>
    </row>
    <row x14ac:dyDescent="0.25" r="97" customHeight="1" ht="17.25">
      <c r="A97" s="228" t="s">
        <v>1198</v>
      </c>
      <c r="B97" s="21" t="s">
        <v>1199</v>
      </c>
      <c r="C97" s="476" t="s">
        <v>1200</v>
      </c>
      <c r="D97" s="477">
        <v>70</v>
      </c>
      <c r="E97" s="477">
        <v>15000</v>
      </c>
      <c r="F97" s="230">
        <f>IF(E97&lt;&gt;"", ROUNDUP(E97/D97,0),"")</f>
        <v>25568.666666666668</v>
      </c>
      <c r="G97" s="479">
        <f>IF(E97&lt;&gt;"", (SQRT(D97*E97))/300, "")</f>
      </c>
      <c r="H97" s="481">
        <v>65.2</v>
      </c>
      <c r="I97" s="488"/>
      <c r="J97" s="481">
        <v>30.6</v>
      </c>
      <c r="K97" s="481"/>
      <c r="L97" s="510" t="s">
        <v>836</v>
      </c>
      <c r="M97" s="269">
        <v>45901</v>
      </c>
      <c r="N97" s="490" t="s">
        <v>503</v>
      </c>
      <c r="O97" s="491" t="s">
        <v>1201</v>
      </c>
      <c r="P97" s="492" t="s">
        <v>819</v>
      </c>
      <c r="Q97" s="493"/>
      <c r="R97" s="251" t="s">
        <v>1202</v>
      </c>
      <c r="S97" s="485">
        <v>657</v>
      </c>
    </row>
    <row x14ac:dyDescent="0.25" r="98" customHeight="1" ht="17.25">
      <c r="A98" s="228" t="s">
        <v>1203</v>
      </c>
      <c r="B98" s="21" t="s">
        <v>1204</v>
      </c>
      <c r="C98" s="476" t="s">
        <v>1205</v>
      </c>
      <c r="D98" s="477">
        <v>560</v>
      </c>
      <c r="E98" s="477">
        <v>20000</v>
      </c>
      <c r="F98" s="230">
        <f>IF(E98&lt;&gt;"", ROUNDUP(E98/D98,0),"")</f>
        <v>25568.666666666668</v>
      </c>
      <c r="G98" s="479">
        <f>IF(E98&lt;&gt;"", (SQRT(D98*E98))/300, "")</f>
      </c>
      <c r="H98" s="481">
        <v>89.71</v>
      </c>
      <c r="I98" s="481">
        <v>82.68</v>
      </c>
      <c r="J98" s="481">
        <v>73.23</v>
      </c>
      <c r="K98" s="481"/>
      <c r="L98" s="510" t="s">
        <v>836</v>
      </c>
      <c r="M98" s="269">
        <v>45901</v>
      </c>
      <c r="N98" s="490" t="s">
        <v>503</v>
      </c>
      <c r="O98" s="491" t="s">
        <v>1206</v>
      </c>
      <c r="P98" s="492" t="s">
        <v>802</v>
      </c>
      <c r="Q98" s="484" t="s">
        <v>803</v>
      </c>
      <c r="R98" s="251" t="s">
        <v>1207</v>
      </c>
      <c r="S98" s="485">
        <v>656</v>
      </c>
    </row>
    <row x14ac:dyDescent="0.25" r="99" customHeight="1" ht="17.25">
      <c r="A99" s="492" t="s">
        <v>1208</v>
      </c>
      <c r="B99" s="504" t="s">
        <v>844</v>
      </c>
      <c r="C99" s="501" t="s">
        <v>1209</v>
      </c>
      <c r="D99" s="529">
        <v>32</v>
      </c>
      <c r="E99" s="529">
        <v>20000</v>
      </c>
      <c r="F99" s="263">
        <f>IF(E99&lt;&gt;"", ROUNDUP(E99/D99,0),"")</f>
        <v>25568.666666666668</v>
      </c>
      <c r="G99" s="648">
        <f>IF(E99&lt;&gt;"", (SQRT(D99*E99))/300, "")</f>
      </c>
      <c r="H99" s="579"/>
      <c r="I99" s="579"/>
      <c r="J99" s="579"/>
      <c r="K99" s="579"/>
      <c r="L99" s="510" t="s">
        <v>836</v>
      </c>
      <c r="M99" s="269">
        <v>45901</v>
      </c>
      <c r="N99" s="490" t="s">
        <v>503</v>
      </c>
      <c r="O99" s="495" t="s">
        <v>1210</v>
      </c>
      <c r="P99" s="492" t="s">
        <v>819</v>
      </c>
      <c r="Q99" s="580" t="s">
        <v>445</v>
      </c>
      <c r="R99" s="21" t="s">
        <v>1211</v>
      </c>
      <c r="S99" s="485">
        <v>655</v>
      </c>
    </row>
    <row x14ac:dyDescent="0.25" r="100" customHeight="1" ht="17.25">
      <c r="A100" s="228" t="s">
        <v>1212</v>
      </c>
      <c r="B100" s="21" t="s">
        <v>834</v>
      </c>
      <c r="C100" s="476" t="s">
        <v>1213</v>
      </c>
      <c r="D100" s="478">
        <v>500</v>
      </c>
      <c r="E100" s="478">
        <v>10000</v>
      </c>
      <c r="F100" s="230">
        <f>IF(E100&lt;&gt;"", ROUNDUP(E100/D100,0),"")</f>
        <v>25568.666666666668</v>
      </c>
      <c r="G100" s="479">
        <f>IF(E100&lt;&gt;"", (SQRT(D100*E100))/300, "")</f>
      </c>
      <c r="H100" s="488"/>
      <c r="I100" s="488"/>
      <c r="J100" s="488"/>
      <c r="K100" s="481"/>
      <c r="L100" s="510" t="s">
        <v>836</v>
      </c>
      <c r="M100" s="269">
        <v>45870</v>
      </c>
      <c r="N100" s="490" t="s">
        <v>503</v>
      </c>
      <c r="O100" s="491" t="s">
        <v>1213</v>
      </c>
      <c r="P100" s="492" t="s">
        <v>802</v>
      </c>
      <c r="Q100" s="493"/>
      <c r="R100" s="21" t="s">
        <v>1214</v>
      </c>
      <c r="S100" s="485">
        <v>654</v>
      </c>
    </row>
    <row x14ac:dyDescent="0.25" r="101" customHeight="1" ht="17.25">
      <c r="A101" s="492" t="s">
        <v>1215</v>
      </c>
      <c r="B101" s="503" t="s">
        <v>811</v>
      </c>
      <c r="C101" s="518" t="s">
        <v>1216</v>
      </c>
      <c r="D101" s="573">
        <v>800</v>
      </c>
      <c r="E101" s="562">
        <v>10000</v>
      </c>
      <c r="F101" s="230">
        <f>IF(E101&lt;&gt;"", ROUNDUP(E101/D101,0),"")</f>
        <v>25568.666666666668</v>
      </c>
      <c r="G101" s="479">
        <f>IF(E101&lt;&gt;"", (SQRT(D101*E101))/300, "")</f>
      </c>
      <c r="H101" s="649"/>
      <c r="I101" s="650"/>
      <c r="J101" s="481"/>
      <c r="K101" s="509"/>
      <c r="L101" s="510" t="s">
        <v>836</v>
      </c>
      <c r="M101" s="269">
        <v>45870</v>
      </c>
      <c r="N101" s="490" t="s">
        <v>503</v>
      </c>
      <c r="O101" s="501" t="s">
        <v>1217</v>
      </c>
      <c r="P101" s="503" t="s">
        <v>802</v>
      </c>
      <c r="Q101" s="566"/>
      <c r="R101" s="609" t="s">
        <v>1218</v>
      </c>
      <c r="S101" s="485">
        <v>653</v>
      </c>
    </row>
    <row x14ac:dyDescent="0.25" r="102" customHeight="1" ht="17.25">
      <c r="A102" s="492" t="s">
        <v>1219</v>
      </c>
      <c r="B102" s="503" t="s">
        <v>1220</v>
      </c>
      <c r="C102" s="518" t="s">
        <v>1221</v>
      </c>
      <c r="D102" s="496">
        <v>405</v>
      </c>
      <c r="E102" s="486">
        <v>15656</v>
      </c>
      <c r="F102" s="651">
        <f>IF(E102&lt;&gt;"", ROUNDUP(E102/D102,0),"")</f>
        <v>25568.666666666668</v>
      </c>
      <c r="G102" s="652">
        <f>IF(E102&lt;&gt;"", (SQRT(D102*E102))/300, "")</f>
      </c>
      <c r="H102" s="649">
        <v>87.2</v>
      </c>
      <c r="I102" s="650">
        <v>80.5</v>
      </c>
      <c r="J102" s="481">
        <v>70.5</v>
      </c>
      <c r="K102" s="509"/>
      <c r="L102" s="510" t="s">
        <v>836</v>
      </c>
      <c r="M102" s="269">
        <v>45870</v>
      </c>
      <c r="N102" s="490" t="s">
        <v>503</v>
      </c>
      <c r="O102" s="501" t="s">
        <v>1222</v>
      </c>
      <c r="P102" s="503" t="s">
        <v>819</v>
      </c>
      <c r="Q102" s="566" t="s">
        <v>445</v>
      </c>
      <c r="R102" s="609" t="s">
        <v>1223</v>
      </c>
      <c r="S102" s="485">
        <v>652</v>
      </c>
    </row>
    <row x14ac:dyDescent="0.25" r="103" customHeight="1" ht="17.25">
      <c r="A103" s="492" t="s">
        <v>1224</v>
      </c>
      <c r="B103" s="494" t="s">
        <v>474</v>
      </c>
      <c r="C103" s="495" t="s">
        <v>1225</v>
      </c>
      <c r="D103" s="496">
        <v>4</v>
      </c>
      <c r="E103" s="496">
        <v>400</v>
      </c>
      <c r="F103" s="263">
        <f>IF(E103&lt;&gt;"", ROUNDUP(E103/D103,0),"")</f>
        <v>25568.666666666668</v>
      </c>
      <c r="G103" s="653">
        <f>IF(E103&lt;&gt;"", (SQRT(D103*E103))/300, "")</f>
      </c>
      <c r="H103" s="654">
        <v>65.2</v>
      </c>
      <c r="I103" s="650">
        <v>44.2</v>
      </c>
      <c r="J103" s="481"/>
      <c r="K103" s="579"/>
      <c r="L103" s="510" t="s">
        <v>836</v>
      </c>
      <c r="M103" s="269">
        <v>45870</v>
      </c>
      <c r="N103" s="490" t="s">
        <v>503</v>
      </c>
      <c r="O103" s="501" t="s">
        <v>1226</v>
      </c>
      <c r="P103" s="492" t="s">
        <v>819</v>
      </c>
      <c r="Q103" s="502" t="s">
        <v>445</v>
      </c>
      <c r="R103" s="21" t="s">
        <v>1227</v>
      </c>
      <c r="S103" s="485">
        <v>651</v>
      </c>
    </row>
    <row x14ac:dyDescent="0.25" r="104" customHeight="1" ht="17.25">
      <c r="A104" s="492" t="s">
        <v>1228</v>
      </c>
      <c r="B104" s="494" t="s">
        <v>479</v>
      </c>
      <c r="C104" s="495" t="s">
        <v>1229</v>
      </c>
      <c r="D104" s="496">
        <v>685</v>
      </c>
      <c r="E104" s="573">
        <v>15640</v>
      </c>
      <c r="F104" s="263">
        <v>23</v>
      </c>
      <c r="G104" s="653">
        <v>10.61340870995009</v>
      </c>
      <c r="H104" s="654">
        <v>93.7</v>
      </c>
      <c r="I104" s="650">
        <v>84.8</v>
      </c>
      <c r="J104" s="481">
        <v>80.1</v>
      </c>
      <c r="K104" s="655">
        <v>29.8</v>
      </c>
      <c r="L104" s="510" t="s">
        <v>836</v>
      </c>
      <c r="M104" s="269">
        <v>45870</v>
      </c>
      <c r="N104" s="490" t="s">
        <v>503</v>
      </c>
      <c r="O104" s="501" t="s">
        <v>1229</v>
      </c>
      <c r="P104" s="492" t="s">
        <v>802</v>
      </c>
      <c r="Q104" s="502" t="s">
        <v>994</v>
      </c>
      <c r="R104" s="25" t="s">
        <v>1152</v>
      </c>
      <c r="S104" s="485">
        <v>650</v>
      </c>
    </row>
    <row x14ac:dyDescent="0.25" r="105" customHeight="1" ht="17.25">
      <c r="A105" s="492" t="s">
        <v>1230</v>
      </c>
      <c r="B105" s="494" t="s">
        <v>474</v>
      </c>
      <c r="C105" s="495" t="s">
        <v>1231</v>
      </c>
      <c r="D105" s="572">
        <v>12.31</v>
      </c>
      <c r="E105" s="496">
        <v>20000</v>
      </c>
      <c r="F105" s="263">
        <f>IF(E105&lt;&gt;"", ROUNDUP(E105/D105,0),"")</f>
        <v>25568.666666666668</v>
      </c>
      <c r="G105" s="653">
        <f>IF(E105&lt;&gt;"", (SQRT(D105*E105))/300, "")</f>
      </c>
      <c r="H105" s="654">
        <v>78.24</v>
      </c>
      <c r="I105" s="650">
        <v>63.98</v>
      </c>
      <c r="J105" s="481">
        <v>64.48</v>
      </c>
      <c r="K105" s="579"/>
      <c r="L105" s="510" t="s">
        <v>836</v>
      </c>
      <c r="M105" s="269">
        <v>45870</v>
      </c>
      <c r="N105" s="490" t="s">
        <v>503</v>
      </c>
      <c r="O105" s="501" t="s">
        <v>1232</v>
      </c>
      <c r="P105" s="492" t="s">
        <v>819</v>
      </c>
      <c r="Q105" s="502" t="s">
        <v>445</v>
      </c>
      <c r="R105" s="25" t="s">
        <v>1233</v>
      </c>
      <c r="S105" s="485">
        <v>649</v>
      </c>
    </row>
    <row x14ac:dyDescent="0.25" r="106" customHeight="1" ht="17.25">
      <c r="A106" s="228" t="s">
        <v>1234</v>
      </c>
      <c r="B106" s="462" t="s">
        <v>828</v>
      </c>
      <c r="C106" s="476" t="s">
        <v>1235</v>
      </c>
      <c r="D106" s="620">
        <v>0.27</v>
      </c>
      <c r="E106" s="477">
        <v>6000</v>
      </c>
      <c r="F106" s="230">
        <f>IF(E106&lt;&gt;"", ROUNDUP(E106/D106,0),"")</f>
        <v>25568.666666666668</v>
      </c>
      <c r="G106" s="479">
        <f>IF(E106&lt;&gt;"", (SQRT(D106*E106))/300, "")</f>
      </c>
      <c r="H106" s="480"/>
      <c r="I106" s="480"/>
      <c r="J106" s="480"/>
      <c r="K106" s="481"/>
      <c r="L106" s="482" t="s">
        <v>830</v>
      </c>
      <c r="M106" s="269">
        <v>45870</v>
      </c>
      <c r="N106" s="223" t="s">
        <v>503</v>
      </c>
      <c r="O106" s="495" t="s">
        <v>1236</v>
      </c>
      <c r="P106" s="228" t="s">
        <v>819</v>
      </c>
      <c r="Q106" s="484"/>
      <c r="R106" s="21"/>
      <c r="S106" s="485">
        <v>648</v>
      </c>
    </row>
    <row x14ac:dyDescent="0.25" r="107" customHeight="1" ht="17.25">
      <c r="A107" s="228" t="s">
        <v>180</v>
      </c>
      <c r="B107" s="462" t="s">
        <v>490</v>
      </c>
      <c r="C107" s="491" t="s">
        <v>1237</v>
      </c>
      <c r="D107" s="226">
        <v>1700</v>
      </c>
      <c r="E107" s="478">
        <v>114000</v>
      </c>
      <c r="F107" s="263">
        <f>IF(E107&lt;&gt;"", ROUNDUP(E107/D107,0),"")</f>
        <v>25568.666666666668</v>
      </c>
      <c r="G107" s="487">
        <f>IF(E107&lt;&gt;"", (SQRT(D107*E107))/300, "")</f>
      </c>
      <c r="H107" s="656">
        <v>91</v>
      </c>
      <c r="I107" s="481"/>
      <c r="J107" s="481">
        <v>89.4</v>
      </c>
      <c r="K107" s="585">
        <v>42</v>
      </c>
      <c r="L107" s="489" t="s">
        <v>836</v>
      </c>
      <c r="M107" s="269">
        <v>45870</v>
      </c>
      <c r="N107" s="490" t="s">
        <v>503</v>
      </c>
      <c r="O107" s="491" t="s">
        <v>1238</v>
      </c>
      <c r="P107" s="21" t="s">
        <v>802</v>
      </c>
      <c r="Q107" s="484" t="s">
        <v>994</v>
      </c>
      <c r="R107" s="25" t="s">
        <v>1239</v>
      </c>
      <c r="S107" s="485">
        <v>647</v>
      </c>
    </row>
    <row x14ac:dyDescent="0.25" r="108" customHeight="1" ht="17.25">
      <c r="A108" s="228" t="s">
        <v>1240</v>
      </c>
      <c r="B108" s="504" t="s">
        <v>490</v>
      </c>
      <c r="C108" s="491" t="s">
        <v>1241</v>
      </c>
      <c r="D108" s="477">
        <v>120</v>
      </c>
      <c r="E108" s="478">
        <v>30000</v>
      </c>
      <c r="F108" s="263">
        <f>IF(E108&lt;&gt;"", ROUNDUP(E108/D108,0),"")</f>
        <v>25568.666666666668</v>
      </c>
      <c r="G108" s="487">
        <f>IF(E108&lt;&gt;"", (SQRT(D108*E108))/300, "")</f>
      </c>
      <c r="H108" s="656">
        <v>90</v>
      </c>
      <c r="I108" s="480"/>
      <c r="J108" s="480">
        <v>80.1</v>
      </c>
      <c r="K108" s="585">
        <v>19</v>
      </c>
      <c r="L108" s="489" t="s">
        <v>836</v>
      </c>
      <c r="M108" s="269">
        <v>45870</v>
      </c>
      <c r="N108" s="490" t="s">
        <v>503</v>
      </c>
      <c r="O108" s="491" t="s">
        <v>1242</v>
      </c>
      <c r="P108" s="259" t="s">
        <v>802</v>
      </c>
      <c r="Q108" s="566" t="s">
        <v>803</v>
      </c>
      <c r="R108" s="609" t="s">
        <v>1243</v>
      </c>
      <c r="S108" s="485">
        <v>646</v>
      </c>
    </row>
    <row x14ac:dyDescent="0.25" r="109" customHeight="1" ht="17.25">
      <c r="A109" s="228" t="s">
        <v>1244</v>
      </c>
      <c r="B109" s="504" t="s">
        <v>490</v>
      </c>
      <c r="C109" s="491" t="s">
        <v>1245</v>
      </c>
      <c r="D109" s="477">
        <v>20</v>
      </c>
      <c r="E109" s="478">
        <v>13000</v>
      </c>
      <c r="F109" s="263">
        <f>IF(E109&lt;&gt;"", ROUNDUP(E109/D109,0),"")</f>
        <v>25568.666666666668</v>
      </c>
      <c r="G109" s="487">
        <f>IF(E109&lt;&gt;"", (SQRT(D109*E109))/300, "")</f>
      </c>
      <c r="H109" s="480">
        <v>85.3</v>
      </c>
      <c r="I109" s="480"/>
      <c r="J109" s="480">
        <v>71.5</v>
      </c>
      <c r="K109" s="481">
        <v>17.3</v>
      </c>
      <c r="L109" s="489" t="s">
        <v>836</v>
      </c>
      <c r="M109" s="269">
        <v>45870</v>
      </c>
      <c r="N109" s="490" t="s">
        <v>503</v>
      </c>
      <c r="O109" s="491" t="s">
        <v>1242</v>
      </c>
      <c r="P109" s="259" t="s">
        <v>802</v>
      </c>
      <c r="Q109" s="566" t="s">
        <v>803</v>
      </c>
      <c r="R109" s="609" t="s">
        <v>1246</v>
      </c>
      <c r="S109" s="485">
        <v>645</v>
      </c>
    </row>
    <row x14ac:dyDescent="0.25" r="110" customHeight="1" ht="17.25">
      <c r="A110" s="228" t="s">
        <v>1247</v>
      </c>
      <c r="B110" s="504" t="s">
        <v>523</v>
      </c>
      <c r="C110" s="491" t="s">
        <v>1014</v>
      </c>
      <c r="D110" s="478">
        <v>2000</v>
      </c>
      <c r="E110" s="478">
        <v>100000</v>
      </c>
      <c r="F110" s="263">
        <f>IF(E110&lt;&gt;"", ROUNDUP(E110/D110,0),"")</f>
        <v>25568.666666666668</v>
      </c>
      <c r="G110" s="487">
        <f>IF(E110&lt;&gt;"", (SQRT(D110*E110))/300, "")</f>
      </c>
      <c r="H110" s="480"/>
      <c r="I110" s="480"/>
      <c r="J110" s="480">
        <v>80.9</v>
      </c>
      <c r="K110" s="481"/>
      <c r="L110" s="489" t="s">
        <v>836</v>
      </c>
      <c r="M110" s="269">
        <v>45870</v>
      </c>
      <c r="N110" s="490" t="s">
        <v>503</v>
      </c>
      <c r="O110" s="491" t="s">
        <v>1248</v>
      </c>
      <c r="P110" s="259" t="s">
        <v>802</v>
      </c>
      <c r="Q110" s="566" t="s">
        <v>803</v>
      </c>
      <c r="R110" s="228"/>
      <c r="S110" s="485">
        <v>644</v>
      </c>
    </row>
    <row x14ac:dyDescent="0.25" r="111" customHeight="1" ht="17.25">
      <c r="A111" s="228" t="s">
        <v>1249</v>
      </c>
      <c r="B111" s="504" t="s">
        <v>908</v>
      </c>
      <c r="C111" s="491" t="s">
        <v>1250</v>
      </c>
      <c r="D111" s="477">
        <v>355</v>
      </c>
      <c r="E111" s="477">
        <v>22000</v>
      </c>
      <c r="F111" s="263">
        <f>IF(E111&lt;&gt;"", ROUNDUP(E111/D111,0),"")</f>
        <v>25568.666666666668</v>
      </c>
      <c r="G111" s="487">
        <f>IF(E111&lt;&gt;"", (SQRT(D111*E111))/300, "")</f>
      </c>
      <c r="H111" s="480"/>
      <c r="I111" s="480">
        <v>84.6</v>
      </c>
      <c r="J111" s="480">
        <v>79.1</v>
      </c>
      <c r="K111" s="481">
        <v>14.4</v>
      </c>
      <c r="L111" s="489" t="s">
        <v>836</v>
      </c>
      <c r="M111" s="269">
        <v>45839</v>
      </c>
      <c r="N111" s="490" t="s">
        <v>503</v>
      </c>
      <c r="O111" s="491" t="s">
        <v>1251</v>
      </c>
      <c r="P111" s="259" t="s">
        <v>802</v>
      </c>
      <c r="Q111" s="566" t="s">
        <v>445</v>
      </c>
      <c r="R111" s="228" t="s">
        <v>1252</v>
      </c>
      <c r="S111" s="485">
        <v>643</v>
      </c>
    </row>
    <row x14ac:dyDescent="0.25" r="112" customHeight="1" ht="17.25">
      <c r="A112" s="492" t="s">
        <v>1253</v>
      </c>
      <c r="B112" s="504" t="s">
        <v>1254</v>
      </c>
      <c r="C112" s="495" t="s">
        <v>1255</v>
      </c>
      <c r="D112" s="496">
        <v>115</v>
      </c>
      <c r="E112" s="496">
        <v>10000</v>
      </c>
      <c r="F112" s="263">
        <f>IF(E112&lt;&gt;"", ROUNDUP(E112/D112,0),"")</f>
        <v>25568.666666666668</v>
      </c>
      <c r="G112" s="487">
        <f>IF(E112&lt;&gt;"", (SQRT(D112*E112))/300, "")</f>
      </c>
      <c r="H112" s="657"/>
      <c r="I112" s="579"/>
      <c r="J112" s="579"/>
      <c r="K112" s="579"/>
      <c r="L112" s="624" t="s">
        <v>830</v>
      </c>
      <c r="M112" s="269">
        <v>45839</v>
      </c>
      <c r="N112" s="490" t="s">
        <v>503</v>
      </c>
      <c r="O112" s="495" t="s">
        <v>1256</v>
      </c>
      <c r="P112" s="492" t="s">
        <v>819</v>
      </c>
      <c r="Q112" s="539" t="s">
        <v>445</v>
      </c>
      <c r="R112" s="503"/>
      <c r="S112" s="485">
        <v>642</v>
      </c>
    </row>
    <row x14ac:dyDescent="0.25" r="113" customHeight="1" ht="17.25">
      <c r="A113" s="492" t="s">
        <v>1257</v>
      </c>
      <c r="B113" s="504" t="s">
        <v>1258</v>
      </c>
      <c r="C113" s="535" t="s">
        <v>1259</v>
      </c>
      <c r="D113" s="529">
        <v>235</v>
      </c>
      <c r="E113" s="526">
        <v>41000</v>
      </c>
      <c r="F113" s="263">
        <f>IF(E113&lt;&gt;"", ROUNDUP(E113/D113,0),"")</f>
        <v>25568.666666666668</v>
      </c>
      <c r="G113" s="487">
        <f>IF(E113&lt;&gt;"", (SQRT(D113*E113))/300, "")</f>
      </c>
      <c r="H113" s="658"/>
      <c r="I113" s="481">
        <v>83.5</v>
      </c>
      <c r="J113" s="659">
        <v>77.3</v>
      </c>
      <c r="K113" s="481"/>
      <c r="L113" s="510" t="s">
        <v>836</v>
      </c>
      <c r="M113" s="269">
        <v>45839</v>
      </c>
      <c r="N113" s="490" t="s">
        <v>503</v>
      </c>
      <c r="O113" s="495" t="s">
        <v>1259</v>
      </c>
      <c r="P113" s="259" t="s">
        <v>802</v>
      </c>
      <c r="Q113" s="502" t="s">
        <v>803</v>
      </c>
      <c r="R113" s="492" t="s">
        <v>1260</v>
      </c>
      <c r="S113" s="485">
        <v>641</v>
      </c>
    </row>
    <row x14ac:dyDescent="0.25" r="114" customHeight="1" ht="17.25">
      <c r="A114" s="259" t="s">
        <v>1261</v>
      </c>
      <c r="B114" s="660" t="s">
        <v>1262</v>
      </c>
      <c r="C114" s="505" t="s">
        <v>1263</v>
      </c>
      <c r="D114" s="486">
        <v>321</v>
      </c>
      <c r="E114" s="562">
        <v>18000</v>
      </c>
      <c r="F114" s="536">
        <f>IF(E114&lt;&gt;"", ROUNDUP(E114/D114,0),"")</f>
        <v>25568.666666666668</v>
      </c>
      <c r="G114" s="587">
        <f>IF(E114&lt;&gt;"", (SQRT(D114*E114))/300, "")</f>
      </c>
      <c r="H114" s="588"/>
      <c r="I114" s="480"/>
      <c r="J114" s="533">
        <v>72.9</v>
      </c>
      <c r="K114" s="481"/>
      <c r="L114" s="482" t="s">
        <v>830</v>
      </c>
      <c r="M114" s="269">
        <v>45839</v>
      </c>
      <c r="N114" s="270" t="s">
        <v>503</v>
      </c>
      <c r="O114" s="271" t="s">
        <v>1264</v>
      </c>
      <c r="P114" s="259" t="s">
        <v>802</v>
      </c>
      <c r="Q114" s="272"/>
      <c r="R114" s="560" t="s">
        <v>1265</v>
      </c>
      <c r="S114" s="485">
        <v>640</v>
      </c>
    </row>
    <row x14ac:dyDescent="0.25" r="115" customHeight="1" ht="17.25">
      <c r="A115" s="492" t="s">
        <v>1266</v>
      </c>
      <c r="B115" s="504" t="s">
        <v>494</v>
      </c>
      <c r="C115" s="535" t="s">
        <v>1267</v>
      </c>
      <c r="D115" s="496">
        <v>235</v>
      </c>
      <c r="E115" s="477">
        <v>36000</v>
      </c>
      <c r="F115" s="536">
        <f>IF(E115&lt;&gt;"", ROUNDUP(E115/D115,0),"")</f>
        <v>25568.666666666668</v>
      </c>
      <c r="G115" s="537">
        <f>IF(E115&lt;&gt;"", (SQRT(D115*E115))/300, "")</f>
      </c>
      <c r="H115" s="538">
        <v>93.8</v>
      </c>
      <c r="I115" s="480">
        <v>84.4</v>
      </c>
      <c r="J115" s="533">
        <v>81.1</v>
      </c>
      <c r="K115" s="509"/>
      <c r="L115" s="510" t="s">
        <v>836</v>
      </c>
      <c r="M115" s="269">
        <v>45839</v>
      </c>
      <c r="N115" s="490" t="s">
        <v>503</v>
      </c>
      <c r="O115" s="535" t="s">
        <v>1267</v>
      </c>
      <c r="P115" s="259" t="s">
        <v>802</v>
      </c>
      <c r="Q115" s="539" t="s">
        <v>445</v>
      </c>
      <c r="R115" s="661" t="s">
        <v>1268</v>
      </c>
      <c r="S115" s="485">
        <v>639</v>
      </c>
    </row>
    <row x14ac:dyDescent="0.25" r="116" customHeight="1" ht="17.25">
      <c r="A116" s="492" t="s">
        <v>1269</v>
      </c>
      <c r="B116" s="504" t="s">
        <v>1183</v>
      </c>
      <c r="C116" s="662"/>
      <c r="D116" s="496">
        <v>200</v>
      </c>
      <c r="E116" s="478">
        <v>10000</v>
      </c>
      <c r="F116" s="536">
        <f>IF(E116&lt;&gt;"", ROUNDUP(E116/D116,0),"")</f>
        <v>25568.666666666668</v>
      </c>
      <c r="G116" s="537">
        <f>IF(E116&lt;&gt;"", (SQRT(D116*E116))/300, "")</f>
      </c>
      <c r="H116" s="284"/>
      <c r="I116" s="480">
        <v>82.3</v>
      </c>
      <c r="J116" s="533">
        <v>78.2</v>
      </c>
      <c r="K116" s="509"/>
      <c r="L116" s="510" t="s">
        <v>836</v>
      </c>
      <c r="M116" s="269">
        <v>45839</v>
      </c>
      <c r="N116" s="490" t="s">
        <v>470</v>
      </c>
      <c r="O116" s="495" t="s">
        <v>1270</v>
      </c>
      <c r="P116" s="259" t="s">
        <v>802</v>
      </c>
      <c r="Q116" s="539" t="s">
        <v>445</v>
      </c>
      <c r="R116" s="661" t="s">
        <v>1271</v>
      </c>
      <c r="S116" s="485">
        <v>638</v>
      </c>
    </row>
    <row x14ac:dyDescent="0.25" r="117" customHeight="1" ht="17.25">
      <c r="A117" s="492" t="s">
        <v>1272</v>
      </c>
      <c r="B117" s="504" t="s">
        <v>1183</v>
      </c>
      <c r="C117" s="535" t="s">
        <v>1273</v>
      </c>
      <c r="D117" s="496">
        <v>40</v>
      </c>
      <c r="E117" s="478">
        <v>10000</v>
      </c>
      <c r="F117" s="536">
        <f>IF(E117&lt;&gt;"", ROUNDUP(E117/D117,0),"")</f>
        <v>25568.666666666668</v>
      </c>
      <c r="G117" s="537">
        <f>IF(E117&lt;&gt;"", (SQRT(D117*E117))/300, "")</f>
      </c>
      <c r="H117" s="538"/>
      <c r="I117" s="480">
        <v>77.8</v>
      </c>
      <c r="J117" s="533">
        <v>75.1</v>
      </c>
      <c r="K117" s="509"/>
      <c r="L117" s="510" t="s">
        <v>836</v>
      </c>
      <c r="M117" s="269">
        <v>45839</v>
      </c>
      <c r="N117" s="490" t="s">
        <v>503</v>
      </c>
      <c r="O117" s="495" t="s">
        <v>1270</v>
      </c>
      <c r="P117" s="259" t="s">
        <v>819</v>
      </c>
      <c r="Q117" s="539" t="s">
        <v>445</v>
      </c>
      <c r="R117" s="661" t="s">
        <v>1274</v>
      </c>
      <c r="S117" s="485">
        <v>637</v>
      </c>
    </row>
    <row x14ac:dyDescent="0.25" r="118" customHeight="1" ht="17.25">
      <c r="A118" s="492" t="s">
        <v>1275</v>
      </c>
      <c r="B118" s="504" t="s">
        <v>494</v>
      </c>
      <c r="C118" s="535" t="s">
        <v>1276</v>
      </c>
      <c r="D118" s="496">
        <v>480</v>
      </c>
      <c r="E118" s="477">
        <v>36000</v>
      </c>
      <c r="F118" s="536">
        <f>IF(E118&lt;&gt;"", ROUNDUP(E118/D118,0),"")</f>
        <v>25568.666666666668</v>
      </c>
      <c r="G118" s="537">
        <f>IF(E118&lt;&gt;"", (SQRT(D118*E118))/300, "")</f>
      </c>
      <c r="H118" s="538"/>
      <c r="I118" s="480"/>
      <c r="J118" s="533"/>
      <c r="K118" s="509"/>
      <c r="L118" s="510" t="s">
        <v>836</v>
      </c>
      <c r="M118" s="269">
        <v>45839</v>
      </c>
      <c r="N118" s="490" t="s">
        <v>503</v>
      </c>
      <c r="O118" s="495" t="s">
        <v>1277</v>
      </c>
      <c r="P118" s="259" t="s">
        <v>802</v>
      </c>
      <c r="Q118" s="539"/>
      <c r="R118" s="661" t="s">
        <v>1278</v>
      </c>
      <c r="S118" s="485">
        <v>636</v>
      </c>
    </row>
    <row x14ac:dyDescent="0.25" r="119" customHeight="1" ht="17.25">
      <c r="A119" s="492" t="s">
        <v>1279</v>
      </c>
      <c r="B119" s="504" t="s">
        <v>494</v>
      </c>
      <c r="C119" s="535" t="s">
        <v>1280</v>
      </c>
      <c r="D119" s="496">
        <v>235</v>
      </c>
      <c r="E119" s="477">
        <v>36000</v>
      </c>
      <c r="F119" s="536">
        <f>IF(E119&lt;&gt;"", ROUNDUP(E119/D119,0),"")</f>
        <v>25568.666666666668</v>
      </c>
      <c r="G119" s="537">
        <f>IF(E119&lt;&gt;"", (SQRT(D119*E119))/300, "")</f>
      </c>
      <c r="H119" s="538">
        <v>93.1</v>
      </c>
      <c r="I119" s="656">
        <v>83</v>
      </c>
      <c r="J119" s="533">
        <v>77.5</v>
      </c>
      <c r="K119" s="509"/>
      <c r="L119" s="510" t="s">
        <v>836</v>
      </c>
      <c r="M119" s="269">
        <v>45839</v>
      </c>
      <c r="N119" s="490" t="s">
        <v>503</v>
      </c>
      <c r="O119" s="495" t="s">
        <v>1280</v>
      </c>
      <c r="P119" s="259" t="s">
        <v>802</v>
      </c>
      <c r="Q119" s="539" t="s">
        <v>808</v>
      </c>
      <c r="R119" s="661" t="s">
        <v>1268</v>
      </c>
      <c r="S119" s="485">
        <v>635</v>
      </c>
    </row>
    <row x14ac:dyDescent="0.25" r="120" customHeight="1" ht="17.25">
      <c r="A120" s="259" t="s">
        <v>1281</v>
      </c>
      <c r="B120" s="249" t="s">
        <v>939</v>
      </c>
      <c r="C120" s="505" t="s">
        <v>1282</v>
      </c>
      <c r="D120" s="486">
        <v>37</v>
      </c>
      <c r="E120" s="486">
        <v>4150</v>
      </c>
      <c r="F120" s="263">
        <f>IF(E120&lt;&gt;"", ROUNDUP(E120/D120,0),"")</f>
        <v>25568.666666666668</v>
      </c>
      <c r="G120" s="587">
        <f>IF(E120&lt;&gt;"", (SQRT(D120*E120))/300, "")</f>
      </c>
      <c r="H120" s="588">
        <v>60.4</v>
      </c>
      <c r="I120" s="564">
        <v>30.9</v>
      </c>
      <c r="J120" s="508"/>
      <c r="K120" s="509"/>
      <c r="L120" s="510" t="s">
        <v>836</v>
      </c>
      <c r="M120" s="269">
        <v>45839</v>
      </c>
      <c r="N120" s="270" t="s">
        <v>503</v>
      </c>
      <c r="O120" s="589" t="s">
        <v>1283</v>
      </c>
      <c r="P120" s="259" t="s">
        <v>802</v>
      </c>
      <c r="Q120" s="590"/>
      <c r="R120" s="249" t="s">
        <v>1284</v>
      </c>
      <c r="S120" s="485">
        <v>634</v>
      </c>
    </row>
    <row x14ac:dyDescent="0.25" r="121" customHeight="1" ht="17.25">
      <c r="A121" s="259" t="s">
        <v>1285</v>
      </c>
      <c r="B121" s="259" t="s">
        <v>894</v>
      </c>
      <c r="C121" s="271" t="s">
        <v>1286</v>
      </c>
      <c r="D121" s="506">
        <v>32</v>
      </c>
      <c r="E121" s="486">
        <v>14000</v>
      </c>
      <c r="F121" s="263">
        <f>IF(E121&lt;&gt;"", ROUNDUP(E121/D121,0),"")</f>
        <v>25568.666666666668</v>
      </c>
      <c r="G121" s="530">
        <f>IF(E121&lt;&gt;"", (SQRT(D121*E121))/300, "")</f>
      </c>
      <c r="H121" s="563">
        <v>92.3</v>
      </c>
      <c r="I121" s="564">
        <v>81.8</v>
      </c>
      <c r="J121" s="663">
        <v>75.4</v>
      </c>
      <c r="K121" s="516"/>
      <c r="L121" s="534" t="s">
        <v>830</v>
      </c>
      <c r="M121" s="269">
        <v>45839</v>
      </c>
      <c r="N121" s="270" t="s">
        <v>503</v>
      </c>
      <c r="O121" s="271" t="s">
        <v>1287</v>
      </c>
      <c r="P121" s="249" t="s">
        <v>819</v>
      </c>
      <c r="Q121" s="566" t="s">
        <v>445</v>
      </c>
      <c r="R121" s="259" t="s">
        <v>1288</v>
      </c>
      <c r="S121" s="485">
        <v>633</v>
      </c>
    </row>
    <row x14ac:dyDescent="0.25" r="122" customHeight="1" ht="17.25">
      <c r="A122" s="259" t="s">
        <v>1289</v>
      </c>
      <c r="B122" s="504" t="s">
        <v>1064</v>
      </c>
      <c r="C122" s="271" t="s">
        <v>1290</v>
      </c>
      <c r="D122" s="486">
        <v>1000</v>
      </c>
      <c r="E122" s="486">
        <v>15500</v>
      </c>
      <c r="F122" s="263">
        <f>IF(E122&lt;&gt;"", ROUNDUP(E122/D122,0),"")</f>
        <v>25568.666666666668</v>
      </c>
      <c r="G122" s="664">
        <f>IF(E122&lt;&gt;"", (SQRT(D122*E122))/300, "")</f>
      </c>
      <c r="H122" s="665">
        <v>89.5</v>
      </c>
      <c r="I122" s="564">
        <v>81.1</v>
      </c>
      <c r="J122" s="564">
        <v>75.1</v>
      </c>
      <c r="K122" s="564">
        <v>4.7</v>
      </c>
      <c r="L122" s="268" t="s">
        <v>836</v>
      </c>
      <c r="M122" s="269">
        <v>45839</v>
      </c>
      <c r="N122" s="270" t="s">
        <v>503</v>
      </c>
      <c r="O122" s="271" t="s">
        <v>1291</v>
      </c>
      <c r="P122" s="492" t="s">
        <v>802</v>
      </c>
      <c r="Q122" s="272" t="s">
        <v>803</v>
      </c>
      <c r="R122" s="259" t="s">
        <v>1197</v>
      </c>
      <c r="S122" s="485">
        <v>632</v>
      </c>
    </row>
    <row x14ac:dyDescent="0.25" r="123" customHeight="1" ht="17.25">
      <c r="A123" s="228" t="s">
        <v>1292</v>
      </c>
      <c r="B123" s="21" t="s">
        <v>1293</v>
      </c>
      <c r="C123" s="491" t="s">
        <v>1294</v>
      </c>
      <c r="D123" s="477">
        <v>21</v>
      </c>
      <c r="E123" s="478">
        <v>5000</v>
      </c>
      <c r="F123" s="230">
        <f>IF(E123&lt;&gt;"", ROUNDUP(E123/D123,0),"")</f>
        <v>25568.666666666668</v>
      </c>
      <c r="G123" s="666">
        <f>IF(E123&lt;&gt;"", (SQRT(D123*E123))/300, "")</f>
      </c>
      <c r="H123" s="480"/>
      <c r="I123" s="480"/>
      <c r="J123" s="480"/>
      <c r="K123" s="481"/>
      <c r="L123" s="482" t="s">
        <v>830</v>
      </c>
      <c r="M123" s="269">
        <v>45839</v>
      </c>
      <c r="N123" s="223" t="s">
        <v>503</v>
      </c>
      <c r="O123" s="491" t="s">
        <v>1295</v>
      </c>
      <c r="P123" s="259" t="s">
        <v>819</v>
      </c>
      <c r="Q123" s="566" t="s">
        <v>445</v>
      </c>
      <c r="R123" s="228"/>
      <c r="S123" s="485">
        <v>631</v>
      </c>
    </row>
    <row x14ac:dyDescent="0.25" r="124" customHeight="1" ht="17.25">
      <c r="A124" s="259" t="s">
        <v>1296</v>
      </c>
      <c r="B124" s="607" t="s">
        <v>965</v>
      </c>
      <c r="C124" s="271" t="s">
        <v>1297</v>
      </c>
      <c r="D124" s="562">
        <v>50</v>
      </c>
      <c r="E124" s="562">
        <v>12000</v>
      </c>
      <c r="F124" s="263">
        <f>IF(E124&lt;&gt;"", ROUNDUP(E124/D124,0),"")</f>
        <v>25568.666666666668</v>
      </c>
      <c r="G124" s="667">
        <f>IF(E124&lt;&gt;"", (SQRT(D124*E124))/300, "")</f>
      </c>
      <c r="H124" s="516"/>
      <c r="I124" s="516"/>
      <c r="J124" s="668"/>
      <c r="K124" s="516"/>
      <c r="L124" s="268" t="s">
        <v>836</v>
      </c>
      <c r="M124" s="269">
        <v>45839</v>
      </c>
      <c r="N124" s="270" t="s">
        <v>503</v>
      </c>
      <c r="O124" s="271" t="s">
        <v>1298</v>
      </c>
      <c r="P124" s="259" t="s">
        <v>819</v>
      </c>
      <c r="Q124" s="272"/>
      <c r="R124" s="259" t="s">
        <v>1299</v>
      </c>
      <c r="S124" s="485">
        <v>630</v>
      </c>
    </row>
    <row x14ac:dyDescent="0.25" r="125" customHeight="1" ht="17.25">
      <c r="A125" s="228" t="s">
        <v>1300</v>
      </c>
      <c r="B125" s="21" t="s">
        <v>811</v>
      </c>
      <c r="C125" s="615" t="s">
        <v>1032</v>
      </c>
      <c r="D125" s="23">
        <v>3000</v>
      </c>
      <c r="E125" s="478">
        <v>80000</v>
      </c>
      <c r="F125" s="536">
        <f>IF(E125&lt;&gt;"", ROUNDUP(E125/D125,0),"")</f>
        <v>25568.666666666668</v>
      </c>
      <c r="G125" s="530">
        <f>IF(E125&lt;&gt;"", (SQRT(D125*E125))/300, "")</f>
      </c>
      <c r="H125" s="488"/>
      <c r="I125" s="488"/>
      <c r="J125" s="481">
        <v>88.9</v>
      </c>
      <c r="K125" s="481">
        <v>44.4</v>
      </c>
      <c r="L125" s="510" t="s">
        <v>836</v>
      </c>
      <c r="M125" s="269">
        <v>45839</v>
      </c>
      <c r="N125" s="490" t="s">
        <v>503</v>
      </c>
      <c r="O125" s="476" t="s">
        <v>1301</v>
      </c>
      <c r="P125" s="646" t="s">
        <v>802</v>
      </c>
      <c r="Q125" s="484" t="s">
        <v>803</v>
      </c>
      <c r="R125" s="25" t="s">
        <v>1302</v>
      </c>
      <c r="S125" s="485">
        <v>629</v>
      </c>
    </row>
    <row x14ac:dyDescent="0.25" r="126" customHeight="1" ht="17.25">
      <c r="A126" s="492" t="s">
        <v>1269</v>
      </c>
      <c r="B126" s="669" t="s">
        <v>1303</v>
      </c>
      <c r="C126" s="495" t="s">
        <v>1273</v>
      </c>
      <c r="D126" s="496">
        <v>200</v>
      </c>
      <c r="E126" s="573">
        <v>5000</v>
      </c>
      <c r="F126" s="536">
        <f>IF(E126&lt;&gt;"", ROUNDUP(E126/D126,0),"")</f>
        <v>25568.666666666668</v>
      </c>
      <c r="G126" s="530">
        <f>IF(E126&lt;&gt;"", (SQRT(D126*E126))/300, "")</f>
      </c>
      <c r="H126" s="579"/>
      <c r="I126" s="670">
        <v>82.3</v>
      </c>
      <c r="J126" s="671">
        <v>78.2</v>
      </c>
      <c r="K126" s="579"/>
      <c r="L126" s="510" t="s">
        <v>836</v>
      </c>
      <c r="M126" s="269">
        <v>45839</v>
      </c>
      <c r="N126" s="490" t="s">
        <v>503</v>
      </c>
      <c r="O126" s="495" t="s">
        <v>1270</v>
      </c>
      <c r="P126" s="492" t="s">
        <v>802</v>
      </c>
      <c r="Q126" s="566" t="s">
        <v>445</v>
      </c>
      <c r="R126" s="492" t="s">
        <v>1304</v>
      </c>
      <c r="S126" s="485">
        <v>628</v>
      </c>
    </row>
    <row x14ac:dyDescent="0.25" r="127" customHeight="1" ht="17.25">
      <c r="A127" s="492" t="s">
        <v>1272</v>
      </c>
      <c r="B127" s="669" t="s">
        <v>1303</v>
      </c>
      <c r="C127" s="495" t="s">
        <v>1273</v>
      </c>
      <c r="D127" s="496">
        <v>40</v>
      </c>
      <c r="E127" s="573">
        <v>5000</v>
      </c>
      <c r="F127" s="536">
        <f>IF(E127&lt;&gt;"", ROUNDUP(E127/D127,0),"")</f>
        <v>25568.666666666668</v>
      </c>
      <c r="G127" s="530">
        <f>IF(E127&lt;&gt;"", (SQRT(D127*E127))/300, "")</f>
      </c>
      <c r="H127" s="579"/>
      <c r="I127" s="670">
        <v>77.8</v>
      </c>
      <c r="J127" s="671">
        <v>75.1</v>
      </c>
      <c r="K127" s="579"/>
      <c r="L127" s="510" t="s">
        <v>836</v>
      </c>
      <c r="M127" s="269">
        <v>45839</v>
      </c>
      <c r="N127" s="490" t="s">
        <v>503</v>
      </c>
      <c r="O127" s="495" t="s">
        <v>1270</v>
      </c>
      <c r="P127" s="492" t="s">
        <v>819</v>
      </c>
      <c r="Q127" s="566" t="s">
        <v>445</v>
      </c>
      <c r="R127" s="492"/>
      <c r="S127" s="485">
        <v>627</v>
      </c>
    </row>
    <row x14ac:dyDescent="0.25" r="128" customHeight="1" ht="17.25">
      <c r="A128" s="492" t="s">
        <v>1305</v>
      </c>
      <c r="B128" s="669" t="s">
        <v>834</v>
      </c>
      <c r="C128" s="495" t="s">
        <v>1306</v>
      </c>
      <c r="D128" s="572">
        <v>3.8</v>
      </c>
      <c r="E128" s="496">
        <v>5150</v>
      </c>
      <c r="F128" s="536">
        <f>IF(E128&lt;&gt;"", ROUNDUP(E128/D128,0),"")</f>
        <v>25568.666666666668</v>
      </c>
      <c r="G128" s="530">
        <f>IF(E128&lt;&gt;"", (SQRT(D128*E128))/300, "")</f>
      </c>
      <c r="H128" s="579"/>
      <c r="I128" s="670"/>
      <c r="J128" s="671"/>
      <c r="K128" s="579"/>
      <c r="L128" s="510" t="s">
        <v>836</v>
      </c>
      <c r="M128" s="269">
        <v>45839</v>
      </c>
      <c r="N128" s="490" t="s">
        <v>503</v>
      </c>
      <c r="O128" s="495" t="s">
        <v>1307</v>
      </c>
      <c r="P128" s="492" t="s">
        <v>819</v>
      </c>
      <c r="Q128" s="580"/>
      <c r="R128" s="492" t="s">
        <v>1308</v>
      </c>
      <c r="S128" s="485">
        <v>626</v>
      </c>
    </row>
    <row x14ac:dyDescent="0.25" r="129" customHeight="1" ht="17.25">
      <c r="A129" s="228" t="s">
        <v>1309</v>
      </c>
      <c r="B129" s="462" t="s">
        <v>828</v>
      </c>
      <c r="C129" s="476" t="s">
        <v>1310</v>
      </c>
      <c r="D129" s="477">
        <v>9</v>
      </c>
      <c r="E129" s="477">
        <v>10000</v>
      </c>
      <c r="F129" s="230">
        <f>IF(E129&lt;&gt;"", ROUNDUP(E129/D129,0),"")</f>
        <v>25568.666666666668</v>
      </c>
      <c r="G129" s="479">
        <f>IF(E129&lt;&gt;"", (SQRT(D129*E129))/300, "")</f>
      </c>
      <c r="H129" s="480">
        <v>76.7</v>
      </c>
      <c r="I129" s="480">
        <v>55.7</v>
      </c>
      <c r="J129" s="480">
        <v>40.4</v>
      </c>
      <c r="K129" s="481"/>
      <c r="L129" s="482" t="s">
        <v>830</v>
      </c>
      <c r="M129" s="269">
        <v>45839</v>
      </c>
      <c r="N129" s="223" t="s">
        <v>503</v>
      </c>
      <c r="O129" s="495" t="s">
        <v>1311</v>
      </c>
      <c r="P129" s="228" t="s">
        <v>819</v>
      </c>
      <c r="Q129" s="484"/>
      <c r="R129" s="25" t="s">
        <v>1312</v>
      </c>
      <c r="S129" s="485">
        <v>625</v>
      </c>
    </row>
    <row x14ac:dyDescent="0.25" r="130" customHeight="1" ht="17.25">
      <c r="A130" s="228" t="s">
        <v>1313</v>
      </c>
      <c r="B130" s="462" t="s">
        <v>828</v>
      </c>
      <c r="C130" s="476" t="s">
        <v>1314</v>
      </c>
      <c r="D130" s="477">
        <v>27</v>
      </c>
      <c r="E130" s="477">
        <v>14000</v>
      </c>
      <c r="F130" s="230">
        <f>IF(E130&lt;&gt;"", ROUNDUP(E130/D130,0),"")</f>
        <v>25568.666666666668</v>
      </c>
      <c r="G130" s="479">
        <f>IF(E130&lt;&gt;"", (SQRT(D130*E130))/300, "")</f>
      </c>
      <c r="H130" s="656">
        <v>87</v>
      </c>
      <c r="I130" s="480"/>
      <c r="J130" s="480"/>
      <c r="K130" s="481"/>
      <c r="L130" s="482" t="s">
        <v>830</v>
      </c>
      <c r="M130" s="269">
        <v>45839</v>
      </c>
      <c r="N130" s="223" t="s">
        <v>503</v>
      </c>
      <c r="O130" s="483" t="s">
        <v>1315</v>
      </c>
      <c r="P130" s="228" t="s">
        <v>819</v>
      </c>
      <c r="Q130" s="484"/>
      <c r="R130" s="21" t="s">
        <v>1316</v>
      </c>
      <c r="S130" s="485">
        <v>624</v>
      </c>
    </row>
    <row x14ac:dyDescent="0.25" r="131" customHeight="1" ht="17.25">
      <c r="A131" s="492" t="s">
        <v>1317</v>
      </c>
      <c r="B131" s="467" t="s">
        <v>1318</v>
      </c>
      <c r="C131" s="495" t="s">
        <v>1319</v>
      </c>
      <c r="D131" s="23">
        <v>685</v>
      </c>
      <c r="E131" s="23">
        <v>14800</v>
      </c>
      <c r="F131" s="263">
        <f>IF(E131&lt;&gt;"", ROUNDUP(E131/D131,0),"")</f>
        <v>25568.666666666668</v>
      </c>
      <c r="G131" s="487">
        <f>IF(E131&lt;&gt;"", (SQRT(D131*E131))/300, "")</f>
      </c>
      <c r="H131" s="558"/>
      <c r="I131" s="579"/>
      <c r="J131" s="579"/>
      <c r="K131" s="579"/>
      <c r="L131" s="268" t="s">
        <v>836</v>
      </c>
      <c r="M131" s="269">
        <v>45839</v>
      </c>
      <c r="N131" s="490" t="s">
        <v>503</v>
      </c>
      <c r="O131" s="495" t="s">
        <v>1320</v>
      </c>
      <c r="P131" s="492" t="s">
        <v>802</v>
      </c>
      <c r="Q131" s="583"/>
      <c r="R131" s="584" t="s">
        <v>1321</v>
      </c>
      <c r="S131" s="485">
        <v>623</v>
      </c>
    </row>
    <row x14ac:dyDescent="0.25" r="132" customHeight="1" ht="17.25">
      <c r="A132" s="492" t="s">
        <v>1322</v>
      </c>
      <c r="B132" s="467" t="s">
        <v>944</v>
      </c>
      <c r="C132" s="495"/>
      <c r="D132" s="572">
        <v>3.6</v>
      </c>
      <c r="E132" s="496">
        <v>1200</v>
      </c>
      <c r="F132" s="263">
        <f>IF(E132&lt;&gt;"", ROUNDUP(E132/D132,0),"")</f>
        <v>25568.666666666668</v>
      </c>
      <c r="G132" s="487">
        <f>IF(E132&lt;&gt;"", (SQRT(D132*E132))/300, "")</f>
      </c>
      <c r="H132" s="558">
        <v>36.12</v>
      </c>
      <c r="I132" s="579"/>
      <c r="J132" s="579"/>
      <c r="K132" s="579"/>
      <c r="L132" s="268" t="s">
        <v>836</v>
      </c>
      <c r="M132" s="269">
        <v>45809</v>
      </c>
      <c r="N132" s="490" t="s">
        <v>503</v>
      </c>
      <c r="O132" s="495" t="s">
        <v>1323</v>
      </c>
      <c r="P132" s="492" t="s">
        <v>819</v>
      </c>
      <c r="Q132" s="583"/>
      <c r="R132" s="503" t="s">
        <v>1324</v>
      </c>
      <c r="S132" s="485">
        <v>622</v>
      </c>
    </row>
    <row x14ac:dyDescent="0.25" r="133" customHeight="1" ht="17.25">
      <c r="A133" s="492" t="s">
        <v>1325</v>
      </c>
      <c r="B133" s="467" t="s">
        <v>1326</v>
      </c>
      <c r="C133" s="495" t="s">
        <v>1327</v>
      </c>
      <c r="D133" s="496">
        <v>7</v>
      </c>
      <c r="E133" s="496">
        <v>5630</v>
      </c>
      <c r="F133" s="263">
        <f>IF(E133&lt;&gt;"", ROUNDUP(E133/D133,0),"")</f>
        <v>25568.666666666668</v>
      </c>
      <c r="G133" s="487">
        <f>IF(E133&lt;&gt;"", (SQRT(D133*E133))/300, "")</f>
      </c>
      <c r="H133" s="579"/>
      <c r="I133" s="579"/>
      <c r="J133" s="579"/>
      <c r="K133" s="579"/>
      <c r="L133" s="268" t="s">
        <v>1328</v>
      </c>
      <c r="M133" s="269">
        <v>45809</v>
      </c>
      <c r="N133" s="490" t="s">
        <v>503</v>
      </c>
      <c r="O133" s="495" t="s">
        <v>1329</v>
      </c>
      <c r="P133" s="492" t="s">
        <v>819</v>
      </c>
      <c r="Q133" s="583" t="s">
        <v>901</v>
      </c>
      <c r="R133" s="503" t="s">
        <v>1330</v>
      </c>
      <c r="S133" s="485">
        <v>621</v>
      </c>
    </row>
    <row x14ac:dyDescent="0.25" r="134" customHeight="1" ht="17.25">
      <c r="A134" s="259" t="s">
        <v>1331</v>
      </c>
      <c r="B134" s="504" t="s">
        <v>898</v>
      </c>
      <c r="C134" s="271" t="s">
        <v>1332</v>
      </c>
      <c r="D134" s="506">
        <v>80</v>
      </c>
      <c r="E134" s="562">
        <v>7000</v>
      </c>
      <c r="F134" s="263">
        <f>IF(E134&lt;&gt;"", ROUNDUP(E134/D134,0),"")</f>
        <v>25568.666666666668</v>
      </c>
      <c r="G134" s="567">
        <f>IF(E134&lt;&gt;"", (SQRT(D134*E134))/300, "")</f>
      </c>
      <c r="H134" s="558">
        <v>88.17</v>
      </c>
      <c r="I134" s="672">
        <v>67.23</v>
      </c>
      <c r="J134" s="559">
        <v>71.2</v>
      </c>
      <c r="K134" s="516"/>
      <c r="L134" s="268" t="s">
        <v>836</v>
      </c>
      <c r="M134" s="269">
        <v>45809</v>
      </c>
      <c r="N134" s="270" t="s">
        <v>503</v>
      </c>
      <c r="O134" s="271" t="s">
        <v>1332</v>
      </c>
      <c r="P134" s="259" t="s">
        <v>802</v>
      </c>
      <c r="Q134" s="517"/>
      <c r="R134" s="259" t="s">
        <v>1333</v>
      </c>
      <c r="S134" s="485">
        <v>620</v>
      </c>
    </row>
    <row x14ac:dyDescent="0.25" r="135" customHeight="1" ht="17.25">
      <c r="A135" s="228" t="s">
        <v>1334</v>
      </c>
      <c r="B135" s="21" t="s">
        <v>1335</v>
      </c>
      <c r="C135" s="491" t="s">
        <v>1336</v>
      </c>
      <c r="D135" s="478">
        <v>90</v>
      </c>
      <c r="E135" s="478">
        <v>8000</v>
      </c>
      <c r="F135" s="263">
        <f>IF(E135&lt;&gt;"", ROUNDUP(E135/D135,0),"")</f>
        <v>25568.666666666668</v>
      </c>
      <c r="G135" s="575">
        <f>IF(E135&lt;&gt;"", (SQRT(D135*E135))/300, "")</f>
      </c>
      <c r="H135" s="481"/>
      <c r="I135" s="585">
        <v>69</v>
      </c>
      <c r="J135" s="585">
        <v>51</v>
      </c>
      <c r="K135" s="509">
        <v>3.4</v>
      </c>
      <c r="L135" s="510" t="s">
        <v>836</v>
      </c>
      <c r="M135" s="269">
        <v>45809</v>
      </c>
      <c r="N135" s="270" t="s">
        <v>503</v>
      </c>
      <c r="O135" s="511" t="s">
        <v>1337</v>
      </c>
      <c r="P135" s="582" t="s">
        <v>819</v>
      </c>
      <c r="Q135" s="484" t="s">
        <v>901</v>
      </c>
      <c r="R135" s="21" t="s">
        <v>1338</v>
      </c>
      <c r="S135" s="485">
        <v>619</v>
      </c>
    </row>
    <row x14ac:dyDescent="0.25" r="136" customHeight="1" ht="17.25">
      <c r="A136" s="259" t="s">
        <v>1339</v>
      </c>
      <c r="B136" s="673" t="s">
        <v>834</v>
      </c>
      <c r="C136" s="271" t="s">
        <v>1340</v>
      </c>
      <c r="D136" s="620">
        <v>0.5</v>
      </c>
      <c r="E136" s="478">
        <v>500</v>
      </c>
      <c r="F136" s="513">
        <f>IF(E136&lt;&gt;"", ROUNDUP(E136/D136,0),"")</f>
        <v>25568.666666666668</v>
      </c>
      <c r="G136" s="567">
        <f>IF(E136&lt;&gt;"", (SQRT(D136*E136))/300, "")</f>
      </c>
      <c r="H136" s="516"/>
      <c r="I136" s="657"/>
      <c r="J136" s="674"/>
      <c r="K136" s="675"/>
      <c r="L136" s="489" t="s">
        <v>836</v>
      </c>
      <c r="M136" s="269">
        <v>45809</v>
      </c>
      <c r="N136" s="270" t="s">
        <v>503</v>
      </c>
      <c r="O136" s="271" t="s">
        <v>1341</v>
      </c>
      <c r="P136" s="249" t="s">
        <v>819</v>
      </c>
      <c r="Q136" s="272"/>
      <c r="R136" s="249" t="s">
        <v>1342</v>
      </c>
      <c r="S136" s="485">
        <v>618</v>
      </c>
    </row>
    <row x14ac:dyDescent="0.25" r="137" customHeight="1" ht="17.25">
      <c r="A137" s="259" t="s">
        <v>1343</v>
      </c>
      <c r="B137" s="577" t="s">
        <v>828</v>
      </c>
      <c r="C137" s="271" t="s">
        <v>1344</v>
      </c>
      <c r="D137" s="478">
        <v>20</v>
      </c>
      <c r="E137" s="478">
        <v>10000</v>
      </c>
      <c r="F137" s="513">
        <f>IF(E137&lt;&gt;"", ROUNDUP(E137/D137,0),"")</f>
        <v>25568.666666666668</v>
      </c>
      <c r="G137" s="567">
        <f>IF(E137&lt;&gt;"", (SQRT(D137*E137))/300, "")</f>
      </c>
      <c r="H137" s="516"/>
      <c r="I137" s="657"/>
      <c r="J137" s="674"/>
      <c r="K137" s="675"/>
      <c r="L137" s="489" t="s">
        <v>836</v>
      </c>
      <c r="M137" s="269">
        <v>45809</v>
      </c>
      <c r="N137" s="270" t="s">
        <v>503</v>
      </c>
      <c r="O137" s="271" t="s">
        <v>1345</v>
      </c>
      <c r="P137" s="249" t="s">
        <v>802</v>
      </c>
      <c r="Q137" s="272"/>
      <c r="R137" s="591" t="s">
        <v>1346</v>
      </c>
      <c r="S137" s="485">
        <v>617</v>
      </c>
    </row>
    <row x14ac:dyDescent="0.25" r="138" customHeight="1" ht="17.25">
      <c r="A138" s="259" t="s">
        <v>1347</v>
      </c>
      <c r="B138" s="504" t="s">
        <v>1348</v>
      </c>
      <c r="C138" s="271" t="s">
        <v>1349</v>
      </c>
      <c r="D138" s="486">
        <v>88</v>
      </c>
      <c r="E138" s="601">
        <v>10000</v>
      </c>
      <c r="F138" s="513">
        <f>IF(E138&lt;&gt;"", ROUNDUP(E138/D138,0),"")</f>
        <v>25568.666666666668</v>
      </c>
      <c r="G138" s="567">
        <f>IF(E138&lt;&gt;"", (SQRT(D138*E138))/300, "")</f>
      </c>
      <c r="H138" s="516"/>
      <c r="I138" s="657"/>
      <c r="J138" s="674"/>
      <c r="K138" s="675"/>
      <c r="L138" s="489" t="s">
        <v>836</v>
      </c>
      <c r="M138" s="269">
        <v>45809</v>
      </c>
      <c r="N138" s="270" t="s">
        <v>503</v>
      </c>
      <c r="O138" s="271"/>
      <c r="P138" s="249" t="s">
        <v>802</v>
      </c>
      <c r="Q138" s="272"/>
      <c r="R138" s="249" t="s">
        <v>1350</v>
      </c>
      <c r="S138" s="485">
        <v>616</v>
      </c>
    </row>
    <row x14ac:dyDescent="0.25" r="139" customHeight="1" ht="17.25">
      <c r="A139" s="492" t="s">
        <v>1351</v>
      </c>
      <c r="B139" s="504" t="s">
        <v>1086</v>
      </c>
      <c r="C139" s="495" t="s">
        <v>1352</v>
      </c>
      <c r="D139" s="496">
        <v>456</v>
      </c>
      <c r="E139" s="526">
        <v>7200</v>
      </c>
      <c r="F139" s="513">
        <f>IF(E139&lt;&gt;"", ROUNDUP(E139/D139,0),"")</f>
        <v>25568.666666666668</v>
      </c>
      <c r="G139" s="567">
        <f>IF(E139&lt;&gt;"", (SQRT(D139*E139))/300, "")</f>
      </c>
      <c r="H139" s="514"/>
      <c r="I139" s="676">
        <v>81.1</v>
      </c>
      <c r="J139" s="623">
        <v>70</v>
      </c>
      <c r="K139" s="481">
        <v>8.4</v>
      </c>
      <c r="L139" s="624" t="s">
        <v>830</v>
      </c>
      <c r="M139" s="231">
        <v>45809</v>
      </c>
      <c r="N139" s="490" t="s">
        <v>503</v>
      </c>
      <c r="O139" s="495" t="s">
        <v>1353</v>
      </c>
      <c r="P139" s="503" t="s">
        <v>802</v>
      </c>
      <c r="Q139" s="502" t="s">
        <v>445</v>
      </c>
      <c r="R139" s="584" t="s">
        <v>1354</v>
      </c>
      <c r="S139" s="485">
        <v>615</v>
      </c>
    </row>
    <row x14ac:dyDescent="0.25" r="140" customHeight="1" ht="17.25">
      <c r="A140" s="492" t="s">
        <v>1355</v>
      </c>
      <c r="B140" s="607" t="s">
        <v>965</v>
      </c>
      <c r="C140" s="677" t="s">
        <v>1297</v>
      </c>
      <c r="D140" s="478">
        <v>50</v>
      </c>
      <c r="E140" s="478">
        <v>12000</v>
      </c>
      <c r="F140" s="263">
        <f>IF(E140&lt;&gt;"", ROUNDUP(E140/D140,0),"")</f>
        <v>25568.666666666668</v>
      </c>
      <c r="G140" s="575">
        <f>IF(E140&lt;&gt;"", (SQRT(D140*E140))/300, "")</f>
      </c>
      <c r="H140" s="610"/>
      <c r="I140" s="611"/>
      <c r="J140" s="612">
        <v>70.8</v>
      </c>
      <c r="K140" s="481"/>
      <c r="L140" s="489" t="s">
        <v>836</v>
      </c>
      <c r="M140" s="231">
        <v>45809</v>
      </c>
      <c r="N140" s="490" t="s">
        <v>503</v>
      </c>
      <c r="O140" s="501" t="s">
        <v>1356</v>
      </c>
      <c r="P140" s="492" t="s">
        <v>819</v>
      </c>
      <c r="Q140" s="502" t="s">
        <v>445</v>
      </c>
      <c r="R140" s="613" t="s">
        <v>1357</v>
      </c>
      <c r="S140" s="485">
        <v>614</v>
      </c>
    </row>
    <row x14ac:dyDescent="0.25" r="141" customHeight="1" ht="17.25">
      <c r="A141" s="259" t="s">
        <v>596</v>
      </c>
      <c r="B141" s="249" t="s">
        <v>595</v>
      </c>
      <c r="C141" s="271" t="s">
        <v>1358</v>
      </c>
      <c r="D141" s="486">
        <v>7</v>
      </c>
      <c r="E141" s="486">
        <v>2000</v>
      </c>
      <c r="F141" s="263">
        <f>IF(E141&lt;&gt;"", ROUNDUP(E141/D141,0),"")</f>
        <v>25568.666666666668</v>
      </c>
      <c r="G141" s="487">
        <f>IF(E141&lt;&gt;"", (SQRT(D141*E141))/300, "")</f>
      </c>
      <c r="H141" s="678">
        <v>49.8</v>
      </c>
      <c r="I141" s="516"/>
      <c r="J141" s="516"/>
      <c r="K141" s="516"/>
      <c r="L141" s="534" t="s">
        <v>830</v>
      </c>
      <c r="M141" s="231">
        <v>45809</v>
      </c>
      <c r="N141" s="270" t="s">
        <v>503</v>
      </c>
      <c r="O141" s="271" t="s">
        <v>597</v>
      </c>
      <c r="P141" s="259" t="s">
        <v>819</v>
      </c>
      <c r="Q141" s="517"/>
      <c r="R141" s="503" t="s">
        <v>1359</v>
      </c>
      <c r="S141" s="485">
        <v>613</v>
      </c>
    </row>
    <row x14ac:dyDescent="0.25" r="142" customHeight="1" ht="17.25">
      <c r="A142" s="492" t="s">
        <v>1360</v>
      </c>
      <c r="B142" s="577" t="s">
        <v>1361</v>
      </c>
      <c r="C142" s="501" t="s">
        <v>1362</v>
      </c>
      <c r="D142" s="477">
        <v>142</v>
      </c>
      <c r="E142" s="477">
        <v>11200</v>
      </c>
      <c r="F142" s="263">
        <f>IF(E142&lt;&gt;"", ROUNDUP(E142/D142,0),"")</f>
        <v>25568.666666666668</v>
      </c>
      <c r="G142" s="664">
        <f>IF(E142&lt;&gt;"", (SQRT(D142*E142))/300, "")</f>
      </c>
      <c r="H142" s="480">
        <v>83.2</v>
      </c>
      <c r="I142" s="569">
        <v>61.9</v>
      </c>
      <c r="J142" s="555">
        <v>52.6</v>
      </c>
      <c r="K142" s="679"/>
      <c r="L142" s="482" t="s">
        <v>830</v>
      </c>
      <c r="M142" s="231">
        <v>45809</v>
      </c>
      <c r="N142" s="490" t="s">
        <v>503</v>
      </c>
      <c r="O142" s="495" t="s">
        <v>1363</v>
      </c>
      <c r="P142" s="492" t="s">
        <v>802</v>
      </c>
      <c r="Q142" s="583"/>
      <c r="R142" s="503" t="s">
        <v>1364</v>
      </c>
      <c r="S142" s="485">
        <v>612</v>
      </c>
    </row>
    <row x14ac:dyDescent="0.25" r="143" customHeight="1" ht="17.25">
      <c r="A143" s="492" t="s">
        <v>1365</v>
      </c>
      <c r="B143" s="577" t="s">
        <v>828</v>
      </c>
      <c r="C143" s="501" t="s">
        <v>1366</v>
      </c>
      <c r="D143" s="478">
        <v>400</v>
      </c>
      <c r="E143" s="478">
        <v>80000</v>
      </c>
      <c r="F143" s="263">
        <f>IF(E143&lt;&gt;"", ROUNDUP(E143/D143,0),"")</f>
        <v>25568.666666666668</v>
      </c>
      <c r="G143" s="664">
        <f>IF(E143&lt;&gt;"", (SQRT(D143*E143))/300, "")</f>
      </c>
      <c r="H143" s="538"/>
      <c r="I143" s="579"/>
      <c r="J143" s="555">
        <v>86.4</v>
      </c>
      <c r="K143" s="679">
        <v>21.6</v>
      </c>
      <c r="L143" s="510" t="s">
        <v>836</v>
      </c>
      <c r="M143" s="231">
        <v>45809</v>
      </c>
      <c r="N143" s="490" t="s">
        <v>503</v>
      </c>
      <c r="O143" s="501" t="s">
        <v>1367</v>
      </c>
      <c r="P143" s="492" t="s">
        <v>819</v>
      </c>
      <c r="Q143" s="583" t="s">
        <v>803</v>
      </c>
      <c r="R143" s="503" t="s">
        <v>1368</v>
      </c>
      <c r="S143" s="485">
        <v>611</v>
      </c>
    </row>
    <row x14ac:dyDescent="0.25" r="144" customHeight="1" ht="17.25">
      <c r="A144" s="259" t="s">
        <v>1369</v>
      </c>
      <c r="B144" s="462" t="s">
        <v>918</v>
      </c>
      <c r="C144" s="505" t="s">
        <v>1370</v>
      </c>
      <c r="D144" s="496">
        <v>7</v>
      </c>
      <c r="E144" s="496">
        <v>25000</v>
      </c>
      <c r="F144" s="263">
        <f>IF(E144&lt;&gt;"", ROUNDUP(E144/D144,0),"")</f>
        <v>25568.666666666668</v>
      </c>
      <c r="G144" s="575">
        <f>IF(E144&lt;&gt;"", (SQRT(D144*E144))/300, "")</f>
      </c>
      <c r="H144" s="576"/>
      <c r="I144" s="569">
        <v>58.6</v>
      </c>
      <c r="J144" s="480">
        <v>60.6</v>
      </c>
      <c r="K144" s="509"/>
      <c r="L144" s="510" t="s">
        <v>836</v>
      </c>
      <c r="M144" s="231">
        <v>45778</v>
      </c>
      <c r="N144" s="270" t="s">
        <v>503</v>
      </c>
      <c r="O144" s="511" t="s">
        <v>1371</v>
      </c>
      <c r="P144" s="492" t="s">
        <v>819</v>
      </c>
      <c r="Q144" s="566" t="s">
        <v>445</v>
      </c>
      <c r="R144" s="228" t="s">
        <v>1372</v>
      </c>
      <c r="S144" s="485">
        <v>610</v>
      </c>
    </row>
    <row x14ac:dyDescent="0.25" r="145" customHeight="1" ht="17.25">
      <c r="A145" s="492" t="s">
        <v>1373</v>
      </c>
      <c r="B145" s="577" t="s">
        <v>828</v>
      </c>
      <c r="C145" s="680"/>
      <c r="D145" s="572">
        <v>1.3</v>
      </c>
      <c r="E145" s="496">
        <v>100</v>
      </c>
      <c r="F145" s="263">
        <f>IF(E145&lt;&gt;"", ROUNDUP(E145/D145,0),"")</f>
        <v>25568.666666666668</v>
      </c>
      <c r="G145" s="664">
        <f>IF(E145&lt;&gt;"", (SQRT(D145*E145))/300, "")</f>
      </c>
      <c r="H145" s="538"/>
      <c r="I145" s="579"/>
      <c r="J145" s="555"/>
      <c r="K145" s="679"/>
      <c r="L145" s="510" t="s">
        <v>836</v>
      </c>
      <c r="M145" s="231">
        <v>45778</v>
      </c>
      <c r="N145" s="490" t="s">
        <v>470</v>
      </c>
      <c r="O145" s="495" t="s">
        <v>1374</v>
      </c>
      <c r="P145" s="492" t="s">
        <v>819</v>
      </c>
      <c r="Q145" s="583"/>
      <c r="R145" s="503" t="s">
        <v>1375</v>
      </c>
      <c r="S145" s="485">
        <v>609</v>
      </c>
    </row>
    <row x14ac:dyDescent="0.25" r="146" customHeight="1" ht="17.25">
      <c r="A146" s="492" t="s">
        <v>91</v>
      </c>
      <c r="B146" s="577" t="s">
        <v>828</v>
      </c>
      <c r="C146" s="680"/>
      <c r="D146" s="572">
        <v>1.3</v>
      </c>
      <c r="E146" s="496">
        <v>100</v>
      </c>
      <c r="F146" s="263">
        <f>IF(E146&lt;&gt;"", ROUNDUP(E146/D146,0),"")</f>
        <v>25568.666666666668</v>
      </c>
      <c r="G146" s="664">
        <f>IF(E146&lt;&gt;"", (SQRT(D146*E146))/300, "")</f>
      </c>
      <c r="H146" s="538"/>
      <c r="I146" s="579"/>
      <c r="J146" s="555"/>
      <c r="K146" s="679"/>
      <c r="L146" s="510" t="s">
        <v>836</v>
      </c>
      <c r="M146" s="231">
        <v>45778</v>
      </c>
      <c r="N146" s="490" t="s">
        <v>470</v>
      </c>
      <c r="O146" s="495" t="s">
        <v>1374</v>
      </c>
      <c r="P146" s="492" t="s">
        <v>819</v>
      </c>
      <c r="Q146" s="583"/>
      <c r="R146" s="503" t="s">
        <v>1375</v>
      </c>
      <c r="S146" s="485">
        <v>608</v>
      </c>
    </row>
    <row x14ac:dyDescent="0.25" r="147" customHeight="1" ht="17.25">
      <c r="A147" s="259" t="s">
        <v>1376</v>
      </c>
      <c r="B147" s="504" t="s">
        <v>479</v>
      </c>
      <c r="C147" s="271" t="s">
        <v>1377</v>
      </c>
      <c r="D147" s="601">
        <v>685</v>
      </c>
      <c r="E147" s="601">
        <v>14800</v>
      </c>
      <c r="F147" s="263">
        <v>23</v>
      </c>
      <c r="G147" s="648">
        <f>IF(E147&lt;&gt;"", (SQRT(D147*E147))/300, "")</f>
      </c>
      <c r="H147" s="497">
        <v>93.4</v>
      </c>
      <c r="I147" s="681">
        <v>85</v>
      </c>
      <c r="J147" s="682">
        <v>81</v>
      </c>
      <c r="K147" s="683">
        <v>17.7</v>
      </c>
      <c r="L147" s="510" t="s">
        <v>836</v>
      </c>
      <c r="M147" s="231">
        <v>45778</v>
      </c>
      <c r="N147" s="270" t="s">
        <v>503</v>
      </c>
      <c r="O147" s="271" t="s">
        <v>1378</v>
      </c>
      <c r="P147" s="259" t="s">
        <v>802</v>
      </c>
      <c r="Q147" s="272" t="s">
        <v>803</v>
      </c>
      <c r="R147" s="259" t="s">
        <v>1379</v>
      </c>
      <c r="S147" s="485">
        <v>607</v>
      </c>
    </row>
    <row x14ac:dyDescent="0.25" r="148" customHeight="1" ht="17.25">
      <c r="A148" s="592" t="s">
        <v>1380</v>
      </c>
      <c r="B148" s="684" t="s">
        <v>1381</v>
      </c>
      <c r="C148" s="685" t="s">
        <v>1382</v>
      </c>
      <c r="D148" s="631">
        <v>14</v>
      </c>
      <c r="E148" s="23">
        <v>18000</v>
      </c>
      <c r="F148" s="263">
        <f>IF(E148&lt;&gt;"", ROUNDUP(E148/D148,0),"")</f>
        <v>25568.666666666668</v>
      </c>
      <c r="G148" s="686">
        <f>IF(E148&lt;&gt;"", (SQRT(D148*E148))/300, "")</f>
      </c>
      <c r="H148" s="687"/>
      <c r="I148" s="688"/>
      <c r="J148" s="481">
        <v>66.16</v>
      </c>
      <c r="K148" s="509"/>
      <c r="L148" s="510" t="s">
        <v>836</v>
      </c>
      <c r="M148" s="231">
        <v>45778</v>
      </c>
      <c r="N148" s="689" t="s">
        <v>503</v>
      </c>
      <c r="O148" s="690" t="s">
        <v>1382</v>
      </c>
      <c r="P148" s="592" t="s">
        <v>819</v>
      </c>
      <c r="Q148" s="566" t="s">
        <v>445</v>
      </c>
      <c r="R148" s="228" t="s">
        <v>1383</v>
      </c>
      <c r="S148" s="485">
        <v>606</v>
      </c>
    </row>
    <row x14ac:dyDescent="0.25" r="149" customHeight="1" ht="17.25">
      <c r="A149" s="592" t="s">
        <v>1384</v>
      </c>
      <c r="B149" s="504" t="s">
        <v>494</v>
      </c>
      <c r="C149" s="535" t="s">
        <v>1385</v>
      </c>
      <c r="D149" s="496">
        <v>32</v>
      </c>
      <c r="E149" s="23">
        <v>18000</v>
      </c>
      <c r="F149" s="536">
        <f>IF(E149&lt;&gt;"", ROUNDUP(E149/D149,0),"")</f>
        <v>25568.666666666668</v>
      </c>
      <c r="G149" s="537">
        <f>IF(E149&lt;&gt;"", (SQRT(D149*E149))/300, "")</f>
      </c>
      <c r="H149" s="480"/>
      <c r="I149" s="480"/>
      <c r="J149" s="533"/>
      <c r="K149" s="509"/>
      <c r="L149" s="510" t="s">
        <v>836</v>
      </c>
      <c r="M149" s="231">
        <v>45778</v>
      </c>
      <c r="N149" s="490" t="s">
        <v>503</v>
      </c>
      <c r="O149" s="495" t="s">
        <v>1386</v>
      </c>
      <c r="P149" s="592" t="s">
        <v>819</v>
      </c>
      <c r="Q149" s="539" t="s">
        <v>445</v>
      </c>
      <c r="R149" s="661" t="s">
        <v>1387</v>
      </c>
      <c r="S149" s="485">
        <v>605</v>
      </c>
    </row>
    <row x14ac:dyDescent="0.25" r="150" customHeight="1" ht="17.25">
      <c r="A150" s="592" t="s">
        <v>1388</v>
      </c>
      <c r="B150" s="684" t="s">
        <v>523</v>
      </c>
      <c r="C150" s="685" t="s">
        <v>1389</v>
      </c>
      <c r="D150" s="691">
        <v>6000</v>
      </c>
      <c r="E150" s="691">
        <v>100000</v>
      </c>
      <c r="F150" s="263">
        <f>IF(E150&lt;&gt;"", ROUNDUP(E150/D150,0),"")</f>
        <v>25568.666666666668</v>
      </c>
      <c r="G150" s="686">
        <f>IF(E150&lt;&gt;"", (SQRT(D150*E150))/300, "")</f>
      </c>
      <c r="H150" s="687"/>
      <c r="I150" s="688"/>
      <c r="J150" s="481">
        <v>83.3</v>
      </c>
      <c r="K150" s="509"/>
      <c r="L150" s="510" t="s">
        <v>836</v>
      </c>
      <c r="M150" s="231">
        <v>45778</v>
      </c>
      <c r="N150" s="689" t="s">
        <v>503</v>
      </c>
      <c r="O150" s="690" t="s">
        <v>1390</v>
      </c>
      <c r="P150" s="592" t="s">
        <v>819</v>
      </c>
      <c r="Q150" s="566" t="s">
        <v>803</v>
      </c>
      <c r="R150" s="228" t="s">
        <v>1391</v>
      </c>
      <c r="S150" s="485">
        <v>604</v>
      </c>
    </row>
    <row x14ac:dyDescent="0.25" r="151" customHeight="1" ht="17.25">
      <c r="A151" s="228" t="s">
        <v>1392</v>
      </c>
      <c r="B151" s="21" t="s">
        <v>552</v>
      </c>
      <c r="C151" s="491" t="s">
        <v>878</v>
      </c>
      <c r="D151" s="477">
        <v>34</v>
      </c>
      <c r="E151" s="477">
        <v>18000</v>
      </c>
      <c r="F151" s="230">
        <f>IF(E151&lt;&gt;"", ROUNDUP(E151/D151,0),"")</f>
        <v>25568.666666666668</v>
      </c>
      <c r="G151" s="479">
        <f>IF(E151&lt;&gt;"", (SQRT(D151*E151))/300, "")</f>
      </c>
      <c r="H151" s="481">
        <v>84.05</v>
      </c>
      <c r="I151" s="481">
        <v>58.73</v>
      </c>
      <c r="J151" s="481">
        <v>49.66</v>
      </c>
      <c r="K151" s="481"/>
      <c r="L151" s="692" t="s">
        <v>836</v>
      </c>
      <c r="M151" s="231">
        <v>45778</v>
      </c>
      <c r="N151" s="223" t="s">
        <v>503</v>
      </c>
      <c r="O151" s="491" t="s">
        <v>1393</v>
      </c>
      <c r="P151" s="228" t="s">
        <v>819</v>
      </c>
      <c r="Q151" s="566"/>
      <c r="R151" s="228" t="s">
        <v>1394</v>
      </c>
      <c r="S151" s="485">
        <v>603</v>
      </c>
    </row>
    <row x14ac:dyDescent="0.25" r="152" customHeight="1" ht="17.25">
      <c r="A152" s="492" t="s">
        <v>1395</v>
      </c>
      <c r="B152" s="577" t="s">
        <v>828</v>
      </c>
      <c r="C152" s="501" t="s">
        <v>1366</v>
      </c>
      <c r="D152" s="573">
        <v>40</v>
      </c>
      <c r="E152" s="573">
        <v>16000</v>
      </c>
      <c r="F152" s="263">
        <f>IF(E152&lt;&gt;"", ROUNDUP(E152/D152,0),"")</f>
        <v>25568.666666666668</v>
      </c>
      <c r="G152" s="664">
        <f>IF(E152&lt;&gt;"", (SQRT(D152*E152))/300, "")</f>
      </c>
      <c r="H152" s="538"/>
      <c r="I152" s="579"/>
      <c r="J152" s="555">
        <v>40.4</v>
      </c>
      <c r="K152" s="679"/>
      <c r="L152" s="510" t="s">
        <v>836</v>
      </c>
      <c r="M152" s="231">
        <v>45778</v>
      </c>
      <c r="N152" s="490" t="s">
        <v>503</v>
      </c>
      <c r="O152" s="495" t="s">
        <v>1366</v>
      </c>
      <c r="P152" s="492" t="s">
        <v>819</v>
      </c>
      <c r="Q152" s="583" t="s">
        <v>901</v>
      </c>
      <c r="R152" s="503" t="s">
        <v>1396</v>
      </c>
      <c r="S152" s="485">
        <v>602</v>
      </c>
    </row>
    <row x14ac:dyDescent="0.25" r="153" customHeight="1" ht="17.25">
      <c r="A153" s="492" t="s">
        <v>1397</v>
      </c>
      <c r="B153" s="577" t="s">
        <v>828</v>
      </c>
      <c r="C153" s="501" t="s">
        <v>1398</v>
      </c>
      <c r="D153" s="496">
        <v>4</v>
      </c>
      <c r="E153" s="573">
        <v>8000</v>
      </c>
      <c r="F153" s="263">
        <f>IF(E153&lt;&gt;"", ROUNDUP(E153/D153,0),"")</f>
        <v>25568.666666666668</v>
      </c>
      <c r="G153" s="664">
        <f>IF(E153&lt;&gt;"", (SQRT(D153*E153))/300, "")</f>
      </c>
      <c r="H153" s="538">
        <v>62.1</v>
      </c>
      <c r="I153" s="579"/>
      <c r="J153" s="555"/>
      <c r="K153" s="679"/>
      <c r="L153" s="510" t="s">
        <v>836</v>
      </c>
      <c r="M153" s="231">
        <v>45778</v>
      </c>
      <c r="N153" s="490" t="s">
        <v>503</v>
      </c>
      <c r="O153" s="495" t="s">
        <v>1399</v>
      </c>
      <c r="P153" s="492" t="s">
        <v>1400</v>
      </c>
      <c r="Q153" s="583"/>
      <c r="R153" s="503" t="s">
        <v>1401</v>
      </c>
      <c r="S153" s="485">
        <v>601</v>
      </c>
    </row>
    <row x14ac:dyDescent="0.25" r="154" customHeight="1" ht="17.25">
      <c r="A154" s="492" t="s">
        <v>1402</v>
      </c>
      <c r="B154" s="504" t="s">
        <v>494</v>
      </c>
      <c r="C154" s="535" t="s">
        <v>1403</v>
      </c>
      <c r="D154" s="572">
        <v>4.7</v>
      </c>
      <c r="E154" s="477">
        <v>1000</v>
      </c>
      <c r="F154" s="536">
        <f>IF(E154&lt;&gt;"", ROUNDUP(E154/D154,0),"")</f>
        <v>25568.666666666668</v>
      </c>
      <c r="G154" s="537">
        <f>IF(E154&lt;&gt;"", (SQRT(D154*E154))/300, "")</f>
      </c>
      <c r="H154" s="480">
        <v>35.1</v>
      </c>
      <c r="I154" s="480"/>
      <c r="J154" s="533"/>
      <c r="K154" s="509"/>
      <c r="L154" s="510" t="s">
        <v>836</v>
      </c>
      <c r="M154" s="231">
        <v>45778</v>
      </c>
      <c r="N154" s="490" t="s">
        <v>503</v>
      </c>
      <c r="O154" s="495" t="s">
        <v>1404</v>
      </c>
      <c r="P154" s="259" t="s">
        <v>819</v>
      </c>
      <c r="Q154" s="539"/>
      <c r="R154" s="661" t="s">
        <v>1405</v>
      </c>
      <c r="S154" s="485">
        <v>600</v>
      </c>
    </row>
    <row x14ac:dyDescent="0.25" r="155" customHeight="1" ht="17.25">
      <c r="A155" s="259" t="s">
        <v>1406</v>
      </c>
      <c r="B155" s="600" t="s">
        <v>490</v>
      </c>
      <c r="C155" s="511" t="s">
        <v>1407</v>
      </c>
      <c r="D155" s="226">
        <v>600</v>
      </c>
      <c r="E155" s="226">
        <v>100000</v>
      </c>
      <c r="F155" s="263">
        <f>IF(E155&lt;&gt;"", ROUNDUP(E155/D155,0),"")</f>
        <v>25568.666666666668</v>
      </c>
      <c r="G155" s="693">
        <f>IF(E155&lt;&gt;"", (SQRT(D155*E155))/300, "")</f>
      </c>
      <c r="H155" s="488"/>
      <c r="I155" s="516"/>
      <c r="J155" s="694"/>
      <c r="K155" s="481"/>
      <c r="L155" s="268" t="s">
        <v>836</v>
      </c>
      <c r="M155" s="231">
        <v>45778</v>
      </c>
      <c r="N155" s="695" t="s">
        <v>503</v>
      </c>
      <c r="O155" s="271" t="s">
        <v>1408</v>
      </c>
      <c r="P155" s="249" t="s">
        <v>802</v>
      </c>
      <c r="Q155" s="272" t="s">
        <v>803</v>
      </c>
      <c r="R155" s="259" t="s">
        <v>1409</v>
      </c>
      <c r="S155" s="485">
        <v>599</v>
      </c>
    </row>
    <row x14ac:dyDescent="0.25" r="156" customHeight="1" ht="17.25">
      <c r="A156" s="228" t="s">
        <v>1410</v>
      </c>
      <c r="B156" s="21" t="s">
        <v>552</v>
      </c>
      <c r="C156" s="491" t="s">
        <v>1411</v>
      </c>
      <c r="D156" s="477">
        <v>3</v>
      </c>
      <c r="E156" s="477">
        <v>1500</v>
      </c>
      <c r="F156" s="230">
        <f>IF(E156&lt;&gt;"", ROUNDUP(E156/D156,0),"")</f>
        <v>25568.666666666668</v>
      </c>
      <c r="G156" s="479">
        <f>IF(E156&lt;&gt;"", (SQRT(D156*E156))/300, "")</f>
      </c>
      <c r="H156" s="481">
        <v>55.7</v>
      </c>
      <c r="I156" s="481">
        <v>27.16</v>
      </c>
      <c r="J156" s="481">
        <v>23.59</v>
      </c>
      <c r="K156" s="481"/>
      <c r="L156" s="692" t="s">
        <v>836</v>
      </c>
      <c r="M156" s="231">
        <v>45778</v>
      </c>
      <c r="N156" s="223" t="s">
        <v>503</v>
      </c>
      <c r="O156" s="491" t="s">
        <v>1412</v>
      </c>
      <c r="P156" s="228" t="s">
        <v>819</v>
      </c>
      <c r="Q156" s="566"/>
      <c r="R156" s="228" t="s">
        <v>1413</v>
      </c>
      <c r="S156" s="485">
        <v>598</v>
      </c>
    </row>
    <row x14ac:dyDescent="0.25" r="157" customHeight="1" ht="17.25">
      <c r="A157" s="228" t="s">
        <v>1414</v>
      </c>
      <c r="B157" s="21" t="s">
        <v>1415</v>
      </c>
      <c r="C157" s="491" t="s">
        <v>1416</v>
      </c>
      <c r="D157" s="478">
        <v>50</v>
      </c>
      <c r="E157" s="478">
        <v>8000</v>
      </c>
      <c r="F157" s="230">
        <f>IF(E157&lt;&gt;"", ROUNDUP(E157/D157,0),"")</f>
        <v>25568.666666666668</v>
      </c>
      <c r="G157" s="479">
        <f>IF(E157&lt;&gt;"", (SQRT(D157*E157))/300, "")</f>
      </c>
      <c r="H157" s="481"/>
      <c r="I157" s="481"/>
      <c r="J157" s="481"/>
      <c r="K157" s="481"/>
      <c r="L157" s="692" t="s">
        <v>836</v>
      </c>
      <c r="M157" s="231">
        <v>45778</v>
      </c>
      <c r="N157" s="223" t="s">
        <v>503</v>
      </c>
      <c r="O157" s="491" t="s">
        <v>1416</v>
      </c>
      <c r="P157" s="640" t="s">
        <v>819</v>
      </c>
      <c r="Q157" s="566"/>
      <c r="R157" s="228" t="s">
        <v>1417</v>
      </c>
      <c r="S157" s="485">
        <v>597</v>
      </c>
    </row>
    <row x14ac:dyDescent="0.25" r="158" customHeight="1" ht="17.25">
      <c r="A158" s="228" t="s">
        <v>1418</v>
      </c>
      <c r="B158" s="21" t="s">
        <v>1005</v>
      </c>
      <c r="C158" s="491" t="s">
        <v>1419</v>
      </c>
      <c r="D158" s="477">
        <v>32</v>
      </c>
      <c r="E158" s="477">
        <v>18000</v>
      </c>
      <c r="F158" s="230">
        <f>IF(E158&lt;&gt;"", ROUNDUP(E158/D158,0),"")</f>
        <v>25568.666666666668</v>
      </c>
      <c r="G158" s="479">
        <f>IF(E158&lt;&gt;"", (SQRT(D158*E158))/300, "")</f>
      </c>
      <c r="H158" s="481"/>
      <c r="I158" s="481"/>
      <c r="J158" s="481">
        <v>66.8</v>
      </c>
      <c r="K158" s="481"/>
      <c r="L158" s="482" t="s">
        <v>830</v>
      </c>
      <c r="M158" s="231">
        <v>45778</v>
      </c>
      <c r="N158" s="223" t="s">
        <v>503</v>
      </c>
      <c r="O158" s="491" t="s">
        <v>1420</v>
      </c>
      <c r="P158" s="228" t="s">
        <v>819</v>
      </c>
      <c r="Q158" s="566" t="s">
        <v>445</v>
      </c>
      <c r="R158" s="609" t="s">
        <v>1421</v>
      </c>
      <c r="S158" s="485">
        <v>596</v>
      </c>
    </row>
    <row x14ac:dyDescent="0.25" r="159" customHeight="1" ht="17.25">
      <c r="A159" s="592" t="s">
        <v>1422</v>
      </c>
      <c r="B159" s="504" t="s">
        <v>1423</v>
      </c>
      <c r="C159" s="589" t="s">
        <v>1424</v>
      </c>
      <c r="D159" s="631">
        <v>718</v>
      </c>
      <c r="E159" s="691">
        <v>13000</v>
      </c>
      <c r="F159" s="263">
        <f>IF(E159&lt;&gt;"", ROUNDUP(E159/D159,0),"")</f>
        <v>25568.666666666668</v>
      </c>
      <c r="G159" s="696">
        <f>IF(E159&lt;&gt;"", (SQRT(D159*E159))/300, "")</f>
      </c>
      <c r="H159" s="697">
        <v>91.5</v>
      </c>
      <c r="I159" s="569">
        <v>83.5</v>
      </c>
      <c r="J159" s="698">
        <v>75.3</v>
      </c>
      <c r="K159" s="699"/>
      <c r="L159" s="692" t="s">
        <v>836</v>
      </c>
      <c r="M159" s="231">
        <v>45778</v>
      </c>
      <c r="N159" s="490" t="s">
        <v>470</v>
      </c>
      <c r="O159" s="589" t="s">
        <v>1425</v>
      </c>
      <c r="P159" s="592" t="s">
        <v>802</v>
      </c>
      <c r="Q159" s="566" t="s">
        <v>445</v>
      </c>
      <c r="R159" s="16" t="s">
        <v>1426</v>
      </c>
      <c r="S159" s="485">
        <v>595</v>
      </c>
    </row>
    <row x14ac:dyDescent="0.25" r="160" customHeight="1" ht="17.25">
      <c r="A160" s="492" t="s">
        <v>1427</v>
      </c>
      <c r="B160" s="607" t="s">
        <v>965</v>
      </c>
      <c r="C160" s="677" t="s">
        <v>1297</v>
      </c>
      <c r="D160" s="478">
        <v>50</v>
      </c>
      <c r="E160" s="478">
        <v>12000</v>
      </c>
      <c r="F160" s="263">
        <f>IF(E160&lt;&gt;"", ROUNDUP(E160/D160,0),"")</f>
        <v>25568.666666666668</v>
      </c>
      <c r="G160" s="575">
        <f>IF(E160&lt;&gt;"", (SQRT(D160*E160))/300, "")</f>
      </c>
      <c r="H160" s="610"/>
      <c r="I160" s="611">
        <v>77.2</v>
      </c>
      <c r="J160" s="612">
        <v>57.1</v>
      </c>
      <c r="K160" s="481"/>
      <c r="L160" s="489" t="s">
        <v>836</v>
      </c>
      <c r="M160" s="231">
        <v>45778</v>
      </c>
      <c r="N160" s="490" t="s">
        <v>503</v>
      </c>
      <c r="O160" s="501" t="s">
        <v>1428</v>
      </c>
      <c r="P160" s="492" t="s">
        <v>819</v>
      </c>
      <c r="Q160" s="502"/>
      <c r="R160" s="492" t="s">
        <v>1429</v>
      </c>
      <c r="S160" s="485">
        <v>594</v>
      </c>
    </row>
    <row x14ac:dyDescent="0.25" r="161" customHeight="1" ht="17.25">
      <c r="A161" s="228" t="s">
        <v>1430</v>
      </c>
      <c r="B161" s="21" t="s">
        <v>1117</v>
      </c>
      <c r="C161" s="608" t="s">
        <v>1431</v>
      </c>
      <c r="D161" s="23">
        <v>7</v>
      </c>
      <c r="E161" s="529">
        <v>2500</v>
      </c>
      <c r="F161" s="230">
        <f>IF(E161&lt;&gt;"", ROUNDUP(E161/D161,0),"")</f>
        <v>25568.666666666668</v>
      </c>
      <c r="G161" s="479">
        <f>IF(E161&lt;&gt;"", (SQRT(D161*E161))/300, "")</f>
      </c>
      <c r="H161" s="481">
        <v>60.4</v>
      </c>
      <c r="I161" s="639"/>
      <c r="J161" s="639"/>
      <c r="K161" s="639"/>
      <c r="L161" s="489" t="s">
        <v>836</v>
      </c>
      <c r="M161" s="231">
        <v>45778</v>
      </c>
      <c r="N161" s="223" t="s">
        <v>503</v>
      </c>
      <c r="O161" s="615" t="s">
        <v>1432</v>
      </c>
      <c r="P161" s="259" t="s">
        <v>802</v>
      </c>
      <c r="Q161" s="566" t="s">
        <v>445</v>
      </c>
      <c r="R161" s="228" t="s">
        <v>1433</v>
      </c>
      <c r="S161" s="485">
        <v>593</v>
      </c>
    </row>
    <row x14ac:dyDescent="0.25" r="162" customHeight="1" ht="17.25">
      <c r="A162" s="259" t="s">
        <v>1434</v>
      </c>
      <c r="B162" s="700" t="s">
        <v>983</v>
      </c>
      <c r="C162" s="271" t="s">
        <v>1435</v>
      </c>
      <c r="D162" s="601">
        <v>470</v>
      </c>
      <c r="E162" s="562">
        <v>10000</v>
      </c>
      <c r="F162" s="263">
        <f>IF(E162&lt;&gt;"", ROUNDUP(E162/D162,0),"")</f>
        <v>25568.666666666668</v>
      </c>
      <c r="G162" s="696">
        <f>IF(E162&lt;&gt;"", (SQRT(D162*E162))/300, "")</f>
      </c>
      <c r="H162" s="555">
        <v>87.4</v>
      </c>
      <c r="I162" s="516"/>
      <c r="J162" s="701">
        <v>57.1</v>
      </c>
      <c r="K162" s="516"/>
      <c r="L162" s="534" t="s">
        <v>830</v>
      </c>
      <c r="M162" s="231">
        <v>45748</v>
      </c>
      <c r="N162" s="270" t="s">
        <v>503</v>
      </c>
      <c r="O162" s="271" t="s">
        <v>1436</v>
      </c>
      <c r="P162" s="249" t="s">
        <v>819</v>
      </c>
      <c r="Q162" s="517"/>
      <c r="R162" s="591" t="s">
        <v>1437</v>
      </c>
      <c r="S162" s="485">
        <v>592</v>
      </c>
    </row>
    <row x14ac:dyDescent="0.25" r="163" customHeight="1" ht="17.25">
      <c r="A163" s="259" t="s">
        <v>1438</v>
      </c>
      <c r="B163" s="669" t="s">
        <v>834</v>
      </c>
      <c r="C163" s="505" t="s">
        <v>1439</v>
      </c>
      <c r="D163" s="486">
        <v>14</v>
      </c>
      <c r="E163" s="486">
        <v>10016</v>
      </c>
      <c r="F163" s="263">
        <f>IF(E163&lt;&gt;"", ROUNDUP(E163/D163,0),"")</f>
        <v>25568.666666666668</v>
      </c>
      <c r="G163" s="587">
        <f>IF(E163&lt;&gt;"", (SQRT(D163*E163))/300, "")</f>
      </c>
      <c r="H163" s="702"/>
      <c r="I163" s="703">
        <v>76</v>
      </c>
      <c r="J163" s="704">
        <v>69.3</v>
      </c>
      <c r="K163" s="509"/>
      <c r="L163" s="510" t="s">
        <v>836</v>
      </c>
      <c r="M163" s="231">
        <v>45748</v>
      </c>
      <c r="N163" s="270" t="s">
        <v>503</v>
      </c>
      <c r="O163" s="271" t="s">
        <v>1440</v>
      </c>
      <c r="P163" s="259" t="s">
        <v>819</v>
      </c>
      <c r="Q163" s="272"/>
      <c r="R163" s="259" t="s">
        <v>1441</v>
      </c>
      <c r="S163" s="485">
        <v>591</v>
      </c>
    </row>
    <row x14ac:dyDescent="0.25" r="164" customHeight="1" ht="17.25">
      <c r="A164" s="492" t="s">
        <v>1442</v>
      </c>
      <c r="B164" s="503" t="s">
        <v>1117</v>
      </c>
      <c r="C164" s="495" t="s">
        <v>1443</v>
      </c>
      <c r="D164" s="496">
        <v>9</v>
      </c>
      <c r="E164" s="496">
        <v>3000</v>
      </c>
      <c r="F164" s="263">
        <f>IF(E164&lt;&gt;"", ROUNDUP(E164/D164,0),"")</f>
        <v>25568.666666666668</v>
      </c>
      <c r="G164" s="487">
        <f>IF(E164&lt;&gt;"", (SQRT(D164*E164))/300, "")</f>
      </c>
      <c r="H164" s="705">
        <v>67.92</v>
      </c>
      <c r="I164" s="706">
        <v>25.41</v>
      </c>
      <c r="J164" s="704">
        <v>5.93</v>
      </c>
      <c r="K164" s="579"/>
      <c r="L164" s="510" t="s">
        <v>836</v>
      </c>
      <c r="M164" s="231">
        <v>45748</v>
      </c>
      <c r="N164" s="490" t="s">
        <v>503</v>
      </c>
      <c r="O164" s="495" t="s">
        <v>1444</v>
      </c>
      <c r="P164" s="492" t="s">
        <v>819</v>
      </c>
      <c r="Q164" s="580"/>
      <c r="R164" s="503" t="s">
        <v>1445</v>
      </c>
      <c r="S164" s="485">
        <v>590</v>
      </c>
    </row>
    <row x14ac:dyDescent="0.25" r="165" customHeight="1" ht="17.25">
      <c r="A165" s="492" t="s">
        <v>1446</v>
      </c>
      <c r="B165" s="504" t="s">
        <v>494</v>
      </c>
      <c r="C165" s="535" t="s">
        <v>1447</v>
      </c>
      <c r="D165" s="496">
        <v>235</v>
      </c>
      <c r="E165" s="707">
        <v>36000</v>
      </c>
      <c r="F165" s="536">
        <f>IF(E165&lt;&gt;"", ROUNDUP(E165/D165,0),"")</f>
        <v>25568.666666666668</v>
      </c>
      <c r="G165" s="537">
        <f>IF(E165&lt;&gt;"", (SQRT(D165*E165))/300, "")</f>
      </c>
      <c r="H165" s="480">
        <v>87.81</v>
      </c>
      <c r="I165" s="480">
        <v>68.18</v>
      </c>
      <c r="J165" s="533">
        <v>47.47</v>
      </c>
      <c r="K165" s="509"/>
      <c r="L165" s="510" t="s">
        <v>836</v>
      </c>
      <c r="M165" s="231">
        <v>45748</v>
      </c>
      <c r="N165" s="490" t="s">
        <v>503</v>
      </c>
      <c r="O165" s="495" t="s">
        <v>1448</v>
      </c>
      <c r="P165" s="259" t="s">
        <v>802</v>
      </c>
      <c r="Q165" s="539" t="s">
        <v>445</v>
      </c>
      <c r="R165" s="661" t="s">
        <v>1449</v>
      </c>
      <c r="S165" s="485">
        <v>589</v>
      </c>
    </row>
    <row x14ac:dyDescent="0.25" r="166" customHeight="1" ht="17.25">
      <c r="A166" s="259" t="s">
        <v>1450</v>
      </c>
      <c r="B166" s="504" t="s">
        <v>494</v>
      </c>
      <c r="C166" s="271" t="s">
        <v>1451</v>
      </c>
      <c r="D166" s="512">
        <v>0.6</v>
      </c>
      <c r="E166" s="707">
        <v>36000</v>
      </c>
      <c r="F166" s="263">
        <f>IF(E166&lt;&gt;"", ROUNDUP(E166/D166,0),"")</f>
        <v>25568.666666666668</v>
      </c>
      <c r="G166" s="568">
        <f>IF(E166&lt;&gt;"", (SQRT(D166*E166))/300, "")</f>
      </c>
      <c r="H166" s="708"/>
      <c r="I166" s="679"/>
      <c r="J166" s="709"/>
      <c r="K166" s="516"/>
      <c r="L166" s="268" t="s">
        <v>836</v>
      </c>
      <c r="M166" s="269">
        <v>45748</v>
      </c>
      <c r="N166" s="270" t="s">
        <v>503</v>
      </c>
      <c r="O166" s="271" t="s">
        <v>1448</v>
      </c>
      <c r="P166" s="259" t="s">
        <v>819</v>
      </c>
      <c r="Q166" s="272" t="s">
        <v>445</v>
      </c>
      <c r="R166" s="259" t="s">
        <v>1452</v>
      </c>
      <c r="S166" s="485">
        <v>588</v>
      </c>
    </row>
    <row x14ac:dyDescent="0.25" r="167" customHeight="1" ht="17.25">
      <c r="A167" s="228" t="s">
        <v>1453</v>
      </c>
      <c r="B167" s="462" t="s">
        <v>1039</v>
      </c>
      <c r="C167" s="491" t="s">
        <v>1454</v>
      </c>
      <c r="D167" s="647"/>
      <c r="E167" s="647"/>
      <c r="F167" s="230">
        <f>IF(E167&lt;&gt;"", ROUNDUP(E167/D167,0),"")</f>
        <v>25568.666666666668</v>
      </c>
      <c r="G167" s="710">
        <f>IF(E167&lt;&gt;"", (SQRT(D167*E167))/300, "")</f>
      </c>
      <c r="H167" s="284"/>
      <c r="I167" s="488"/>
      <c r="J167" s="711">
        <v>69</v>
      </c>
      <c r="K167" s="509"/>
      <c r="L167" s="510" t="s">
        <v>836</v>
      </c>
      <c r="M167" s="231">
        <v>45748</v>
      </c>
      <c r="N167" s="223" t="s">
        <v>503</v>
      </c>
      <c r="O167" s="608" t="s">
        <v>1455</v>
      </c>
      <c r="P167" s="640" t="s">
        <v>802</v>
      </c>
      <c r="Q167" s="566" t="s">
        <v>445</v>
      </c>
      <c r="R167" s="609" t="s">
        <v>1456</v>
      </c>
      <c r="S167" s="485">
        <v>587</v>
      </c>
    </row>
    <row x14ac:dyDescent="0.25" r="168" customHeight="1" ht="17.25">
      <c r="A168" s="228" t="s">
        <v>1457</v>
      </c>
      <c r="B168" s="462" t="s">
        <v>1039</v>
      </c>
      <c r="C168" s="491" t="s">
        <v>1458</v>
      </c>
      <c r="D168" s="647"/>
      <c r="E168" s="647"/>
      <c r="F168" s="230">
        <f>IF(E168&lt;&gt;"", ROUNDUP(E168/D168,0),"")</f>
        <v>25568.666666666668</v>
      </c>
      <c r="G168" s="710">
        <f>IF(E168&lt;&gt;"", (SQRT(D168*E168))/300, "")</f>
      </c>
      <c r="H168" s="712">
        <v>90</v>
      </c>
      <c r="I168" s="488"/>
      <c r="J168" s="284"/>
      <c r="K168" s="509"/>
      <c r="L168" s="510" t="s">
        <v>836</v>
      </c>
      <c r="M168" s="231">
        <v>45748</v>
      </c>
      <c r="N168" s="223" t="s">
        <v>503</v>
      </c>
      <c r="O168" s="608" t="s">
        <v>1455</v>
      </c>
      <c r="P168" s="640" t="s">
        <v>802</v>
      </c>
      <c r="Q168" s="566"/>
      <c r="R168" s="609" t="s">
        <v>1456</v>
      </c>
      <c r="S168" s="485">
        <v>586</v>
      </c>
    </row>
    <row x14ac:dyDescent="0.25" r="169" customHeight="1" ht="17.25">
      <c r="A169" s="492" t="s">
        <v>1459</v>
      </c>
      <c r="B169" s="669" t="s">
        <v>834</v>
      </c>
      <c r="C169" s="501" t="s">
        <v>1460</v>
      </c>
      <c r="D169" s="23">
        <v>685</v>
      </c>
      <c r="E169" s="23">
        <v>14800</v>
      </c>
      <c r="F169" s="263">
        <f>IF(E169&lt;&gt;"", ROUNDUP(E169/D169,0),"")</f>
        <v>25568.666666666668</v>
      </c>
      <c r="G169" s="664">
        <f>IF(E169&lt;&gt;"", (SQRT(D169*E169))/300, "")</f>
      </c>
      <c r="H169" s="488">
        <v>86.8</v>
      </c>
      <c r="I169" s="579"/>
      <c r="J169" s="555"/>
      <c r="K169" s="679"/>
      <c r="L169" s="510" t="s">
        <v>836</v>
      </c>
      <c r="M169" s="231">
        <v>45748</v>
      </c>
      <c r="N169" s="490" t="s">
        <v>503</v>
      </c>
      <c r="O169" s="495" t="s">
        <v>1461</v>
      </c>
      <c r="P169" s="492" t="s">
        <v>802</v>
      </c>
      <c r="Q169" s="583" t="s">
        <v>445</v>
      </c>
      <c r="R169" s="503" t="s">
        <v>1462</v>
      </c>
      <c r="S169" s="485">
        <v>585</v>
      </c>
    </row>
    <row x14ac:dyDescent="0.25" r="170" customHeight="1" ht="17.25">
      <c r="A170" s="492" t="s">
        <v>1463</v>
      </c>
      <c r="B170" s="577" t="s">
        <v>828</v>
      </c>
      <c r="C170" s="501" t="s">
        <v>1464</v>
      </c>
      <c r="D170" s="573">
        <v>80</v>
      </c>
      <c r="E170" s="573">
        <v>20000</v>
      </c>
      <c r="F170" s="263">
        <f>IF(E170&lt;&gt;"", ROUNDUP(E170/D170,0),"")</f>
        <v>25568.666666666668</v>
      </c>
      <c r="G170" s="664">
        <f>IF(E170&lt;&gt;"", (SQRT(D170*E170))/300, "")</f>
      </c>
      <c r="H170" s="579"/>
      <c r="I170" s="579"/>
      <c r="J170" s="555">
        <v>78.3</v>
      </c>
      <c r="K170" s="679">
        <v>12.1</v>
      </c>
      <c r="L170" s="510" t="s">
        <v>836</v>
      </c>
      <c r="M170" s="231">
        <v>45748</v>
      </c>
      <c r="N170" s="490" t="s">
        <v>503</v>
      </c>
      <c r="O170" s="495" t="s">
        <v>1465</v>
      </c>
      <c r="P170" s="582" t="s">
        <v>802</v>
      </c>
      <c r="Q170" s="583" t="s">
        <v>445</v>
      </c>
      <c r="R170" s="584" t="s">
        <v>1466</v>
      </c>
      <c r="S170" s="485">
        <v>584</v>
      </c>
    </row>
    <row x14ac:dyDescent="0.25" r="171" customHeight="1" ht="17.25">
      <c r="A171" s="259" t="s">
        <v>265</v>
      </c>
      <c r="B171" s="600" t="s">
        <v>490</v>
      </c>
      <c r="C171" s="271" t="s">
        <v>1467</v>
      </c>
      <c r="D171" s="601">
        <v>200</v>
      </c>
      <c r="E171" s="601">
        <v>40000</v>
      </c>
      <c r="F171" s="263">
        <f>IF(E171&lt;&gt;"", ROUNDUP(E171/D171,0),"")</f>
        <v>25568.666666666668</v>
      </c>
      <c r="G171" s="693">
        <f>IF(E171&lt;&gt;"", (SQRT(D171*E171))/300, "")</f>
      </c>
      <c r="H171" s="621">
        <v>88</v>
      </c>
      <c r="I171" s="516"/>
      <c r="J171" s="694">
        <v>81.4</v>
      </c>
      <c r="K171" s="481">
        <v>14.28</v>
      </c>
      <c r="L171" s="268" t="s">
        <v>836</v>
      </c>
      <c r="M171" s="231">
        <v>45748</v>
      </c>
      <c r="N171" s="695" t="s">
        <v>503</v>
      </c>
      <c r="O171" s="271" t="s">
        <v>1468</v>
      </c>
      <c r="P171" s="249" t="s">
        <v>802</v>
      </c>
      <c r="Q171" s="272" t="s">
        <v>803</v>
      </c>
      <c r="R171" s="591" t="s">
        <v>1469</v>
      </c>
      <c r="S171" s="485">
        <v>583</v>
      </c>
    </row>
    <row x14ac:dyDescent="0.25" r="172" customHeight="1" ht="17.25">
      <c r="A172" s="259" t="s">
        <v>1470</v>
      </c>
      <c r="B172" s="600" t="s">
        <v>490</v>
      </c>
      <c r="C172" s="271" t="s">
        <v>1471</v>
      </c>
      <c r="D172" s="226">
        <v>600</v>
      </c>
      <c r="E172" s="226">
        <v>100000</v>
      </c>
      <c r="F172" s="263">
        <f>IF(E172&lt;&gt;"", ROUNDUP(E172/D172,0),"")</f>
        <v>25568.666666666668</v>
      </c>
      <c r="G172" s="693">
        <f>IF(E172&lt;&gt;"", (SQRT(D172*E172))/300, "")</f>
      </c>
      <c r="H172" s="488">
        <v>91.2</v>
      </c>
      <c r="I172" s="516"/>
      <c r="J172" s="694">
        <v>83.3</v>
      </c>
      <c r="K172" s="481">
        <v>24.9</v>
      </c>
      <c r="L172" s="268" t="s">
        <v>836</v>
      </c>
      <c r="M172" s="231">
        <v>45748</v>
      </c>
      <c r="N172" s="695" t="s">
        <v>503</v>
      </c>
      <c r="O172" s="271" t="s">
        <v>1468</v>
      </c>
      <c r="P172" s="249" t="s">
        <v>802</v>
      </c>
      <c r="Q172" s="272" t="s">
        <v>803</v>
      </c>
      <c r="R172" s="560" t="s">
        <v>1472</v>
      </c>
      <c r="S172" s="485">
        <v>582</v>
      </c>
    </row>
    <row x14ac:dyDescent="0.25" r="173" customHeight="1" ht="17.25">
      <c r="A173" s="259" t="s">
        <v>1473</v>
      </c>
      <c r="B173" s="669" t="s">
        <v>834</v>
      </c>
      <c r="C173" s="511" t="s">
        <v>1474</v>
      </c>
      <c r="D173" s="486">
        <v>2</v>
      </c>
      <c r="E173" s="486">
        <v>4000</v>
      </c>
      <c r="F173" s="263">
        <f>IF(E173&lt;&gt;"", ROUNDUP(E173/D173,0),"")</f>
        <v>25568.666666666668</v>
      </c>
      <c r="G173" s="713">
        <f>IF(E173&lt;&gt;"", (SQRT(D173*E173))/300, "")</f>
      </c>
      <c r="H173" s="481">
        <v>53.17</v>
      </c>
      <c r="I173" s="516"/>
      <c r="J173" s="516"/>
      <c r="K173" s="516"/>
      <c r="L173" s="268" t="s">
        <v>836</v>
      </c>
      <c r="M173" s="231">
        <v>45748</v>
      </c>
      <c r="N173" s="270" t="s">
        <v>503</v>
      </c>
      <c r="O173" s="271" t="s">
        <v>1475</v>
      </c>
      <c r="P173" s="259" t="s">
        <v>819</v>
      </c>
      <c r="Q173" s="517"/>
      <c r="R173" s="249" t="s">
        <v>1476</v>
      </c>
      <c r="S173" s="485">
        <v>581</v>
      </c>
    </row>
    <row x14ac:dyDescent="0.25" r="174" customHeight="1" ht="17.25">
      <c r="A174" s="228" t="s">
        <v>1477</v>
      </c>
      <c r="B174" s="21" t="s">
        <v>1117</v>
      </c>
      <c r="C174" s="608" t="s">
        <v>1478</v>
      </c>
      <c r="D174" s="23">
        <v>8</v>
      </c>
      <c r="E174" s="526">
        <v>12000</v>
      </c>
      <c r="F174" s="230">
        <f>IF(E174&lt;&gt;"", ROUNDUP(E174/D174,0),"")</f>
        <v>25568.666666666668</v>
      </c>
      <c r="G174" s="479">
        <f>IF(E174&lt;&gt;"", (SQRT(D174*E174))/300, "")</f>
      </c>
      <c r="H174" s="481">
        <v>65.54</v>
      </c>
      <c r="I174" s="639"/>
      <c r="J174" s="639"/>
      <c r="K174" s="639"/>
      <c r="L174" s="489" t="s">
        <v>836</v>
      </c>
      <c r="M174" s="231">
        <v>45748</v>
      </c>
      <c r="N174" s="223" t="s">
        <v>503</v>
      </c>
      <c r="O174" s="608" t="s">
        <v>1479</v>
      </c>
      <c r="P174" s="228" t="s">
        <v>819</v>
      </c>
      <c r="Q174" s="566" t="s">
        <v>445</v>
      </c>
      <c r="R174" s="228" t="s">
        <v>1480</v>
      </c>
      <c r="S174" s="485">
        <v>580</v>
      </c>
    </row>
    <row x14ac:dyDescent="0.25" r="175" customHeight="1" ht="17.25">
      <c r="A175" s="228" t="s">
        <v>1481</v>
      </c>
      <c r="B175" s="462" t="s">
        <v>1482</v>
      </c>
      <c r="C175" s="491" t="s">
        <v>1483</v>
      </c>
      <c r="D175" s="477">
        <v>32</v>
      </c>
      <c r="E175" s="477">
        <v>15000</v>
      </c>
      <c r="F175" s="230">
        <f>IF(E175&lt;&gt;"", ROUNDUP(E175/D175,0),"")</f>
        <v>25568.666666666668</v>
      </c>
      <c r="G175" s="666">
        <f>IF(E175&lt;&gt;"", (SQRT(D175*E175))/300, "")</f>
      </c>
      <c r="H175" s="480"/>
      <c r="I175" s="480"/>
      <c r="J175" s="480">
        <v>66.1</v>
      </c>
      <c r="K175" s="481"/>
      <c r="L175" s="489" t="s">
        <v>836</v>
      </c>
      <c r="M175" s="231">
        <v>45748</v>
      </c>
      <c r="N175" s="490" t="s">
        <v>503</v>
      </c>
      <c r="O175" s="491" t="s">
        <v>1484</v>
      </c>
      <c r="P175" s="259" t="s">
        <v>819</v>
      </c>
      <c r="Q175" s="566" t="s">
        <v>445</v>
      </c>
      <c r="R175" s="228" t="s">
        <v>1485</v>
      </c>
      <c r="S175" s="485">
        <v>579</v>
      </c>
    </row>
    <row x14ac:dyDescent="0.25" r="176" customHeight="1" ht="17.25">
      <c r="A176" s="228" t="s">
        <v>1486</v>
      </c>
      <c r="B176" s="21" t="s">
        <v>1487</v>
      </c>
      <c r="C176" s="476" t="s">
        <v>1488</v>
      </c>
      <c r="D176" s="477">
        <v>70</v>
      </c>
      <c r="E176" s="477">
        <v>15000</v>
      </c>
      <c r="F176" s="230">
        <f>IF(E176&lt;&gt;"", ROUNDUP(E176/D176,0),"")</f>
        <v>25568.666666666668</v>
      </c>
      <c r="G176" s="479">
        <f>IF(E176&lt;&gt;"", (SQRT(D176*E176))/300, "")</f>
      </c>
      <c r="H176" s="481"/>
      <c r="I176" s="655">
        <v>72.04</v>
      </c>
      <c r="J176" s="488"/>
      <c r="K176" s="481"/>
      <c r="L176" s="489" t="s">
        <v>836</v>
      </c>
      <c r="M176" s="231">
        <v>45748</v>
      </c>
      <c r="N176" s="689" t="s">
        <v>503</v>
      </c>
      <c r="O176" s="501" t="s">
        <v>1489</v>
      </c>
      <c r="P176" s="492" t="s">
        <v>819</v>
      </c>
      <c r="Q176" s="484" t="s">
        <v>445</v>
      </c>
      <c r="R176" s="21" t="s">
        <v>1490</v>
      </c>
      <c r="S176" s="485">
        <v>578</v>
      </c>
    </row>
    <row x14ac:dyDescent="0.25" r="177" customHeight="1" ht="17.25">
      <c r="A177" s="228" t="s">
        <v>1491</v>
      </c>
      <c r="B177" s="462" t="s">
        <v>490</v>
      </c>
      <c r="C177" s="491" t="s">
        <v>1492</v>
      </c>
      <c r="D177" s="226">
        <v>300</v>
      </c>
      <c r="E177" s="478">
        <v>20000</v>
      </c>
      <c r="F177" s="230">
        <f>IF(E177&lt;&gt;"", ROUNDUP(E177/D177,0),"")</f>
        <v>25568.666666666668</v>
      </c>
      <c r="G177" s="479">
        <f>IF(E177&lt;&gt;"", (SQRT(D177*E177))/300, "")</f>
      </c>
      <c r="H177" s="481">
        <v>90.2</v>
      </c>
      <c r="I177" s="481"/>
      <c r="J177" s="481">
        <v>66.3</v>
      </c>
      <c r="K177" s="481">
        <v>5.4</v>
      </c>
      <c r="L177" s="489" t="s">
        <v>836</v>
      </c>
      <c r="M177" s="231">
        <v>45748</v>
      </c>
      <c r="N177" s="223" t="s">
        <v>503</v>
      </c>
      <c r="O177" s="491" t="s">
        <v>1493</v>
      </c>
      <c r="P177" s="21" t="s">
        <v>802</v>
      </c>
      <c r="Q177" s="484" t="s">
        <v>808</v>
      </c>
      <c r="R177" s="21" t="s">
        <v>1494</v>
      </c>
      <c r="S177" s="485">
        <v>577</v>
      </c>
    </row>
    <row x14ac:dyDescent="0.25" r="178" customHeight="1" ht="17.25">
      <c r="A178" s="259" t="s">
        <v>1495</v>
      </c>
      <c r="B178" s="577" t="s">
        <v>828</v>
      </c>
      <c r="C178" s="271" t="s">
        <v>1496</v>
      </c>
      <c r="D178" s="512">
        <v>0.4</v>
      </c>
      <c r="E178" s="562">
        <v>2000</v>
      </c>
      <c r="F178" s="263">
        <f>IF(E178&lt;&gt;"", ROUNDUP(E178/D178,0),"")</f>
        <v>25568.666666666668</v>
      </c>
      <c r="G178" s="664">
        <f>IF(E178&lt;&gt;"", (SQRT(D178*E178))/300, "")</f>
      </c>
      <c r="H178" s="516"/>
      <c r="I178" s="516"/>
      <c r="J178" s="558"/>
      <c r="K178" s="714"/>
      <c r="L178" s="268" t="s">
        <v>836</v>
      </c>
      <c r="M178" s="231">
        <v>45748</v>
      </c>
      <c r="N178" s="270" t="s">
        <v>503</v>
      </c>
      <c r="O178" s="511" t="s">
        <v>1496</v>
      </c>
      <c r="P178" s="259" t="s">
        <v>819</v>
      </c>
      <c r="Q178" s="517"/>
      <c r="R178" s="249" t="s">
        <v>1497</v>
      </c>
      <c r="S178" s="485">
        <v>576</v>
      </c>
    </row>
    <row x14ac:dyDescent="0.25" r="179" customHeight="1" ht="17.25">
      <c r="A179" s="228" t="s">
        <v>1498</v>
      </c>
      <c r="B179" s="21" t="s">
        <v>958</v>
      </c>
      <c r="C179" s="677" t="s">
        <v>1499</v>
      </c>
      <c r="D179" s="477">
        <v>5</v>
      </c>
      <c r="E179" s="477">
        <v>4500</v>
      </c>
      <c r="F179" s="715">
        <f>IF(E179&lt;&gt;"", ROUNDUP(E179/D179,0),"")</f>
        <v>25568.666666666668</v>
      </c>
      <c r="G179" s="487">
        <f>IF(E179&lt;&gt;"", (SQRT(D179*E179))/300, "")</f>
      </c>
      <c r="H179" s="480">
        <v>61.3</v>
      </c>
      <c r="I179" s="480">
        <v>29.19</v>
      </c>
      <c r="J179" s="480">
        <v>28.36</v>
      </c>
      <c r="K179" s="481"/>
      <c r="L179" s="268" t="s">
        <v>836</v>
      </c>
      <c r="M179" s="231">
        <v>45748</v>
      </c>
      <c r="N179" s="490" t="s">
        <v>503</v>
      </c>
      <c r="O179" s="615" t="s">
        <v>1499</v>
      </c>
      <c r="P179" s="259" t="s">
        <v>819</v>
      </c>
      <c r="Q179" s="566"/>
      <c r="R179" s="228" t="s">
        <v>1500</v>
      </c>
      <c r="S179" s="485">
        <v>575</v>
      </c>
    </row>
    <row x14ac:dyDescent="0.25" r="180" customHeight="1" ht="17.25">
      <c r="A180" s="259" t="s">
        <v>1501</v>
      </c>
      <c r="B180" s="504" t="s">
        <v>1502</v>
      </c>
      <c r="C180" s="271" t="s">
        <v>1503</v>
      </c>
      <c r="D180" s="486">
        <v>200</v>
      </c>
      <c r="E180" s="562">
        <v>15000</v>
      </c>
      <c r="F180" s="263">
        <f>IF(E180&lt;&gt;"", ROUNDUP(E180/D180,0),"")</f>
        <v>25568.666666666668</v>
      </c>
      <c r="G180" s="605">
        <f>IF(E180&lt;&gt;"", (SQRT(D180*E180))/300, "")</f>
      </c>
      <c r="H180" s="516"/>
      <c r="I180" s="585">
        <v>87</v>
      </c>
      <c r="J180" s="481">
        <v>77.3</v>
      </c>
      <c r="K180" s="516"/>
      <c r="L180" s="268" t="s">
        <v>836</v>
      </c>
      <c r="M180" s="231">
        <v>45748</v>
      </c>
      <c r="N180" s="270" t="s">
        <v>503</v>
      </c>
      <c r="O180" s="271" t="s">
        <v>1503</v>
      </c>
      <c r="P180" s="21" t="s">
        <v>802</v>
      </c>
      <c r="Q180" s="566" t="s">
        <v>445</v>
      </c>
      <c r="R180" s="259" t="s">
        <v>1504</v>
      </c>
      <c r="S180" s="485">
        <v>574</v>
      </c>
    </row>
    <row x14ac:dyDescent="0.25" r="181" customHeight="1" ht="17.25">
      <c r="A181" s="259" t="s">
        <v>1505</v>
      </c>
      <c r="B181" s="249" t="s">
        <v>1423</v>
      </c>
      <c r="C181" s="271" t="s">
        <v>1506</v>
      </c>
      <c r="D181" s="486">
        <v>7</v>
      </c>
      <c r="E181" s="486">
        <v>580</v>
      </c>
      <c r="F181" s="263">
        <f>IF(E181&lt;&gt;"", ROUNDUP(E181/D181,0),"")</f>
        <v>25568.666666666668</v>
      </c>
      <c r="G181" s="716">
        <f>IF(E181&lt;&gt;"", (SQRT(D181*E181))/300, "")</f>
      </c>
      <c r="H181" s="481">
        <v>69.5</v>
      </c>
      <c r="I181" s="481">
        <v>43.3</v>
      </c>
      <c r="J181" s="585">
        <v>33</v>
      </c>
      <c r="K181" s="516"/>
      <c r="L181" s="534" t="s">
        <v>830</v>
      </c>
      <c r="M181" s="231">
        <v>45748</v>
      </c>
      <c r="N181" s="270" t="s">
        <v>503</v>
      </c>
      <c r="O181" s="271" t="s">
        <v>1507</v>
      </c>
      <c r="P181" s="259" t="s">
        <v>819</v>
      </c>
      <c r="Q181" s="566" t="s">
        <v>901</v>
      </c>
      <c r="R181" s="249" t="s">
        <v>1508</v>
      </c>
      <c r="S181" s="485">
        <v>573</v>
      </c>
    </row>
    <row x14ac:dyDescent="0.25" r="182" customHeight="1" ht="17.25">
      <c r="A182" s="228" t="s">
        <v>1509</v>
      </c>
      <c r="B182" s="494" t="s">
        <v>474</v>
      </c>
      <c r="C182" s="677" t="s">
        <v>1510</v>
      </c>
      <c r="D182" s="477">
        <v>8</v>
      </c>
      <c r="E182" s="477">
        <v>15000</v>
      </c>
      <c r="F182" s="715">
        <f>IF(E182&lt;&gt;"", ROUNDUP(E182/D182,0),"")</f>
        <v>25568.666666666668</v>
      </c>
      <c r="G182" s="487">
        <f>IF(E182&lt;&gt;"", (SQRT(D182*E182))/300, "")</f>
      </c>
      <c r="H182" s="480">
        <v>67.31</v>
      </c>
      <c r="I182" s="480">
        <v>43.28</v>
      </c>
      <c r="J182" s="480"/>
      <c r="K182" s="481"/>
      <c r="L182" s="268" t="s">
        <v>836</v>
      </c>
      <c r="M182" s="231">
        <v>45748</v>
      </c>
      <c r="N182" s="490" t="s">
        <v>503</v>
      </c>
      <c r="O182" s="615" t="s">
        <v>1511</v>
      </c>
      <c r="P182" s="259" t="s">
        <v>819</v>
      </c>
      <c r="Q182" s="566"/>
      <c r="R182" s="228" t="s">
        <v>1512</v>
      </c>
      <c r="S182" s="485">
        <v>572</v>
      </c>
    </row>
    <row x14ac:dyDescent="0.25" r="183" customHeight="1" ht="17.25">
      <c r="A183" s="259" t="s">
        <v>1513</v>
      </c>
      <c r="B183" s="249" t="s">
        <v>1514</v>
      </c>
      <c r="C183" s="271" t="s">
        <v>1515</v>
      </c>
      <c r="D183" s="486">
        <v>14</v>
      </c>
      <c r="E183" s="562">
        <v>14800</v>
      </c>
      <c r="F183" s="263">
        <f>IF(E183&lt;&gt;"", ROUNDUP(E183/D183,0),"")</f>
        <v>25568.666666666668</v>
      </c>
      <c r="G183" s="716">
        <f>IF(E183&lt;&gt;"", (SQRT(D183*E183))/300, "")</f>
      </c>
      <c r="H183" s="516"/>
      <c r="I183" s="516"/>
      <c r="J183" s="516"/>
      <c r="K183" s="516"/>
      <c r="L183" s="534" t="s">
        <v>830</v>
      </c>
      <c r="M183" s="231">
        <v>45748</v>
      </c>
      <c r="N183" s="270" t="s">
        <v>503</v>
      </c>
      <c r="O183" s="271" t="s">
        <v>1515</v>
      </c>
      <c r="P183" s="259" t="s">
        <v>819</v>
      </c>
      <c r="Q183" s="566" t="s">
        <v>445</v>
      </c>
      <c r="R183" s="249" t="s">
        <v>1516</v>
      </c>
      <c r="S183" s="485">
        <v>571</v>
      </c>
    </row>
    <row x14ac:dyDescent="0.25" r="184" customHeight="1" ht="17.25">
      <c r="A184" s="228" t="s">
        <v>1517</v>
      </c>
      <c r="B184" s="21" t="s">
        <v>1423</v>
      </c>
      <c r="C184" s="608" t="s">
        <v>1518</v>
      </c>
      <c r="D184" s="477">
        <v>135</v>
      </c>
      <c r="E184" s="477">
        <v>13200</v>
      </c>
      <c r="F184" s="230">
        <f>IF(E184&lt;&gt;"", ROUNDUP(E184/D184,0),"")</f>
        <v>25568.666666666668</v>
      </c>
      <c r="G184" s="479">
        <f>IF(E184&lt;&gt;"", (SQRT(D184*E184))/300, "")</f>
      </c>
      <c r="H184" s="481">
        <v>85.4</v>
      </c>
      <c r="I184" s="481">
        <v>84.4</v>
      </c>
      <c r="J184" s="481">
        <v>74.2</v>
      </c>
      <c r="K184" s="639"/>
      <c r="L184" s="489" t="s">
        <v>836</v>
      </c>
      <c r="M184" s="231">
        <v>45748</v>
      </c>
      <c r="N184" s="223" t="s">
        <v>503</v>
      </c>
      <c r="O184" s="608" t="s">
        <v>1519</v>
      </c>
      <c r="P184" s="228" t="s">
        <v>819</v>
      </c>
      <c r="Q184" s="566"/>
      <c r="R184" s="21" t="s">
        <v>1520</v>
      </c>
      <c r="S184" s="485">
        <v>570</v>
      </c>
    </row>
    <row x14ac:dyDescent="0.25" r="185" customHeight="1" ht="17.25">
      <c r="A185" s="492" t="s">
        <v>1521</v>
      </c>
      <c r="B185" s="494" t="s">
        <v>474</v>
      </c>
      <c r="C185" s="501" t="s">
        <v>1522</v>
      </c>
      <c r="D185" s="496">
        <v>56</v>
      </c>
      <c r="E185" s="496">
        <v>20000</v>
      </c>
      <c r="F185" s="263">
        <f>IF(E185&lt;&gt;"", ROUNDUP(E185/D185,0),"")</f>
        <v>25568.666666666668</v>
      </c>
      <c r="G185" s="664">
        <f>IF(E185&lt;&gt;"", (SQRT(D185*E185))/300, "")</f>
      </c>
      <c r="H185" s="717">
        <v>84.2</v>
      </c>
      <c r="I185" s="717">
        <v>60.5</v>
      </c>
      <c r="J185" s="481"/>
      <c r="K185" s="579"/>
      <c r="L185" s="510" t="s">
        <v>836</v>
      </c>
      <c r="M185" s="718">
        <v>45748</v>
      </c>
      <c r="N185" s="490" t="s">
        <v>503</v>
      </c>
      <c r="O185" s="495" t="s">
        <v>1523</v>
      </c>
      <c r="P185" s="492" t="s">
        <v>819</v>
      </c>
      <c r="Q185" s="502" t="s">
        <v>445</v>
      </c>
      <c r="R185" s="613" t="s">
        <v>1524</v>
      </c>
      <c r="S185" s="485">
        <v>569</v>
      </c>
    </row>
    <row x14ac:dyDescent="0.25" r="186" customHeight="1" ht="17.25">
      <c r="A186" s="592" t="s">
        <v>1525</v>
      </c>
      <c r="B186" s="494" t="s">
        <v>474</v>
      </c>
      <c r="C186" s="629" t="s">
        <v>1526</v>
      </c>
      <c r="D186" s="631">
        <v>253</v>
      </c>
      <c r="E186" s="486">
        <v>15600</v>
      </c>
      <c r="F186" s="263">
        <f>IF(E186&lt;&gt;"", ROUNDUP(E186/D186,0),"")</f>
        <v>25568.666666666668</v>
      </c>
      <c r="G186" s="716">
        <f>IF(E186&lt;&gt;"", (SQRT(D186*E186))/300, "")</f>
      </c>
      <c r="H186" s="719"/>
      <c r="I186" s="481">
        <v>76.01</v>
      </c>
      <c r="J186" s="481"/>
      <c r="K186" s="481"/>
      <c r="L186" s="510" t="s">
        <v>836</v>
      </c>
      <c r="M186" s="231">
        <v>45748</v>
      </c>
      <c r="N186" s="689" t="s">
        <v>503</v>
      </c>
      <c r="O186" s="690" t="s">
        <v>1527</v>
      </c>
      <c r="P186" s="592" t="s">
        <v>819</v>
      </c>
      <c r="Q186" s="566" t="s">
        <v>445</v>
      </c>
      <c r="R186" s="228" t="s">
        <v>1528</v>
      </c>
      <c r="S186" s="485">
        <v>568</v>
      </c>
    </row>
    <row x14ac:dyDescent="0.25" r="187" customHeight="1" ht="17.25">
      <c r="A187" s="228" t="s">
        <v>1529</v>
      </c>
      <c r="B187" s="462" t="s">
        <v>498</v>
      </c>
      <c r="C187" s="720" t="s">
        <v>1530</v>
      </c>
      <c r="D187" s="477">
        <v>2000</v>
      </c>
      <c r="E187" s="477">
        <v>30000</v>
      </c>
      <c r="F187" s="230">
        <f>IF(E187&lt;&gt;"", ROUNDUP(E187/D187,0),"")</f>
        <v>25568.666666666668</v>
      </c>
      <c r="G187" s="479">
        <f>IF(E187&lt;&gt;"", (SQRT(D187*E187))/300, "")</f>
      </c>
      <c r="H187" s="481"/>
      <c r="I187" s="481">
        <v>82.2</v>
      </c>
      <c r="J187" s="481">
        <v>73.7</v>
      </c>
      <c r="K187" s="481"/>
      <c r="L187" s="510" t="s">
        <v>836</v>
      </c>
      <c r="M187" s="231">
        <v>45748</v>
      </c>
      <c r="N187" s="490" t="s">
        <v>470</v>
      </c>
      <c r="O187" s="491" t="s">
        <v>1531</v>
      </c>
      <c r="P187" s="21" t="s">
        <v>802</v>
      </c>
      <c r="Q187" s="484" t="s">
        <v>808</v>
      </c>
      <c r="R187" s="21" t="s">
        <v>1532</v>
      </c>
      <c r="S187" s="485">
        <v>567</v>
      </c>
    </row>
    <row x14ac:dyDescent="0.25" r="188" customHeight="1" ht="17.25">
      <c r="A188" s="228" t="s">
        <v>1533</v>
      </c>
      <c r="B188" s="462" t="s">
        <v>498</v>
      </c>
      <c r="C188" s="476" t="s">
        <v>1531</v>
      </c>
      <c r="D188" s="477">
        <v>400</v>
      </c>
      <c r="E188" s="721">
        <v>22000</v>
      </c>
      <c r="F188" s="230">
        <f>IF(E188&lt;&gt;"", ROUNDUP(E188/D188,0),"")</f>
        <v>25568.666666666668</v>
      </c>
      <c r="G188" s="479">
        <f>IF(E188&lt;&gt;"", (SQRT(D188*E188))/300, "")</f>
      </c>
      <c r="H188" s="481"/>
      <c r="I188" s="481">
        <v>80.5</v>
      </c>
      <c r="J188" s="481">
        <v>69.8</v>
      </c>
      <c r="K188" s="481"/>
      <c r="L188" s="510" t="s">
        <v>836</v>
      </c>
      <c r="M188" s="231">
        <v>45748</v>
      </c>
      <c r="N188" s="223" t="s">
        <v>503</v>
      </c>
      <c r="O188" s="491" t="s">
        <v>1531</v>
      </c>
      <c r="P188" s="21" t="s">
        <v>802</v>
      </c>
      <c r="Q188" s="484" t="s">
        <v>808</v>
      </c>
      <c r="R188" s="21" t="s">
        <v>1534</v>
      </c>
      <c r="S188" s="485">
        <v>566</v>
      </c>
    </row>
    <row x14ac:dyDescent="0.25" r="189" customHeight="1" ht="17.25">
      <c r="A189" s="492" t="s">
        <v>1535</v>
      </c>
      <c r="B189" s="452" t="s">
        <v>498</v>
      </c>
      <c r="C189" s="578" t="s">
        <v>1531</v>
      </c>
      <c r="D189" s="496">
        <v>109</v>
      </c>
      <c r="E189" s="722">
        <v>40000</v>
      </c>
      <c r="F189" s="263">
        <f>IF(E189&lt;&gt;"", ROUNDUP(E189/D189,0),"")</f>
        <v>25568.666666666668</v>
      </c>
      <c r="G189" s="648">
        <f>IF(E189&lt;&gt;"", (SQRT(D189*E189))/300, "")</f>
      </c>
      <c r="H189" s="579"/>
      <c r="I189" s="657"/>
      <c r="J189" s="674"/>
      <c r="K189" s="579"/>
      <c r="L189" s="510" t="s">
        <v>836</v>
      </c>
      <c r="M189" s="718">
        <v>45748</v>
      </c>
      <c r="N189" s="490" t="s">
        <v>503</v>
      </c>
      <c r="O189" s="495" t="s">
        <v>1531</v>
      </c>
      <c r="P189" s="503" t="s">
        <v>802</v>
      </c>
      <c r="Q189" s="583"/>
      <c r="R189" s="503" t="s">
        <v>1536</v>
      </c>
      <c r="S189" s="485">
        <v>565</v>
      </c>
    </row>
    <row x14ac:dyDescent="0.25" r="190" customHeight="1" ht="17.25">
      <c r="A190" s="259" t="s">
        <v>1537</v>
      </c>
      <c r="B190" s="577" t="s">
        <v>828</v>
      </c>
      <c r="C190" s="271" t="s">
        <v>1538</v>
      </c>
      <c r="D190" s="562">
        <v>400</v>
      </c>
      <c r="E190" s="562">
        <v>20000</v>
      </c>
      <c r="F190" s="263">
        <f>IF(E190&lt;&gt;"", ROUNDUP(E190/D190,0),"")</f>
        <v>25568.666666666668</v>
      </c>
      <c r="G190" s="664">
        <f>IF(E190&lt;&gt;"", (SQRT(D190*E190))/300, "")</f>
      </c>
      <c r="H190" s="516"/>
      <c r="I190" s="516"/>
      <c r="J190" s="558"/>
      <c r="K190" s="714"/>
      <c r="L190" s="268" t="s">
        <v>836</v>
      </c>
      <c r="M190" s="231">
        <v>45748</v>
      </c>
      <c r="N190" s="270" t="s">
        <v>503</v>
      </c>
      <c r="O190" s="271" t="s">
        <v>1538</v>
      </c>
      <c r="P190" s="723" t="s">
        <v>802</v>
      </c>
      <c r="Q190" s="517"/>
      <c r="R190" s="249" t="s">
        <v>1539</v>
      </c>
      <c r="S190" s="485">
        <v>564</v>
      </c>
    </row>
    <row x14ac:dyDescent="0.25" r="191" customHeight="1" ht="17.25">
      <c r="A191" s="228" t="s">
        <v>1540</v>
      </c>
      <c r="B191" s="462" t="s">
        <v>479</v>
      </c>
      <c r="C191" s="724" t="s">
        <v>1541</v>
      </c>
      <c r="D191" s="477">
        <v>27</v>
      </c>
      <c r="E191" s="477">
        <v>14000</v>
      </c>
      <c r="F191" s="230">
        <f>IF(E191&lt;&gt;"", ROUNDUP(E191/D191,0),"")</f>
        <v>25568.666666666668</v>
      </c>
      <c r="G191" s="479">
        <f>IF(E191&lt;&gt;"", (SQRT(D191*E191))/300, "")</f>
      </c>
      <c r="H191" s="480"/>
      <c r="I191" s="480">
        <v>68.1</v>
      </c>
      <c r="J191" s="480">
        <v>56.9</v>
      </c>
      <c r="K191" s="481"/>
      <c r="L191" s="482" t="s">
        <v>830</v>
      </c>
      <c r="M191" s="231">
        <v>45748</v>
      </c>
      <c r="N191" s="223" t="s">
        <v>503</v>
      </c>
      <c r="O191" s="491" t="s">
        <v>1542</v>
      </c>
      <c r="P191" s="228" t="s">
        <v>819</v>
      </c>
      <c r="Q191" s="484" t="s">
        <v>808</v>
      </c>
      <c r="R191" s="21" t="s">
        <v>1543</v>
      </c>
      <c r="S191" s="485">
        <v>563</v>
      </c>
    </row>
    <row x14ac:dyDescent="0.25" r="192" customHeight="1" ht="17.25">
      <c r="A192" s="228" t="s">
        <v>1544</v>
      </c>
      <c r="B192" s="21" t="s">
        <v>1545</v>
      </c>
      <c r="C192" s="491" t="s">
        <v>1546</v>
      </c>
      <c r="D192" s="477">
        <v>72</v>
      </c>
      <c r="E192" s="477">
        <v>18000</v>
      </c>
      <c r="F192" s="230">
        <f>IF(E192&lt;&gt;"", ROUNDUP(E192/D192,0),"")</f>
        <v>25568.666666666668</v>
      </c>
      <c r="G192" s="479">
        <f>IF(E192&lt;&gt;"", (SQRT(D192*E192))/300, "")</f>
      </c>
      <c r="H192" s="481">
        <v>77.46</v>
      </c>
      <c r="I192" s="481"/>
      <c r="J192" s="481"/>
      <c r="K192" s="509"/>
      <c r="L192" s="510" t="s">
        <v>836</v>
      </c>
      <c r="M192" s="231">
        <v>45748</v>
      </c>
      <c r="N192" s="223" t="s">
        <v>503</v>
      </c>
      <c r="O192" s="615" t="s">
        <v>1547</v>
      </c>
      <c r="P192" s="592" t="s">
        <v>819</v>
      </c>
      <c r="Q192" s="484"/>
      <c r="R192" s="21" t="s">
        <v>1548</v>
      </c>
      <c r="S192" s="485">
        <v>562</v>
      </c>
    </row>
    <row x14ac:dyDescent="0.25" r="193" customHeight="1" ht="17.25">
      <c r="A193" s="228" t="s">
        <v>1549</v>
      </c>
      <c r="B193" s="725" t="s">
        <v>1550</v>
      </c>
      <c r="C193" s="491" t="s">
        <v>1551</v>
      </c>
      <c r="D193" s="477">
        <v>70</v>
      </c>
      <c r="E193" s="477">
        <v>15000</v>
      </c>
      <c r="F193" s="230">
        <f>IF(E193&lt;&gt;"", ROUNDUP(E193/D193,0),"")</f>
        <v>25568.666666666668</v>
      </c>
      <c r="G193" s="479">
        <f>IF(E193&lt;&gt;"", (SQRT(D193*E193))/300, "")</f>
      </c>
      <c r="H193" s="585">
        <v>91</v>
      </c>
      <c r="I193" s="481">
        <v>78.47</v>
      </c>
      <c r="J193" s="481">
        <v>60.61</v>
      </c>
      <c r="K193" s="509"/>
      <c r="L193" s="510" t="s">
        <v>836</v>
      </c>
      <c r="M193" s="231">
        <v>45748</v>
      </c>
      <c r="N193" s="223" t="s">
        <v>503</v>
      </c>
      <c r="O193" s="615" t="s">
        <v>1552</v>
      </c>
      <c r="P193" s="592" t="s">
        <v>819</v>
      </c>
      <c r="Q193" s="484"/>
      <c r="R193" s="21" t="s">
        <v>1553</v>
      </c>
      <c r="S193" s="485">
        <v>561</v>
      </c>
    </row>
    <row x14ac:dyDescent="0.25" r="194" customHeight="1" ht="17.25">
      <c r="A194" s="228" t="s">
        <v>1554</v>
      </c>
      <c r="B194" s="462" t="s">
        <v>828</v>
      </c>
      <c r="C194" s="491" t="s">
        <v>1555</v>
      </c>
      <c r="D194" s="478">
        <v>400</v>
      </c>
      <c r="E194" s="478">
        <v>20000</v>
      </c>
      <c r="F194" s="230">
        <f>IF(E194&lt;&gt;"", ROUNDUP(E194/D194,0),"")</f>
        <v>25568.666666666668</v>
      </c>
      <c r="G194" s="479">
        <f>IF(E194&lt;&gt;"", (SQRT(D194*E194))/300, "")</f>
      </c>
      <c r="H194" s="481"/>
      <c r="I194" s="481"/>
      <c r="J194" s="481">
        <v>62.4</v>
      </c>
      <c r="K194" s="509">
        <v>14.5</v>
      </c>
      <c r="L194" s="510" t="s">
        <v>836</v>
      </c>
      <c r="M194" s="231">
        <v>45717</v>
      </c>
      <c r="N194" s="223" t="s">
        <v>503</v>
      </c>
      <c r="O194" s="615" t="s">
        <v>1556</v>
      </c>
      <c r="P194" s="640" t="s">
        <v>802</v>
      </c>
      <c r="Q194" s="484"/>
      <c r="R194" s="21" t="s">
        <v>1557</v>
      </c>
      <c r="S194" s="485">
        <v>560</v>
      </c>
    </row>
    <row x14ac:dyDescent="0.25" r="195" customHeight="1" ht="17.25">
      <c r="A195" s="228" t="s">
        <v>1558</v>
      </c>
      <c r="B195" s="462" t="s">
        <v>828</v>
      </c>
      <c r="C195" s="491" t="s">
        <v>1559</v>
      </c>
      <c r="D195" s="477">
        <v>27</v>
      </c>
      <c r="E195" s="477">
        <v>14000</v>
      </c>
      <c r="F195" s="230">
        <f>IF(E195&lt;&gt;"", ROUNDUP(E195/D195,0),"")</f>
        <v>25568.666666666668</v>
      </c>
      <c r="G195" s="479">
        <f>IF(E195&lt;&gt;"", (SQRT(D195*E195))/300, "")</f>
      </c>
      <c r="H195" s="481"/>
      <c r="I195" s="481"/>
      <c r="J195" s="481"/>
      <c r="K195" s="509"/>
      <c r="L195" s="510" t="s">
        <v>836</v>
      </c>
      <c r="M195" s="231">
        <v>45717</v>
      </c>
      <c r="N195" s="223" t="s">
        <v>503</v>
      </c>
      <c r="O195" s="615" t="s">
        <v>1556</v>
      </c>
      <c r="P195" s="640" t="s">
        <v>802</v>
      </c>
      <c r="Q195" s="484" t="s">
        <v>445</v>
      </c>
      <c r="R195" s="21" t="s">
        <v>1560</v>
      </c>
      <c r="S195" s="485">
        <v>559</v>
      </c>
    </row>
    <row x14ac:dyDescent="0.25" r="196" customHeight="1" ht="17.25">
      <c r="A196" s="228" t="s">
        <v>1561</v>
      </c>
      <c r="B196" s="462" t="s">
        <v>828</v>
      </c>
      <c r="C196" s="491" t="s">
        <v>1562</v>
      </c>
      <c r="D196" s="478">
        <v>400</v>
      </c>
      <c r="E196" s="478">
        <v>80000</v>
      </c>
      <c r="F196" s="230">
        <f>IF(E196&lt;&gt;"", ROUNDUP(E196/D196,0),"")</f>
        <v>25568.666666666668</v>
      </c>
      <c r="G196" s="479">
        <f>IF(E196&lt;&gt;"", (SQRT(D196*E196))/300, "")</f>
      </c>
      <c r="H196" s="481"/>
      <c r="I196" s="481"/>
      <c r="J196" s="585">
        <v>84</v>
      </c>
      <c r="K196" s="509">
        <v>18.8</v>
      </c>
      <c r="L196" s="510" t="s">
        <v>836</v>
      </c>
      <c r="M196" s="231">
        <v>45717</v>
      </c>
      <c r="N196" s="223" t="s">
        <v>503</v>
      </c>
      <c r="O196" s="615" t="s">
        <v>1563</v>
      </c>
      <c r="P196" s="640" t="s">
        <v>802</v>
      </c>
      <c r="Q196" s="484" t="s">
        <v>803</v>
      </c>
      <c r="R196" s="25" t="s">
        <v>1564</v>
      </c>
      <c r="S196" s="485">
        <v>558</v>
      </c>
    </row>
    <row x14ac:dyDescent="0.25" r="197" customHeight="1" ht="17.25">
      <c r="A197" s="259" t="s">
        <v>1565</v>
      </c>
      <c r="B197" s="504" t="s">
        <v>479</v>
      </c>
      <c r="C197" s="271" t="s">
        <v>1377</v>
      </c>
      <c r="D197" s="486">
        <v>685</v>
      </c>
      <c r="E197" s="486">
        <v>14800</v>
      </c>
      <c r="F197" s="263">
        <f>IF(E197&lt;&gt;"", ROUNDUP(E197/D197,0),"")</f>
        <v>25568.666666666668</v>
      </c>
      <c r="G197" s="726">
        <f>IF(E197&lt;&gt;"", (SQRT(D197*E197))/300, "")</f>
      </c>
      <c r="H197" s="727"/>
      <c r="I197" s="728">
        <v>81.2</v>
      </c>
      <c r="J197" s="729">
        <v>68.4</v>
      </c>
      <c r="K197" s="480"/>
      <c r="L197" s="268" t="s">
        <v>836</v>
      </c>
      <c r="M197" s="231">
        <v>45717</v>
      </c>
      <c r="N197" s="270" t="s">
        <v>503</v>
      </c>
      <c r="O197" s="271" t="s">
        <v>1566</v>
      </c>
      <c r="P197" s="259" t="s">
        <v>802</v>
      </c>
      <c r="Q197" s="590" t="s">
        <v>808</v>
      </c>
      <c r="R197" s="249" t="s">
        <v>1567</v>
      </c>
      <c r="S197" s="485">
        <v>557</v>
      </c>
    </row>
    <row x14ac:dyDescent="0.25" r="198" customHeight="1" ht="17.25">
      <c r="A198" s="592" t="s">
        <v>1568</v>
      </c>
      <c r="B198" s="494" t="s">
        <v>474</v>
      </c>
      <c r="C198" s="629" t="s">
        <v>1569</v>
      </c>
      <c r="D198" s="631">
        <v>49</v>
      </c>
      <c r="E198" s="478">
        <v>15040</v>
      </c>
      <c r="F198" s="263">
        <f>IF(E198&lt;&gt;"", ROUNDUP(E198/D198,0),"")</f>
        <v>25568.666666666668</v>
      </c>
      <c r="G198" s="716">
        <f>IF(E198&lt;&gt;"", (SQRT(D198*E198))/300, "")</f>
      </c>
      <c r="H198" s="719"/>
      <c r="I198" s="635"/>
      <c r="J198" s="481">
        <v>66.67</v>
      </c>
      <c r="K198" s="481"/>
      <c r="L198" s="482" t="s">
        <v>830</v>
      </c>
      <c r="M198" s="231">
        <v>45717</v>
      </c>
      <c r="N198" s="689" t="s">
        <v>503</v>
      </c>
      <c r="O198" s="690" t="s">
        <v>1570</v>
      </c>
      <c r="P198" s="592" t="s">
        <v>819</v>
      </c>
      <c r="Q198" s="566" t="s">
        <v>445</v>
      </c>
      <c r="R198" s="228" t="s">
        <v>1571</v>
      </c>
      <c r="S198" s="485">
        <v>556</v>
      </c>
    </row>
    <row x14ac:dyDescent="0.25" r="199" customHeight="1" ht="17.25">
      <c r="A199" s="228" t="s">
        <v>1572</v>
      </c>
      <c r="B199" s="228" t="s">
        <v>894</v>
      </c>
      <c r="C199" s="491" t="s">
        <v>1573</v>
      </c>
      <c r="D199" s="23">
        <v>32</v>
      </c>
      <c r="E199" s="477">
        <v>6500</v>
      </c>
      <c r="F199" s="230">
        <f>IF(E199&lt;&gt;"", ROUNDUP(E199/D199,0),"")</f>
        <v>25568.666666666668</v>
      </c>
      <c r="G199" s="479">
        <f>IF(E199&lt;&gt;"", (SQRT(D199*E199))/300, "")</f>
      </c>
      <c r="H199" s="585">
        <v>83</v>
      </c>
      <c r="I199" s="585">
        <v>74</v>
      </c>
      <c r="J199" s="481">
        <v>66.1</v>
      </c>
      <c r="K199" s="481"/>
      <c r="L199" s="482" t="s">
        <v>830</v>
      </c>
      <c r="M199" s="231">
        <v>45717</v>
      </c>
      <c r="N199" s="223" t="s">
        <v>503</v>
      </c>
      <c r="O199" s="491" t="s">
        <v>1574</v>
      </c>
      <c r="P199" s="21" t="s">
        <v>819</v>
      </c>
      <c r="Q199" s="566" t="s">
        <v>445</v>
      </c>
      <c r="R199" s="609" t="s">
        <v>1575</v>
      </c>
      <c r="S199" s="485">
        <v>555</v>
      </c>
    </row>
    <row x14ac:dyDescent="0.25" r="200" customHeight="1" ht="17.25">
      <c r="A200" s="492" t="s">
        <v>1576</v>
      </c>
      <c r="B200" s="607" t="s">
        <v>965</v>
      </c>
      <c r="C200" s="677" t="s">
        <v>1577</v>
      </c>
      <c r="D200" s="496">
        <v>24</v>
      </c>
      <c r="E200" s="573">
        <v>8000</v>
      </c>
      <c r="F200" s="263">
        <f>IF(E200&lt;&gt;"", ROUNDUP(E200/D200,0),"")</f>
        <v>25568.666666666668</v>
      </c>
      <c r="G200" s="575">
        <f>IF(E200&lt;&gt;"", (SQRT(D200*E200))/300, "")</f>
      </c>
      <c r="H200" s="610">
        <v>81.01</v>
      </c>
      <c r="I200" s="611">
        <v>56.03</v>
      </c>
      <c r="J200" s="612">
        <v>37.5</v>
      </c>
      <c r="K200" s="481"/>
      <c r="L200" s="482" t="s">
        <v>830</v>
      </c>
      <c r="M200" s="231">
        <v>45717</v>
      </c>
      <c r="N200" s="490" t="s">
        <v>503</v>
      </c>
      <c r="O200" s="495" t="s">
        <v>1578</v>
      </c>
      <c r="P200" s="492" t="s">
        <v>819</v>
      </c>
      <c r="Q200" s="502"/>
      <c r="R200" s="492" t="s">
        <v>1579</v>
      </c>
      <c r="S200" s="485">
        <v>554</v>
      </c>
    </row>
    <row x14ac:dyDescent="0.25" r="201" customHeight="1" ht="17.25">
      <c r="A201" s="228" t="s">
        <v>1580</v>
      </c>
      <c r="B201" s="462" t="s">
        <v>1039</v>
      </c>
      <c r="C201" s="491" t="s">
        <v>1581</v>
      </c>
      <c r="D201" s="477">
        <v>424</v>
      </c>
      <c r="E201" s="478">
        <v>16000</v>
      </c>
      <c r="F201" s="230">
        <f>IF(E201&lt;&gt;"", ROUNDUP(E201/D201,0),"")</f>
        <v>25568.666666666668</v>
      </c>
      <c r="G201" s="479">
        <f>IF(E201&lt;&gt;"", (SQRT(D201*E201))/300, "")</f>
      </c>
      <c r="H201" s="617"/>
      <c r="I201" s="621">
        <v>79</v>
      </c>
      <c r="J201" s="621">
        <v>55</v>
      </c>
      <c r="K201" s="509"/>
      <c r="L201" s="510" t="s">
        <v>836</v>
      </c>
      <c r="M201" s="231">
        <v>45717</v>
      </c>
      <c r="N201" s="223" t="s">
        <v>503</v>
      </c>
      <c r="O201" s="608" t="s">
        <v>1582</v>
      </c>
      <c r="P201" s="228" t="s">
        <v>802</v>
      </c>
      <c r="Q201" s="566" t="s">
        <v>445</v>
      </c>
      <c r="R201" s="609" t="s">
        <v>1583</v>
      </c>
      <c r="S201" s="485">
        <v>553</v>
      </c>
    </row>
    <row x14ac:dyDescent="0.25" r="202" customHeight="1" ht="17.25">
      <c r="A202" s="228" t="s">
        <v>1584</v>
      </c>
      <c r="B202" s="462" t="s">
        <v>1039</v>
      </c>
      <c r="C202" s="491" t="s">
        <v>1585</v>
      </c>
      <c r="D202" s="647"/>
      <c r="E202" s="647"/>
      <c r="F202" s="230">
        <f>IF(E202&lt;&gt;"", ROUNDUP(E202/D202,0),"")</f>
        <v>25568.666666666668</v>
      </c>
      <c r="G202" s="710">
        <f>IF(E202&lt;&gt;"", (SQRT(D202*E202))/300, "")</f>
      </c>
      <c r="H202" s="617"/>
      <c r="I202" s="488"/>
      <c r="J202" s="617"/>
      <c r="K202" s="509"/>
      <c r="L202" s="510" t="s">
        <v>836</v>
      </c>
      <c r="M202" s="231">
        <v>45717</v>
      </c>
      <c r="N202" s="223" t="s">
        <v>503</v>
      </c>
      <c r="O202" s="608" t="s">
        <v>1582</v>
      </c>
      <c r="P202" s="640" t="s">
        <v>802</v>
      </c>
      <c r="Q202" s="566" t="s">
        <v>445</v>
      </c>
      <c r="R202" s="228"/>
      <c r="S202" s="485">
        <v>552</v>
      </c>
    </row>
    <row x14ac:dyDescent="0.25" r="203" customHeight="1" ht="17.25">
      <c r="A203" s="259" t="s">
        <v>1586</v>
      </c>
      <c r="B203" s="249" t="s">
        <v>939</v>
      </c>
      <c r="C203" s="586" t="s">
        <v>1587</v>
      </c>
      <c r="D203" s="486">
        <v>32</v>
      </c>
      <c r="E203" s="486">
        <v>6400</v>
      </c>
      <c r="F203" s="263">
        <f>IF(E203&lt;&gt;"", ROUNDUP(E203/D203,0),"")</f>
        <v>25568.666666666668</v>
      </c>
      <c r="G203" s="587">
        <f>IF(E203&lt;&gt;"", (SQRT(D203*E203))/300, "")</f>
      </c>
      <c r="H203" s="730">
        <v>78</v>
      </c>
      <c r="I203" s="508"/>
      <c r="J203" s="508"/>
      <c r="K203" s="509"/>
      <c r="L203" s="510" t="s">
        <v>836</v>
      </c>
      <c r="M203" s="231">
        <v>45717</v>
      </c>
      <c r="N203" s="270" t="s">
        <v>503</v>
      </c>
      <c r="O203" s="589" t="s">
        <v>1588</v>
      </c>
      <c r="P203" s="259" t="s">
        <v>819</v>
      </c>
      <c r="Q203" s="590"/>
      <c r="R203" s="249" t="s">
        <v>1589</v>
      </c>
      <c r="S203" s="485">
        <v>551</v>
      </c>
    </row>
    <row x14ac:dyDescent="0.25" r="204" customHeight="1" ht="17.25">
      <c r="A204" s="492" t="s">
        <v>1590</v>
      </c>
      <c r="B204" s="503" t="s">
        <v>1591</v>
      </c>
      <c r="C204" s="518" t="s">
        <v>1592</v>
      </c>
      <c r="D204" s="496">
        <v>111</v>
      </c>
      <c r="E204" s="573">
        <v>8000</v>
      </c>
      <c r="F204" s="263">
        <f>IF(E204&lt;&gt;"", ROUNDUP(E204/D204,0),"")</f>
        <v>25568.666666666668</v>
      </c>
      <c r="G204" s="731">
        <f>IF(E204&lt;&gt;"", (SQRT(D204*E204))/300, "")</f>
      </c>
      <c r="H204" s="732">
        <v>85</v>
      </c>
      <c r="I204" s="733"/>
      <c r="J204" s="734"/>
      <c r="K204" s="509"/>
      <c r="L204" s="510" t="s">
        <v>836</v>
      </c>
      <c r="M204" s="231">
        <v>45717</v>
      </c>
      <c r="N204" s="490" t="s">
        <v>503</v>
      </c>
      <c r="O204" s="495" t="s">
        <v>1593</v>
      </c>
      <c r="P204" s="492" t="s">
        <v>819</v>
      </c>
      <c r="Q204" s="502"/>
      <c r="R204" s="492" t="s">
        <v>1594</v>
      </c>
      <c r="S204" s="485">
        <v>550</v>
      </c>
    </row>
    <row x14ac:dyDescent="0.25" r="205" customHeight="1" ht="17.25">
      <c r="A205" s="228" t="s">
        <v>1595</v>
      </c>
      <c r="B205" s="462" t="s">
        <v>828</v>
      </c>
      <c r="C205" s="33"/>
      <c r="D205" s="478">
        <v>200</v>
      </c>
      <c r="E205" s="478">
        <v>20000</v>
      </c>
      <c r="F205" s="230">
        <f>IF(E205&lt;&gt;"", ROUNDUP(E205/D205,0),"")</f>
        <v>25568.666666666668</v>
      </c>
      <c r="G205" s="479">
        <f>IF(E205&lt;&gt;"", (SQRT(D205*E205))/300, "")</f>
      </c>
      <c r="H205" s="488"/>
      <c r="I205" s="488">
        <v>79.1</v>
      </c>
      <c r="J205" s="488">
        <v>64.7</v>
      </c>
      <c r="K205" s="509"/>
      <c r="L205" s="510" t="s">
        <v>836</v>
      </c>
      <c r="M205" s="231">
        <v>45717</v>
      </c>
      <c r="N205" s="490" t="s">
        <v>470</v>
      </c>
      <c r="O205" s="615" t="s">
        <v>1596</v>
      </c>
      <c r="P205" s="640" t="s">
        <v>802</v>
      </c>
      <c r="Q205" s="484"/>
      <c r="R205" s="21" t="s">
        <v>1597</v>
      </c>
      <c r="S205" s="485">
        <v>549</v>
      </c>
    </row>
    <row x14ac:dyDescent="0.25" r="206" customHeight="1" ht="17.25">
      <c r="A206" s="228" t="s">
        <v>1598</v>
      </c>
      <c r="B206" s="462" t="s">
        <v>828</v>
      </c>
      <c r="C206" s="33"/>
      <c r="D206" s="478">
        <v>30</v>
      </c>
      <c r="E206" s="478">
        <v>30000</v>
      </c>
      <c r="F206" s="230">
        <f>IF(E206&lt;&gt;"", ROUNDUP(E206/D206,0),"")</f>
        <v>25568.666666666668</v>
      </c>
      <c r="G206" s="479">
        <f>IF(E206&lt;&gt;"", (SQRT(D206*E206))/300, "")</f>
      </c>
      <c r="H206" s="735">
        <v>87</v>
      </c>
      <c r="I206" s="736">
        <v>76.4</v>
      </c>
      <c r="J206" s="736">
        <v>62.1</v>
      </c>
      <c r="K206" s="509"/>
      <c r="L206" s="510" t="s">
        <v>836</v>
      </c>
      <c r="M206" s="231">
        <v>45717</v>
      </c>
      <c r="N206" s="490" t="s">
        <v>470</v>
      </c>
      <c r="O206" s="615" t="s">
        <v>1596</v>
      </c>
      <c r="P206" s="640" t="s">
        <v>802</v>
      </c>
      <c r="Q206" s="484"/>
      <c r="R206" s="21" t="s">
        <v>1599</v>
      </c>
      <c r="S206" s="485">
        <v>548</v>
      </c>
    </row>
    <row x14ac:dyDescent="0.25" r="207" customHeight="1" ht="17.25">
      <c r="A207" s="228" t="s">
        <v>1600</v>
      </c>
      <c r="B207" s="462" t="s">
        <v>828</v>
      </c>
      <c r="C207" s="476" t="s">
        <v>1601</v>
      </c>
      <c r="D207" s="477">
        <v>27</v>
      </c>
      <c r="E207" s="477">
        <v>14000</v>
      </c>
      <c r="F207" s="230">
        <f>IF(E207&lt;&gt;"", ROUNDUP(E207/D207,0),"")</f>
        <v>25568.666666666668</v>
      </c>
      <c r="G207" s="479">
        <f>IF(E207&lt;&gt;"", (SQRT(D207*E207))/300, "")</f>
      </c>
      <c r="H207" s="480">
        <v>78.6</v>
      </c>
      <c r="I207" s="480">
        <v>67.5</v>
      </c>
      <c r="J207" s="480">
        <v>42.4</v>
      </c>
      <c r="K207" s="481"/>
      <c r="L207" s="482" t="s">
        <v>830</v>
      </c>
      <c r="M207" s="231">
        <v>45717</v>
      </c>
      <c r="N207" s="223" t="s">
        <v>503</v>
      </c>
      <c r="O207" s="483" t="s">
        <v>1602</v>
      </c>
      <c r="P207" s="228" t="s">
        <v>819</v>
      </c>
      <c r="Q207" s="484"/>
      <c r="R207" s="21" t="s">
        <v>1603</v>
      </c>
      <c r="S207" s="485">
        <v>547</v>
      </c>
    </row>
    <row x14ac:dyDescent="0.25" r="208" customHeight="1" ht="17.25">
      <c r="A208" s="228" t="s">
        <v>1604</v>
      </c>
      <c r="B208" s="21" t="s">
        <v>1293</v>
      </c>
      <c r="C208" s="491" t="s">
        <v>1605</v>
      </c>
      <c r="D208" s="477">
        <v>21</v>
      </c>
      <c r="E208" s="478">
        <v>5000</v>
      </c>
      <c r="F208" s="230">
        <f>IF(E208&lt;&gt;"", ROUNDUP(E208/D208,0),"")</f>
        <v>25568.666666666668</v>
      </c>
      <c r="G208" s="666">
        <f>IF(E208&lt;&gt;"", (SQRT(D208*E208))/300, "")</f>
      </c>
      <c r="H208" s="480"/>
      <c r="I208" s="656">
        <v>65</v>
      </c>
      <c r="J208" s="480">
        <v>61.1</v>
      </c>
      <c r="K208" s="481"/>
      <c r="L208" s="482" t="s">
        <v>830</v>
      </c>
      <c r="M208" s="231">
        <v>45717</v>
      </c>
      <c r="N208" s="223" t="s">
        <v>503</v>
      </c>
      <c r="O208" s="491" t="s">
        <v>1295</v>
      </c>
      <c r="P208" s="259" t="s">
        <v>819</v>
      </c>
      <c r="Q208" s="566" t="s">
        <v>445</v>
      </c>
      <c r="R208" s="228" t="s">
        <v>1606</v>
      </c>
      <c r="S208" s="485">
        <v>546</v>
      </c>
    </row>
    <row x14ac:dyDescent="0.25" r="209" customHeight="1" ht="17.25">
      <c r="A209" s="259" t="s">
        <v>1607</v>
      </c>
      <c r="B209" s="504" t="s">
        <v>494</v>
      </c>
      <c r="C209" s="505" t="s">
        <v>1608</v>
      </c>
      <c r="D209" s="486">
        <v>32</v>
      </c>
      <c r="E209" s="486">
        <v>18000</v>
      </c>
      <c r="F209" s="263">
        <f>IF(E209&lt;&gt;"", ROUNDUP(E209/D209,0),"")</f>
        <v>25568.666666666668</v>
      </c>
      <c r="G209" s="575">
        <f>IF(E209&lt;&gt;"", (SQRT(D209*E209))/300, "")</f>
      </c>
      <c r="H209" s="576"/>
      <c r="I209" s="508"/>
      <c r="J209" s="480"/>
      <c r="K209" s="509"/>
      <c r="L209" s="510" t="s">
        <v>836</v>
      </c>
      <c r="M209" s="231">
        <v>45717</v>
      </c>
      <c r="N209" s="270" t="s">
        <v>503</v>
      </c>
      <c r="O209" s="511" t="s">
        <v>1609</v>
      </c>
      <c r="P209" s="492" t="s">
        <v>819</v>
      </c>
      <c r="Q209" s="566" t="s">
        <v>445</v>
      </c>
      <c r="R209" s="228" t="s">
        <v>1610</v>
      </c>
      <c r="S209" s="485">
        <v>545</v>
      </c>
    </row>
    <row x14ac:dyDescent="0.25" r="210" customHeight="1" ht="17.25">
      <c r="A210" s="492" t="s">
        <v>1611</v>
      </c>
      <c r="B210" s="528" t="s">
        <v>864</v>
      </c>
      <c r="C210" s="518" t="s">
        <v>1612</v>
      </c>
      <c r="D210" s="529">
        <v>398</v>
      </c>
      <c r="E210" s="526">
        <v>1200</v>
      </c>
      <c r="F210" s="263">
        <f>IF(E210&lt;&gt;"", ROUNDUP(E210/D210,0),"")</f>
        <v>25568.666666666668</v>
      </c>
      <c r="G210" s="521">
        <f>IF(E210&lt;&gt;"", (SQRT(D210*E210))/300, "")</f>
      </c>
      <c r="H210" s="522">
        <v>81.2</v>
      </c>
      <c r="I210" s="523">
        <v>53.5</v>
      </c>
      <c r="J210" s="524">
        <v>36.9</v>
      </c>
      <c r="K210" s="481"/>
      <c r="L210" s="482" t="s">
        <v>830</v>
      </c>
      <c r="M210" s="231">
        <v>45717</v>
      </c>
      <c r="N210" s="490" t="s">
        <v>503</v>
      </c>
      <c r="O210" s="501" t="s">
        <v>1612</v>
      </c>
      <c r="P210" s="492" t="s">
        <v>802</v>
      </c>
      <c r="Q210" s="502"/>
      <c r="R210" s="492" t="s">
        <v>1613</v>
      </c>
      <c r="S210" s="485">
        <v>544</v>
      </c>
    </row>
    <row x14ac:dyDescent="0.25" r="211" customHeight="1" ht="17.25">
      <c r="A211" s="259" t="s">
        <v>1614</v>
      </c>
      <c r="B211" s="249" t="s">
        <v>1615</v>
      </c>
      <c r="C211" s="505" t="s">
        <v>1616</v>
      </c>
      <c r="D211" s="486">
        <v>3</v>
      </c>
      <c r="E211" s="486">
        <v>4160</v>
      </c>
      <c r="F211" s="536">
        <f>IF(E211&lt;&gt;"", ROUNDUP(E211/D211,0),"")</f>
        <v>25568.666666666668</v>
      </c>
      <c r="G211" s="737">
        <f>IF(E211&lt;&gt;"", (SQRT(D211*E211))/300, "")</f>
      </c>
      <c r="H211" s="481">
        <v>58.31</v>
      </c>
      <c r="I211" s="508"/>
      <c r="J211" s="481">
        <v>30.13</v>
      </c>
      <c r="K211" s="481"/>
      <c r="L211" s="482" t="s">
        <v>830</v>
      </c>
      <c r="M211" s="231">
        <v>45717</v>
      </c>
      <c r="N211" s="270" t="s">
        <v>503</v>
      </c>
      <c r="O211" s="511" t="s">
        <v>1617</v>
      </c>
      <c r="P211" s="259" t="s">
        <v>819</v>
      </c>
      <c r="Q211" s="590"/>
      <c r="R211" s="249" t="s">
        <v>1618</v>
      </c>
      <c r="S211" s="485">
        <v>543</v>
      </c>
    </row>
    <row x14ac:dyDescent="0.25" r="212" customHeight="1" ht="17.25">
      <c r="A212" s="259" t="s">
        <v>1619</v>
      </c>
      <c r="B212" s="504" t="s">
        <v>494</v>
      </c>
      <c r="C212" s="505" t="s">
        <v>1620</v>
      </c>
      <c r="D212" s="496">
        <v>83</v>
      </c>
      <c r="E212" s="573">
        <v>15000</v>
      </c>
      <c r="F212" s="263">
        <f>IF(E212&lt;&gt;"", ROUNDUP(E212/D212,0),"")</f>
        <v>25568.666666666668</v>
      </c>
      <c r="G212" s="575">
        <f>IF(E212&lt;&gt;"", (SQRT(D212*E212))/300, "")</f>
      </c>
      <c r="H212" s="576"/>
      <c r="I212" s="508"/>
      <c r="J212" s="480"/>
      <c r="K212" s="509"/>
      <c r="L212" s="510" t="s">
        <v>836</v>
      </c>
      <c r="M212" s="231">
        <v>45717</v>
      </c>
      <c r="N212" s="270" t="s">
        <v>503</v>
      </c>
      <c r="O212" s="511" t="s">
        <v>1621</v>
      </c>
      <c r="P212" s="492" t="s">
        <v>819</v>
      </c>
      <c r="Q212" s="566"/>
      <c r="R212" s="228" t="s">
        <v>1622</v>
      </c>
      <c r="S212" s="485">
        <v>542</v>
      </c>
    </row>
    <row x14ac:dyDescent="0.25" r="213" customHeight="1" ht="17.25">
      <c r="A213" s="259" t="s">
        <v>1623</v>
      </c>
      <c r="B213" s="249" t="s">
        <v>1117</v>
      </c>
      <c r="C213" s="505" t="s">
        <v>1624</v>
      </c>
      <c r="D213" s="506">
        <v>8</v>
      </c>
      <c r="E213" s="526">
        <v>12000</v>
      </c>
      <c r="F213" s="536">
        <f>IF(E213&lt;&gt;"", ROUNDUP(E213/D213,0),"")</f>
        <v>25568.666666666668</v>
      </c>
      <c r="G213" s="738">
        <f>IF(E213&lt;&gt;"", (SQRT(D213*E213))/300, "")</f>
      </c>
      <c r="H213" s="32">
        <v>66.79</v>
      </c>
      <c r="I213" s="508"/>
      <c r="J213" s="508"/>
      <c r="K213" s="481"/>
      <c r="L213" s="482" t="s">
        <v>830</v>
      </c>
      <c r="M213" s="231">
        <v>45689</v>
      </c>
      <c r="N213" s="270" t="s">
        <v>503</v>
      </c>
      <c r="O213" s="271" t="s">
        <v>1625</v>
      </c>
      <c r="P213" s="259" t="s">
        <v>819</v>
      </c>
      <c r="Q213" s="566" t="s">
        <v>445</v>
      </c>
      <c r="R213" s="228" t="s">
        <v>1626</v>
      </c>
      <c r="S213" s="485">
        <v>541</v>
      </c>
    </row>
    <row x14ac:dyDescent="0.25" r="214" customHeight="1" ht="17.25">
      <c r="A214" s="492" t="s">
        <v>1627</v>
      </c>
      <c r="B214" s="503" t="s">
        <v>1591</v>
      </c>
      <c r="C214" s="518" t="s">
        <v>1628</v>
      </c>
      <c r="D214" s="496">
        <v>7</v>
      </c>
      <c r="E214" s="573">
        <v>2000</v>
      </c>
      <c r="F214" s="263">
        <f>IF(E214&lt;&gt;"", ROUNDUP(E214/D214,0),"")</f>
        <v>25568.666666666668</v>
      </c>
      <c r="G214" s="731">
        <f>IF(E214&lt;&gt;"", (SQRT(D214*E214))/300, "")</f>
      </c>
      <c r="H214" s="739"/>
      <c r="I214" s="740">
        <v>29.4</v>
      </c>
      <c r="J214" s="741">
        <v>7.9</v>
      </c>
      <c r="K214" s="481"/>
      <c r="L214" s="482" t="s">
        <v>830</v>
      </c>
      <c r="M214" s="231">
        <v>45689</v>
      </c>
      <c r="N214" s="490" t="s">
        <v>503</v>
      </c>
      <c r="O214" s="495" t="s">
        <v>1628</v>
      </c>
      <c r="P214" s="492" t="s">
        <v>819</v>
      </c>
      <c r="Q214" s="272"/>
      <c r="R214" s="259" t="s">
        <v>1629</v>
      </c>
      <c r="S214" s="485">
        <v>540</v>
      </c>
    </row>
    <row x14ac:dyDescent="0.25" r="215" customHeight="1" ht="17.25">
      <c r="A215" s="228" t="s">
        <v>294</v>
      </c>
      <c r="B215" s="462" t="s">
        <v>490</v>
      </c>
      <c r="C215" s="491" t="s">
        <v>1630</v>
      </c>
      <c r="D215" s="226">
        <v>3000</v>
      </c>
      <c r="E215" s="478">
        <v>114000</v>
      </c>
      <c r="F215" s="230">
        <f>IF(E215&lt;&gt;"", ROUNDUP(E215/D215,0),"")</f>
        <v>25568.666666666668</v>
      </c>
      <c r="G215" s="479">
        <f>IF(E215&lt;&gt;"", (SQRT(D215*E215))/300, "")</f>
      </c>
      <c r="H215" s="481">
        <v>89.6</v>
      </c>
      <c r="I215" s="617"/>
      <c r="J215" s="481">
        <v>71.4</v>
      </c>
      <c r="K215" s="509">
        <v>6.4</v>
      </c>
      <c r="L215" s="510" t="s">
        <v>836</v>
      </c>
      <c r="M215" s="231">
        <v>45689</v>
      </c>
      <c r="N215" s="223" t="s">
        <v>503</v>
      </c>
      <c r="O215" s="483" t="s">
        <v>1631</v>
      </c>
      <c r="P215" s="21" t="s">
        <v>802</v>
      </c>
      <c r="Q215" s="484" t="s">
        <v>808</v>
      </c>
      <c r="R215" s="25" t="s">
        <v>1632</v>
      </c>
      <c r="S215" s="485">
        <v>539</v>
      </c>
    </row>
    <row x14ac:dyDescent="0.25" r="216" customHeight="1" ht="17.25">
      <c r="A216" s="259" t="s">
        <v>1633</v>
      </c>
      <c r="B216" s="504" t="s">
        <v>898</v>
      </c>
      <c r="C216" s="505" t="s">
        <v>1634</v>
      </c>
      <c r="D216" s="226">
        <v>389</v>
      </c>
      <c r="E216" s="478">
        <v>7000</v>
      </c>
      <c r="F216" s="263">
        <f>IF(E216&lt;&gt;"", ROUNDUP(E216/D216,0),"")</f>
        <v>25568.666666666668</v>
      </c>
      <c r="G216" s="742">
        <f>IF(E216&lt;&gt;"", (SQRT(D216*E216))/300, "")</f>
      </c>
      <c r="H216" s="743"/>
      <c r="I216" s="744">
        <v>87.2</v>
      </c>
      <c r="J216" s="610">
        <v>69.3</v>
      </c>
      <c r="K216" s="509"/>
      <c r="L216" s="510" t="s">
        <v>836</v>
      </c>
      <c r="M216" s="231">
        <v>45689</v>
      </c>
      <c r="N216" s="270" t="s">
        <v>503</v>
      </c>
      <c r="O216" s="271" t="s">
        <v>1635</v>
      </c>
      <c r="P216" s="259" t="s">
        <v>802</v>
      </c>
      <c r="Q216" s="272" t="s">
        <v>445</v>
      </c>
      <c r="R216" s="259" t="s">
        <v>1636</v>
      </c>
      <c r="S216" s="485">
        <v>538</v>
      </c>
    </row>
    <row x14ac:dyDescent="0.25" r="217" customHeight="1" ht="17.25">
      <c r="A217" s="259" t="s">
        <v>1637</v>
      </c>
      <c r="B217" s="504" t="s">
        <v>898</v>
      </c>
      <c r="C217" s="505" t="s">
        <v>1634</v>
      </c>
      <c r="D217" s="226">
        <v>389</v>
      </c>
      <c r="E217" s="478">
        <v>7000</v>
      </c>
      <c r="F217" s="263">
        <f>IF(E217&lt;&gt;"", ROUNDUP(E217/D217,0),"")</f>
        <v>25568.666666666668</v>
      </c>
      <c r="G217" s="742">
        <f>IF(E217&lt;&gt;"", (SQRT(D217*E217))/300, "")</f>
      </c>
      <c r="H217" s="743">
        <v>89.5</v>
      </c>
      <c r="I217" s="745">
        <v>79</v>
      </c>
      <c r="J217" s="610">
        <v>57.5</v>
      </c>
      <c r="K217" s="509"/>
      <c r="L217" s="510" t="s">
        <v>836</v>
      </c>
      <c r="M217" s="231">
        <v>45689</v>
      </c>
      <c r="N217" s="270" t="s">
        <v>503</v>
      </c>
      <c r="O217" s="271" t="s">
        <v>1635</v>
      </c>
      <c r="P217" s="259" t="s">
        <v>802</v>
      </c>
      <c r="Q217" s="566"/>
      <c r="R217" s="228" t="s">
        <v>1638</v>
      </c>
      <c r="S217" s="485">
        <v>537</v>
      </c>
    </row>
    <row x14ac:dyDescent="0.25" r="218" customHeight="1" ht="17.25">
      <c r="A218" s="259" t="s">
        <v>1639</v>
      </c>
      <c r="B218" s="669" t="s">
        <v>834</v>
      </c>
      <c r="C218" s="505" t="s">
        <v>1640</v>
      </c>
      <c r="D218" s="512">
        <v>5.6</v>
      </c>
      <c r="E218" s="486">
        <v>6100</v>
      </c>
      <c r="F218" s="263">
        <f>IF(E218&lt;&gt;"", ROUNDUP(E218/D218,0),"")</f>
        <v>25568.666666666668</v>
      </c>
      <c r="G218" s="587">
        <f>IF(E218&lt;&gt;"", (SQRT(D218*E218))/300, "")</f>
      </c>
      <c r="H218" s="702"/>
      <c r="I218" s="746"/>
      <c r="J218" s="508"/>
      <c r="K218" s="509"/>
      <c r="L218" s="510" t="s">
        <v>836</v>
      </c>
      <c r="M218" s="231">
        <v>45689</v>
      </c>
      <c r="N218" s="270" t="s">
        <v>503</v>
      </c>
      <c r="O218" s="271" t="s">
        <v>1641</v>
      </c>
      <c r="P218" s="259" t="s">
        <v>819</v>
      </c>
      <c r="Q218" s="272"/>
      <c r="R218" s="560" t="s">
        <v>1642</v>
      </c>
      <c r="S218" s="485">
        <v>536</v>
      </c>
    </row>
    <row x14ac:dyDescent="0.25" r="219" customHeight="1" ht="17.25">
      <c r="A219" s="492" t="s">
        <v>1643</v>
      </c>
      <c r="B219" s="669" t="s">
        <v>834</v>
      </c>
      <c r="C219" s="535" t="s">
        <v>1644</v>
      </c>
      <c r="D219" s="572">
        <v>3.8</v>
      </c>
      <c r="E219" s="496">
        <v>5000</v>
      </c>
      <c r="F219" s="536">
        <f>IF(E219&lt;&gt;"", ROUNDUP(E219/D219,0),"")</f>
        <v>25568.666666666668</v>
      </c>
      <c r="G219" s="731">
        <f>IF(E219&lt;&gt;"", (SQRT(D219*E219))/300, "")</f>
      </c>
      <c r="H219" s="747">
        <v>67.3</v>
      </c>
      <c r="I219" s="748">
        <v>52.8</v>
      </c>
      <c r="J219" s="481">
        <v>30.4</v>
      </c>
      <c r="K219" s="509"/>
      <c r="L219" s="510" t="s">
        <v>836</v>
      </c>
      <c r="M219" s="231">
        <v>45689</v>
      </c>
      <c r="N219" s="490" t="s">
        <v>503</v>
      </c>
      <c r="O219" s="495" t="s">
        <v>1641</v>
      </c>
      <c r="P219" s="492" t="s">
        <v>819</v>
      </c>
      <c r="Q219" s="502"/>
      <c r="R219" s="613" t="s">
        <v>1645</v>
      </c>
      <c r="S219" s="485">
        <v>535</v>
      </c>
    </row>
    <row x14ac:dyDescent="0.25" r="220" customHeight="1" ht="17.25">
      <c r="A220" s="228" t="s">
        <v>1646</v>
      </c>
      <c r="B220" s="21" t="s">
        <v>1335</v>
      </c>
      <c r="C220" s="491" t="s">
        <v>1336</v>
      </c>
      <c r="D220" s="478">
        <v>40</v>
      </c>
      <c r="E220" s="478">
        <v>5000</v>
      </c>
      <c r="F220" s="263">
        <f>IF(E220&lt;&gt;"", ROUNDUP(E220/D220,0),"")</f>
        <v>25568.666666666668</v>
      </c>
      <c r="G220" s="575">
        <f>IF(E220&lt;&gt;"", (SQRT(D220*E220))/300, "")</f>
      </c>
      <c r="H220" s="481"/>
      <c r="I220" s="488"/>
      <c r="J220" s="488"/>
      <c r="K220" s="509"/>
      <c r="L220" s="510" t="s">
        <v>836</v>
      </c>
      <c r="M220" s="231">
        <v>45689</v>
      </c>
      <c r="N220" s="270" t="s">
        <v>503</v>
      </c>
      <c r="O220" s="511" t="s">
        <v>1647</v>
      </c>
      <c r="P220" s="582" t="s">
        <v>819</v>
      </c>
      <c r="Q220" s="484" t="s">
        <v>901</v>
      </c>
      <c r="R220" s="25" t="s">
        <v>1648</v>
      </c>
      <c r="S220" s="485">
        <v>534</v>
      </c>
    </row>
    <row x14ac:dyDescent="0.25" r="221" customHeight="1" ht="17.25">
      <c r="A221" s="259" t="s">
        <v>1649</v>
      </c>
      <c r="B221" s="504" t="s">
        <v>494</v>
      </c>
      <c r="C221" s="505" t="s">
        <v>1142</v>
      </c>
      <c r="D221" s="496">
        <v>325</v>
      </c>
      <c r="E221" s="496">
        <v>20000</v>
      </c>
      <c r="F221" s="263">
        <f>IF(E221&lt;&gt;"", ROUNDUP(E221/D221,0),"")</f>
        <v>25568.666666666668</v>
      </c>
      <c r="G221" s="575">
        <f>IF(E221&lt;&gt;"", (SQRT(D221*E221))/300, "")</f>
      </c>
      <c r="H221" s="576"/>
      <c r="I221" s="508"/>
      <c r="J221" s="480"/>
      <c r="K221" s="509"/>
      <c r="L221" s="510" t="s">
        <v>836</v>
      </c>
      <c r="M221" s="231">
        <v>45689</v>
      </c>
      <c r="N221" s="270" t="s">
        <v>503</v>
      </c>
      <c r="O221" s="511" t="s">
        <v>1650</v>
      </c>
      <c r="P221" s="492" t="s">
        <v>819</v>
      </c>
      <c r="Q221" s="566" t="s">
        <v>445</v>
      </c>
      <c r="R221" s="609" t="s">
        <v>1651</v>
      </c>
      <c r="S221" s="485">
        <v>533</v>
      </c>
    </row>
    <row x14ac:dyDescent="0.25" r="222" customHeight="1" ht="17.25">
      <c r="A222" s="592" t="s">
        <v>1652</v>
      </c>
      <c r="B222" s="684" t="s">
        <v>523</v>
      </c>
      <c r="C222" s="685" t="s">
        <v>1389</v>
      </c>
      <c r="D222" s="691">
        <v>175</v>
      </c>
      <c r="E222" s="691">
        <v>20000</v>
      </c>
      <c r="F222" s="263">
        <f>IF(E222&lt;&gt;"", ROUNDUP(E222/D222,0),"")</f>
        <v>25568.666666666668</v>
      </c>
      <c r="G222" s="686">
        <f>IF(E222&lt;&gt;"", (SQRT(D222*E222))/300, "")</f>
      </c>
      <c r="H222" s="687"/>
      <c r="I222" s="688">
        <v>82.7</v>
      </c>
      <c r="J222" s="481">
        <v>84.8</v>
      </c>
      <c r="K222" s="509">
        <v>8.9</v>
      </c>
      <c r="L222" s="510" t="s">
        <v>836</v>
      </c>
      <c r="M222" s="231">
        <v>45689</v>
      </c>
      <c r="N222" s="689" t="s">
        <v>503</v>
      </c>
      <c r="O222" s="690" t="s">
        <v>1653</v>
      </c>
      <c r="P222" s="592" t="s">
        <v>819</v>
      </c>
      <c r="Q222" s="566" t="s">
        <v>803</v>
      </c>
      <c r="R222" s="609" t="s">
        <v>1654</v>
      </c>
      <c r="S222" s="485">
        <v>532</v>
      </c>
    </row>
    <row x14ac:dyDescent="0.25" r="223" customHeight="1" ht="17.25">
      <c r="A223" s="259" t="s">
        <v>1655</v>
      </c>
      <c r="B223" s="21" t="s">
        <v>1064</v>
      </c>
      <c r="C223" s="505" t="s">
        <v>1656</v>
      </c>
      <c r="D223" s="486">
        <v>16</v>
      </c>
      <c r="E223" s="496">
        <v>5700</v>
      </c>
      <c r="F223" s="230">
        <f>IF(E223&lt;&gt;"", ROUNDUP(E223/D223,0),"")</f>
        <v>25568.666666666668</v>
      </c>
      <c r="G223" s="487">
        <f>IF(E223&lt;&gt;"", (SQRT(D223*E223))/300, "")</f>
      </c>
      <c r="H223" s="656">
        <v>70</v>
      </c>
      <c r="I223" s="480">
        <v>42.4</v>
      </c>
      <c r="J223" s="538"/>
      <c r="K223" s="509"/>
      <c r="L223" s="510" t="s">
        <v>836</v>
      </c>
      <c r="M223" s="231">
        <v>45689</v>
      </c>
      <c r="N223" s="490" t="s">
        <v>503</v>
      </c>
      <c r="O223" s="615" t="s">
        <v>1657</v>
      </c>
      <c r="P223" s="259" t="s">
        <v>802</v>
      </c>
      <c r="Q223" s="566"/>
      <c r="R223" s="609" t="s">
        <v>1658</v>
      </c>
      <c r="S223" s="485">
        <v>531</v>
      </c>
    </row>
    <row x14ac:dyDescent="0.25" r="224" customHeight="1" ht="17.25">
      <c r="A224" s="228" t="s">
        <v>1659</v>
      </c>
      <c r="B224" s="21" t="s">
        <v>67</v>
      </c>
      <c r="C224" s="33"/>
      <c r="D224" s="23">
        <v>7</v>
      </c>
      <c r="E224" s="226">
        <v>2000</v>
      </c>
      <c r="F224" s="749">
        <f>IF(E224&lt;&gt;"", ROUNDUP(E224/D224,0),"")</f>
        <v>25568.666666666668</v>
      </c>
      <c r="G224" s="666">
        <f>IF(E224&lt;&gt;"", (SQRT(D224*E224))/300, "")</f>
      </c>
      <c r="H224" s="481"/>
      <c r="I224" s="481"/>
      <c r="J224" s="481"/>
      <c r="K224" s="509"/>
      <c r="L224" s="510" t="s">
        <v>836</v>
      </c>
      <c r="M224" s="231">
        <v>45689</v>
      </c>
      <c r="N224" s="490" t="s">
        <v>470</v>
      </c>
      <c r="O224" s="615" t="s">
        <v>1660</v>
      </c>
      <c r="P224" s="492" t="s">
        <v>819</v>
      </c>
      <c r="Q224" s="566"/>
      <c r="R224" s="228" t="s">
        <v>1661</v>
      </c>
      <c r="S224" s="485">
        <v>530</v>
      </c>
    </row>
    <row x14ac:dyDescent="0.25" r="225" customHeight="1" ht="17.25">
      <c r="A225" s="228" t="s">
        <v>1662</v>
      </c>
      <c r="B225" s="21" t="s">
        <v>67</v>
      </c>
      <c r="C225" s="33"/>
      <c r="D225" s="24">
        <v>0.08</v>
      </c>
      <c r="E225" s="226">
        <v>1</v>
      </c>
      <c r="F225" s="749">
        <f>IF(E225&lt;&gt;"", ROUNDUP(E225/D225,0),"")</f>
        <v>25568.666666666668</v>
      </c>
      <c r="G225" s="666">
        <f>IF(E225&lt;&gt;"", (SQRT(D225*E225))/300, "")</f>
      </c>
      <c r="H225" s="481"/>
      <c r="I225" s="481"/>
      <c r="J225" s="481"/>
      <c r="K225" s="481"/>
      <c r="L225" s="750" t="s">
        <v>1099</v>
      </c>
      <c r="M225" s="231">
        <v>45689</v>
      </c>
      <c r="N225" s="490" t="s">
        <v>470</v>
      </c>
      <c r="O225" s="615" t="s">
        <v>1660</v>
      </c>
      <c r="P225" s="492" t="s">
        <v>819</v>
      </c>
      <c r="Q225" s="566"/>
      <c r="R225" s="228" t="s">
        <v>1663</v>
      </c>
      <c r="S225" s="485">
        <v>529</v>
      </c>
    </row>
    <row x14ac:dyDescent="0.25" r="226" customHeight="1" ht="17.25">
      <c r="A226" s="259" t="s">
        <v>1664</v>
      </c>
      <c r="B226" s="504" t="s">
        <v>844</v>
      </c>
      <c r="C226" s="505" t="s">
        <v>1665</v>
      </c>
      <c r="D226" s="506">
        <v>14</v>
      </c>
      <c r="E226" s="506">
        <v>20000</v>
      </c>
      <c r="F226" s="263">
        <f>IF(E226&lt;&gt;"", ROUNDUP(E226/D226,0),"")</f>
        <v>25568.666666666668</v>
      </c>
      <c r="G226" s="507">
        <f>IF(E226&lt;&gt;"", (SQRT(D226*E226))/300, "")</f>
      </c>
      <c r="H226" s="508"/>
      <c r="I226" s="508"/>
      <c r="J226" s="508"/>
      <c r="K226" s="509"/>
      <c r="L226" s="510" t="s">
        <v>836</v>
      </c>
      <c r="M226" s="231">
        <v>45689</v>
      </c>
      <c r="N226" s="270" t="s">
        <v>503</v>
      </c>
      <c r="O226" s="271" t="s">
        <v>1666</v>
      </c>
      <c r="P226" s="259" t="s">
        <v>819</v>
      </c>
      <c r="Q226" s="272"/>
      <c r="R226" s="259" t="s">
        <v>1667</v>
      </c>
      <c r="S226" s="485">
        <v>528</v>
      </c>
    </row>
    <row x14ac:dyDescent="0.25" r="227" customHeight="1" ht="17.25">
      <c r="A227" s="228" t="s">
        <v>1668</v>
      </c>
      <c r="B227" s="21" t="s">
        <v>1669</v>
      </c>
      <c r="C227" s="491" t="s">
        <v>1670</v>
      </c>
      <c r="D227" s="23">
        <v>40</v>
      </c>
      <c r="E227" s="23">
        <v>8800</v>
      </c>
      <c r="F227" s="749">
        <f>IF(E227&lt;&gt;"", ROUNDUP(E227/D227,0),"")</f>
        <v>25568.666666666668</v>
      </c>
      <c r="G227" s="666">
        <f>IF(E227&lt;&gt;"", (SQRT(D227*E227))/300, "")</f>
      </c>
      <c r="H227" s="481"/>
      <c r="I227" s="481"/>
      <c r="J227" s="481"/>
      <c r="K227" s="481"/>
      <c r="L227" s="750" t="s">
        <v>1099</v>
      </c>
      <c r="M227" s="231">
        <v>45689</v>
      </c>
      <c r="N227" s="223" t="s">
        <v>503</v>
      </c>
      <c r="O227" s="615" t="s">
        <v>1670</v>
      </c>
      <c r="P227" s="492" t="s">
        <v>819</v>
      </c>
      <c r="Q227" s="566"/>
      <c r="R227" s="228" t="s">
        <v>1671</v>
      </c>
      <c r="S227" s="485">
        <v>527</v>
      </c>
    </row>
    <row x14ac:dyDescent="0.25" r="228" customHeight="1" ht="17.25">
      <c r="A228" s="228" t="s">
        <v>1672</v>
      </c>
      <c r="B228" s="21" t="s">
        <v>1673</v>
      </c>
      <c r="C228" s="491" t="s">
        <v>1674</v>
      </c>
      <c r="D228" s="23">
        <v>685</v>
      </c>
      <c r="E228" s="23">
        <v>14800</v>
      </c>
      <c r="F228" s="749">
        <f>IF(E228&lt;&gt;"", ROUNDUP(E228/D228,0),"")</f>
        <v>25568.666666666668</v>
      </c>
      <c r="G228" s="666">
        <f>IF(E228&lt;&gt;"", (SQRT(D228*E228))/300, "")</f>
      </c>
      <c r="H228" s="481">
        <v>90.5</v>
      </c>
      <c r="I228" s="481"/>
      <c r="J228" s="481"/>
      <c r="K228" s="751">
        <v>8.6</v>
      </c>
      <c r="L228" s="510" t="s">
        <v>836</v>
      </c>
      <c r="M228" s="231">
        <v>45689</v>
      </c>
      <c r="N228" s="223" t="s">
        <v>503</v>
      </c>
      <c r="O228" s="615" t="s">
        <v>1675</v>
      </c>
      <c r="P228" s="228" t="s">
        <v>802</v>
      </c>
      <c r="Q228" s="566" t="s">
        <v>445</v>
      </c>
      <c r="R228" s="228" t="s">
        <v>1676</v>
      </c>
      <c r="S228" s="485">
        <v>526</v>
      </c>
    </row>
    <row x14ac:dyDescent="0.25" r="229" customHeight="1" ht="17.25">
      <c r="A229" s="228" t="s">
        <v>1677</v>
      </c>
      <c r="B229" s="21" t="s">
        <v>811</v>
      </c>
      <c r="C229" s="476" t="s">
        <v>1032</v>
      </c>
      <c r="D229" s="23">
        <v>3000</v>
      </c>
      <c r="E229" s="478">
        <v>50000</v>
      </c>
      <c r="F229" s="230">
        <f>IF(E229&lt;&gt;"", ROUNDUP(E229/D229,0),"")</f>
        <v>25568.666666666668</v>
      </c>
      <c r="G229" s="479">
        <f>IF(E229&lt;&gt;"", (SQRT(D229*E229))/300, "")</f>
      </c>
      <c r="H229" s="488"/>
      <c r="I229" s="481">
        <v>79.9</v>
      </c>
      <c r="J229" s="481">
        <v>84.6</v>
      </c>
      <c r="K229" s="509"/>
      <c r="L229" s="510" t="s">
        <v>836</v>
      </c>
      <c r="M229" s="231">
        <v>45689</v>
      </c>
      <c r="N229" s="223" t="s">
        <v>503</v>
      </c>
      <c r="O229" s="491" t="s">
        <v>1678</v>
      </c>
      <c r="P229" s="646" t="s">
        <v>802</v>
      </c>
      <c r="Q229" s="566" t="s">
        <v>803</v>
      </c>
      <c r="R229" s="609" t="s">
        <v>1679</v>
      </c>
      <c r="S229" s="485">
        <v>525</v>
      </c>
    </row>
    <row x14ac:dyDescent="0.25" r="230" customHeight="1" ht="17.25">
      <c r="A230" s="492" t="s">
        <v>1680</v>
      </c>
      <c r="B230" s="607" t="s">
        <v>965</v>
      </c>
      <c r="C230" s="518" t="s">
        <v>966</v>
      </c>
      <c r="D230" s="496">
        <v>24</v>
      </c>
      <c r="E230" s="573">
        <v>8000</v>
      </c>
      <c r="F230" s="263">
        <f>IF(E230&lt;&gt;"", ROUNDUP(E230/D230,0),"")</f>
        <v>25568.666666666668</v>
      </c>
      <c r="G230" s="575">
        <f>IF(E230&lt;&gt;"", (SQRT(D230*E230))/300, "")</f>
      </c>
      <c r="H230" s="752">
        <v>81</v>
      </c>
      <c r="I230" s="611"/>
      <c r="J230" s="612"/>
      <c r="K230" s="481"/>
      <c r="L230" s="482" t="s">
        <v>830</v>
      </c>
      <c r="M230" s="231">
        <v>45689</v>
      </c>
      <c r="N230" s="490" t="s">
        <v>503</v>
      </c>
      <c r="O230" s="495" t="s">
        <v>1681</v>
      </c>
      <c r="P230" s="492" t="s">
        <v>819</v>
      </c>
      <c r="Q230" s="502"/>
      <c r="R230" s="492" t="s">
        <v>1682</v>
      </c>
      <c r="S230" s="485">
        <v>524</v>
      </c>
    </row>
    <row x14ac:dyDescent="0.25" r="231" customHeight="1" ht="17.25">
      <c r="A231" s="492" t="s">
        <v>1683</v>
      </c>
      <c r="B231" s="503" t="s">
        <v>1684</v>
      </c>
      <c r="C231" s="518" t="s">
        <v>1685</v>
      </c>
      <c r="D231" s="496">
        <v>40</v>
      </c>
      <c r="E231" s="496">
        <v>9000</v>
      </c>
      <c r="F231" s="651">
        <f>IF(E231&lt;&gt;"", ROUNDUP(E231/D231,0),"")</f>
        <v>25568.666666666668</v>
      </c>
      <c r="G231" s="652">
        <f>IF(E231&lt;&gt;"", (SQRT(D231*E231))/300, "")</f>
      </c>
      <c r="H231" s="649"/>
      <c r="I231" s="739"/>
      <c r="J231" s="481"/>
      <c r="K231" s="481"/>
      <c r="L231" s="482" t="s">
        <v>830</v>
      </c>
      <c r="M231" s="231">
        <v>45689</v>
      </c>
      <c r="N231" s="490" t="s">
        <v>503</v>
      </c>
      <c r="O231" s="501" t="s">
        <v>1686</v>
      </c>
      <c r="P231" s="503" t="s">
        <v>819</v>
      </c>
      <c r="Q231" s="566"/>
      <c r="R231" s="228" t="s">
        <v>1687</v>
      </c>
      <c r="S231" s="485">
        <v>523</v>
      </c>
    </row>
    <row x14ac:dyDescent="0.25" r="232" customHeight="1" ht="17.25">
      <c r="A232" s="492" t="s">
        <v>1688</v>
      </c>
      <c r="B232" s="503" t="s">
        <v>1220</v>
      </c>
      <c r="C232" s="518" t="s">
        <v>1689</v>
      </c>
      <c r="D232" s="496">
        <v>8</v>
      </c>
      <c r="E232" s="496">
        <v>15200</v>
      </c>
      <c r="F232" s="651">
        <f>IF(E232&lt;&gt;"", ROUNDUP(E232/D232,0),"")</f>
        <v>25568.666666666668</v>
      </c>
      <c r="G232" s="652">
        <f>IF(E232&lt;&gt;"", (SQRT(D232*E232))/300, "")</f>
      </c>
      <c r="H232" s="649"/>
      <c r="I232" s="739"/>
      <c r="J232" s="585">
        <v>38</v>
      </c>
      <c r="K232" s="509"/>
      <c r="L232" s="510" t="s">
        <v>836</v>
      </c>
      <c r="M232" s="231">
        <v>45689</v>
      </c>
      <c r="N232" s="490" t="s">
        <v>503</v>
      </c>
      <c r="O232" s="501" t="s">
        <v>1689</v>
      </c>
      <c r="P232" s="503" t="s">
        <v>819</v>
      </c>
      <c r="Q232" s="566" t="s">
        <v>445</v>
      </c>
      <c r="R232" s="609" t="s">
        <v>1690</v>
      </c>
      <c r="S232" s="485">
        <v>522</v>
      </c>
    </row>
    <row x14ac:dyDescent="0.25" r="233" customHeight="1" ht="17.25">
      <c r="A233" s="492" t="s">
        <v>1691</v>
      </c>
      <c r="B233" s="504" t="s">
        <v>1258</v>
      </c>
      <c r="C233" s="535" t="s">
        <v>1692</v>
      </c>
      <c r="D233" s="529">
        <v>32</v>
      </c>
      <c r="E233" s="526">
        <v>4000</v>
      </c>
      <c r="F233" s="263">
        <f>IF(E233&lt;&gt;"", ROUNDUP(E233/D233,0),"")</f>
        <v>25568.666666666668</v>
      </c>
      <c r="G233" s="487">
        <f>IF(E233&lt;&gt;"", (SQRT(D233*E233))/300, "")</f>
      </c>
      <c r="H233" s="658"/>
      <c r="I233" s="481"/>
      <c r="J233" s="659"/>
      <c r="K233" s="509"/>
      <c r="L233" s="510" t="s">
        <v>836</v>
      </c>
      <c r="M233" s="231">
        <v>45689</v>
      </c>
      <c r="N233" s="490" t="s">
        <v>503</v>
      </c>
      <c r="O233" s="501" t="s">
        <v>1693</v>
      </c>
      <c r="P233" s="492" t="s">
        <v>819</v>
      </c>
      <c r="Q233" s="566" t="s">
        <v>445</v>
      </c>
      <c r="R233" s="228" t="s">
        <v>1694</v>
      </c>
      <c r="S233" s="485">
        <v>521</v>
      </c>
    </row>
    <row x14ac:dyDescent="0.25" r="234" customHeight="1" ht="17.25">
      <c r="A234" s="228" t="s">
        <v>1695</v>
      </c>
      <c r="B234" s="462" t="s">
        <v>828</v>
      </c>
      <c r="C234" s="491" t="s">
        <v>1562</v>
      </c>
      <c r="D234" s="478">
        <v>200</v>
      </c>
      <c r="E234" s="478">
        <v>20000</v>
      </c>
      <c r="F234" s="230">
        <f>IF(E234&lt;&gt;"", ROUNDUP(E234/D234,0),"")</f>
        <v>25568.666666666668</v>
      </c>
      <c r="G234" s="479">
        <f>IF(E234&lt;&gt;"", (SQRT(D234*E234))/300, "")</f>
      </c>
      <c r="H234" s="481"/>
      <c r="I234" s="481">
        <v>79.1</v>
      </c>
      <c r="J234" s="481">
        <v>64.7</v>
      </c>
      <c r="K234" s="509"/>
      <c r="L234" s="510" t="s">
        <v>836</v>
      </c>
      <c r="M234" s="231">
        <v>45689</v>
      </c>
      <c r="N234" s="223" t="s">
        <v>503</v>
      </c>
      <c r="O234" s="615" t="s">
        <v>1696</v>
      </c>
      <c r="P234" s="640" t="s">
        <v>802</v>
      </c>
      <c r="Q234" s="484"/>
      <c r="R234" s="25" t="s">
        <v>1697</v>
      </c>
      <c r="S234" s="485">
        <v>520</v>
      </c>
    </row>
    <row x14ac:dyDescent="0.25" r="235" customHeight="1" ht="17.25">
      <c r="A235" s="228" t="s">
        <v>1698</v>
      </c>
      <c r="B235" s="21" t="s">
        <v>853</v>
      </c>
      <c r="C235" s="491" t="s">
        <v>1699</v>
      </c>
      <c r="D235" s="23">
        <v>32</v>
      </c>
      <c r="E235" s="23">
        <v>18000</v>
      </c>
      <c r="F235" s="753">
        <f>IF(E235&lt;&gt;"", ROUNDUP(E235/D235,0),"")</f>
        <v>25568.666666666668</v>
      </c>
      <c r="G235" s="479">
        <f>IF(E235&lt;&gt;"", (SQRT(D235*E235))/300, "")</f>
      </c>
      <c r="H235" s="481"/>
      <c r="I235" s="488"/>
      <c r="J235" s="481">
        <v>59.6</v>
      </c>
      <c r="K235" s="509"/>
      <c r="L235" s="510" t="s">
        <v>836</v>
      </c>
      <c r="M235" s="231">
        <v>45689</v>
      </c>
      <c r="N235" s="754" t="s">
        <v>503</v>
      </c>
      <c r="O235" s="615" t="s">
        <v>1700</v>
      </c>
      <c r="P235" s="228" t="s">
        <v>819</v>
      </c>
      <c r="Q235" s="566" t="s">
        <v>445</v>
      </c>
      <c r="R235" s="228" t="s">
        <v>1701</v>
      </c>
      <c r="S235" s="485">
        <v>519</v>
      </c>
    </row>
    <row x14ac:dyDescent="0.25" r="236" customHeight="1" ht="17.25">
      <c r="A236" s="228" t="s">
        <v>1702</v>
      </c>
      <c r="B236" s="462" t="s">
        <v>490</v>
      </c>
      <c r="C236" s="491" t="s">
        <v>1703</v>
      </c>
      <c r="D236" s="226">
        <v>20</v>
      </c>
      <c r="E236" s="226">
        <v>13000</v>
      </c>
      <c r="F236" s="753">
        <f>IF(E236&lt;&gt;"", ROUNDUP(E236/D236,0),"")</f>
        <v>25568.666666666668</v>
      </c>
      <c r="G236" s="479">
        <f>IF(E236&lt;&gt;"", (SQRT(D236*E236))/300, "")</f>
      </c>
      <c r="H236" s="481"/>
      <c r="I236" s="488"/>
      <c r="J236" s="755">
        <v>77</v>
      </c>
      <c r="K236" s="756">
        <v>14</v>
      </c>
      <c r="L236" s="510" t="s">
        <v>836</v>
      </c>
      <c r="M236" s="269">
        <v>45658</v>
      </c>
      <c r="N236" s="754" t="s">
        <v>503</v>
      </c>
      <c r="O236" s="615" t="s">
        <v>1704</v>
      </c>
      <c r="P236" s="646" t="s">
        <v>819</v>
      </c>
      <c r="Q236" s="566" t="s">
        <v>445</v>
      </c>
      <c r="R236" s="228" t="s">
        <v>1705</v>
      </c>
      <c r="S236" s="485">
        <v>518</v>
      </c>
    </row>
    <row x14ac:dyDescent="0.25" r="237" customHeight="1" ht="17.25">
      <c r="A237" s="259" t="s">
        <v>1706</v>
      </c>
      <c r="B237" s="607" t="s">
        <v>965</v>
      </c>
      <c r="C237" s="505" t="s">
        <v>1707</v>
      </c>
      <c r="D237" s="486">
        <v>24</v>
      </c>
      <c r="E237" s="486">
        <v>8000</v>
      </c>
      <c r="F237" s="536">
        <f>IF(E237&lt;&gt;"", ROUNDUP(E237/D237,0),"")</f>
        <v>25568.666666666668</v>
      </c>
      <c r="G237" s="587">
        <f>IF(E237&lt;&gt;"", (SQRT(D237*E237))/300, "")</f>
      </c>
      <c r="H237" s="588">
        <v>80.73</v>
      </c>
      <c r="I237" s="480">
        <v>54.37</v>
      </c>
      <c r="J237" s="533">
        <v>45.3</v>
      </c>
      <c r="K237" s="481"/>
      <c r="L237" s="482" t="s">
        <v>830</v>
      </c>
      <c r="M237" s="269">
        <v>45658</v>
      </c>
      <c r="N237" s="270" t="s">
        <v>503</v>
      </c>
      <c r="O237" s="511" t="s">
        <v>1707</v>
      </c>
      <c r="P237" s="259" t="s">
        <v>819</v>
      </c>
      <c r="Q237" s="272"/>
      <c r="R237" s="259" t="s">
        <v>1708</v>
      </c>
      <c r="S237" s="485">
        <v>517</v>
      </c>
    </row>
    <row x14ac:dyDescent="0.25" r="238" customHeight="1" ht="17.25">
      <c r="A238" s="259" t="s">
        <v>1709</v>
      </c>
      <c r="B238" s="249" t="s">
        <v>939</v>
      </c>
      <c r="C238" s="586" t="s">
        <v>1710</v>
      </c>
      <c r="D238" s="486">
        <v>405</v>
      </c>
      <c r="E238" s="486">
        <v>15600</v>
      </c>
      <c r="F238" s="263">
        <f>IF(E238&lt;&gt;"", ROUNDUP(E238/D238,0),"")</f>
        <v>25568.666666666668</v>
      </c>
      <c r="G238" s="757">
        <f>IF(E238&lt;&gt;"", (SQRT(D238*E238))/300, "")</f>
      </c>
      <c r="H238" s="758">
        <v>87</v>
      </c>
      <c r="I238" s="759"/>
      <c r="J238" s="612"/>
      <c r="K238" s="509"/>
      <c r="L238" s="510" t="s">
        <v>836</v>
      </c>
      <c r="M238" s="269">
        <v>45658</v>
      </c>
      <c r="N238" s="270" t="s">
        <v>503</v>
      </c>
      <c r="O238" s="511" t="s">
        <v>1711</v>
      </c>
      <c r="P238" s="259" t="s">
        <v>819</v>
      </c>
      <c r="Q238" s="590"/>
      <c r="R238" s="249" t="s">
        <v>1712</v>
      </c>
      <c r="S238" s="485">
        <v>516</v>
      </c>
    </row>
    <row x14ac:dyDescent="0.25" r="239" customHeight="1" ht="17.25">
      <c r="A239" s="492" t="s">
        <v>1713</v>
      </c>
      <c r="B239" s="504" t="s">
        <v>494</v>
      </c>
      <c r="C239" s="535" t="s">
        <v>1714</v>
      </c>
      <c r="D239" s="496">
        <v>325</v>
      </c>
      <c r="E239" s="496">
        <v>20000</v>
      </c>
      <c r="F239" s="536">
        <f>IF(E239&lt;&gt;"", ROUNDUP(E239/D239,0),"")</f>
        <v>25568.666666666668</v>
      </c>
      <c r="G239" s="537">
        <f>IF(E239&lt;&gt;"", (SQRT(D239*E239))/300, "")</f>
      </c>
      <c r="H239" s="480">
        <v>87.9</v>
      </c>
      <c r="I239" s="656">
        <v>69</v>
      </c>
      <c r="J239" s="533">
        <v>60.1</v>
      </c>
      <c r="K239" s="509"/>
      <c r="L239" s="510" t="s">
        <v>836</v>
      </c>
      <c r="M239" s="269">
        <v>45658</v>
      </c>
      <c r="N239" s="490" t="s">
        <v>503</v>
      </c>
      <c r="O239" s="495" t="s">
        <v>1715</v>
      </c>
      <c r="P239" s="259" t="s">
        <v>802</v>
      </c>
      <c r="Q239" s="539"/>
      <c r="R239" s="661" t="s">
        <v>1716</v>
      </c>
      <c r="S239" s="485">
        <v>515</v>
      </c>
    </row>
    <row x14ac:dyDescent="0.25" r="240" customHeight="1" ht="17.25">
      <c r="A240" s="492" t="s">
        <v>1717</v>
      </c>
      <c r="B240" s="503" t="s">
        <v>1718</v>
      </c>
      <c r="C240" s="518" t="s">
        <v>1719</v>
      </c>
      <c r="D240" s="572">
        <v>6.5</v>
      </c>
      <c r="E240" s="496">
        <v>1500</v>
      </c>
      <c r="F240" s="513">
        <f>IF(E240&lt;&gt;"", ROUNDUP(E240/D240,0),"")</f>
        <v>25568.666666666668</v>
      </c>
      <c r="G240" s="760">
        <f>IF(E240&lt;&gt;"", (SQRT(D240*E240))/300, "")</f>
      </c>
      <c r="H240" s="480">
        <v>50.6</v>
      </c>
      <c r="I240" s="739"/>
      <c r="J240" s="739"/>
      <c r="K240" s="481"/>
      <c r="L240" s="482" t="s">
        <v>830</v>
      </c>
      <c r="M240" s="269">
        <v>45658</v>
      </c>
      <c r="N240" s="490" t="s">
        <v>503</v>
      </c>
      <c r="O240" s="495" t="s">
        <v>1720</v>
      </c>
      <c r="P240" s="259" t="s">
        <v>819</v>
      </c>
      <c r="Q240" s="502"/>
      <c r="R240" s="492" t="s">
        <v>1721</v>
      </c>
      <c r="S240" s="485">
        <v>514</v>
      </c>
    </row>
    <row x14ac:dyDescent="0.25" r="241" customHeight="1" ht="17.25">
      <c r="A241" s="259" t="s">
        <v>1722</v>
      </c>
      <c r="B241" s="504" t="s">
        <v>1502</v>
      </c>
      <c r="C241" s="505" t="s">
        <v>1723</v>
      </c>
      <c r="D241" s="486">
        <v>72</v>
      </c>
      <c r="E241" s="562">
        <v>9000</v>
      </c>
      <c r="F241" s="651">
        <f>IF(E241&lt;&gt;"", ROUNDUP(E241/D241,0),"")</f>
        <v>25568.666666666668</v>
      </c>
      <c r="G241" s="761">
        <f>IF(E241&lt;&gt;"", (SQRT(D241*E241))/300, "")</f>
      </c>
      <c r="H241" s="480"/>
      <c r="I241" s="480"/>
      <c r="J241" s="480"/>
      <c r="K241" s="509"/>
      <c r="L241" s="510" t="s">
        <v>836</v>
      </c>
      <c r="M241" s="269">
        <v>45658</v>
      </c>
      <c r="N241" s="490" t="s">
        <v>503</v>
      </c>
      <c r="O241" s="271" t="s">
        <v>1724</v>
      </c>
      <c r="P241" s="259" t="s">
        <v>819</v>
      </c>
      <c r="Q241" s="566"/>
      <c r="R241" s="228" t="s">
        <v>1725</v>
      </c>
      <c r="S241" s="485">
        <v>513</v>
      </c>
    </row>
    <row x14ac:dyDescent="0.25" r="242" customHeight="1" ht="17.25">
      <c r="A242" s="259" t="s">
        <v>1726</v>
      </c>
      <c r="B242" s="504" t="s">
        <v>1502</v>
      </c>
      <c r="C242" s="505" t="s">
        <v>1727</v>
      </c>
      <c r="D242" s="562">
        <v>300</v>
      </c>
      <c r="E242" s="486">
        <v>9000</v>
      </c>
      <c r="F242" s="651">
        <f>IF(E242&lt;&gt;"", ROUNDUP(E242/D242,0),"")</f>
        <v>25568.666666666668</v>
      </c>
      <c r="G242" s="761">
        <f>IF(E242&lt;&gt;"", (SQRT(D242*E242))/300, "")</f>
      </c>
      <c r="H242" s="480">
        <v>88.6</v>
      </c>
      <c r="I242" s="480">
        <v>80.1</v>
      </c>
      <c r="J242" s="656">
        <v>65</v>
      </c>
      <c r="K242" s="509"/>
      <c r="L242" s="510" t="s">
        <v>836</v>
      </c>
      <c r="M242" s="269">
        <v>45658</v>
      </c>
      <c r="N242" s="490" t="s">
        <v>503</v>
      </c>
      <c r="O242" s="271" t="s">
        <v>1728</v>
      </c>
      <c r="P242" s="259" t="s">
        <v>802</v>
      </c>
      <c r="Q242" s="566" t="s">
        <v>445</v>
      </c>
      <c r="R242" s="228" t="s">
        <v>1729</v>
      </c>
      <c r="S242" s="485">
        <v>512</v>
      </c>
    </row>
    <row x14ac:dyDescent="0.25" r="243" customHeight="1" ht="17.25">
      <c r="A243" s="259" t="s">
        <v>1730</v>
      </c>
      <c r="B243" s="21" t="s">
        <v>1064</v>
      </c>
      <c r="C243" s="505" t="s">
        <v>1731</v>
      </c>
      <c r="D243" s="562">
        <v>500</v>
      </c>
      <c r="E243" s="573">
        <v>15000</v>
      </c>
      <c r="F243" s="230">
        <f>IF(E243&lt;&gt;"", ROUNDUP(E243/D243,0),"")</f>
        <v>25568.666666666668</v>
      </c>
      <c r="G243" s="487">
        <f>IF(E243&lt;&gt;"", (SQRT(D243*E243))/300, "")</f>
      </c>
      <c r="H243" s="480">
        <v>87.4</v>
      </c>
      <c r="I243" s="480"/>
      <c r="J243" s="538">
        <v>51.5</v>
      </c>
      <c r="K243" s="509"/>
      <c r="L243" s="510" t="s">
        <v>836</v>
      </c>
      <c r="M243" s="231">
        <v>45658</v>
      </c>
      <c r="N243" s="490" t="s">
        <v>503</v>
      </c>
      <c r="O243" s="615" t="s">
        <v>1732</v>
      </c>
      <c r="P243" s="259" t="s">
        <v>819</v>
      </c>
      <c r="Q243" s="566" t="s">
        <v>445</v>
      </c>
      <c r="R243" s="228" t="s">
        <v>1733</v>
      </c>
      <c r="S243" s="485">
        <v>511</v>
      </c>
    </row>
    <row x14ac:dyDescent="0.25" r="244" customHeight="1" ht="17.25">
      <c r="A244" s="228" t="s">
        <v>1734</v>
      </c>
      <c r="B244" s="21" t="s">
        <v>479</v>
      </c>
      <c r="C244" s="491" t="s">
        <v>1377</v>
      </c>
      <c r="D244" s="226">
        <v>685</v>
      </c>
      <c r="E244" s="226">
        <v>14800</v>
      </c>
      <c r="F244" s="230">
        <v>23</v>
      </c>
      <c r="G244" s="479">
        <f>IF(E244&lt;&gt;"", (SQRT(D244*E244))/300, "")</f>
      </c>
      <c r="H244" s="481">
        <v>90.8</v>
      </c>
      <c r="I244" s="585">
        <v>84</v>
      </c>
      <c r="J244" s="481">
        <v>71.5</v>
      </c>
      <c r="K244" s="481">
        <v>8.6</v>
      </c>
      <c r="L244" s="482" t="s">
        <v>830</v>
      </c>
      <c r="M244" s="231">
        <v>45658</v>
      </c>
      <c r="N244" s="223" t="s">
        <v>503</v>
      </c>
      <c r="O244" s="615" t="s">
        <v>1735</v>
      </c>
      <c r="P244" s="228" t="s">
        <v>802</v>
      </c>
      <c r="Q244" s="566" t="s">
        <v>803</v>
      </c>
      <c r="R244" s="228" t="s">
        <v>1736</v>
      </c>
      <c r="S244" s="485">
        <v>510</v>
      </c>
    </row>
    <row x14ac:dyDescent="0.25" r="245" customHeight="1" ht="17.25">
      <c r="A245" s="492" t="s">
        <v>1737</v>
      </c>
      <c r="B245" s="561" t="s">
        <v>490</v>
      </c>
      <c r="C245" s="662"/>
      <c r="D245" s="526">
        <v>8</v>
      </c>
      <c r="E245" s="526">
        <v>4000</v>
      </c>
      <c r="F245" s="263">
        <f>IF(E245&lt;&gt;"", ROUNDUP(E245/D245,0),"")</f>
        <v>25568.666666666668</v>
      </c>
      <c r="G245" s="487">
        <f>IF(E245&lt;&gt;"", (SQRT(D245*E245))/300, "")</f>
      </c>
      <c r="H245" s="658"/>
      <c r="I245" s="481"/>
      <c r="J245" s="659"/>
      <c r="K245" s="481"/>
      <c r="L245" s="750" t="s">
        <v>1099</v>
      </c>
      <c r="M245" s="231">
        <v>45658</v>
      </c>
      <c r="N245" s="490" t="s">
        <v>470</v>
      </c>
      <c r="O245" s="501" t="s">
        <v>1738</v>
      </c>
      <c r="P245" s="492" t="s">
        <v>819</v>
      </c>
      <c r="Q245" s="502"/>
      <c r="R245" s="613" t="s">
        <v>1739</v>
      </c>
      <c r="S245" s="485">
        <v>509</v>
      </c>
    </row>
    <row x14ac:dyDescent="0.25" r="246" customHeight="1" ht="17.25">
      <c r="A246" s="492" t="s">
        <v>1740</v>
      </c>
      <c r="B246" s="561" t="s">
        <v>1741</v>
      </c>
      <c r="C246" s="535" t="s">
        <v>1742</v>
      </c>
      <c r="D246" s="529">
        <v>2</v>
      </c>
      <c r="E246" s="529">
        <v>2500</v>
      </c>
      <c r="F246" s="263">
        <f>IF(E246&lt;&gt;"", ROUNDUP(E246/D246,0),"")</f>
        <v>25568.666666666668</v>
      </c>
      <c r="G246" s="487">
        <f>IF(E246&lt;&gt;"", (SQRT(D246*E246))/300, "")</f>
      </c>
      <c r="H246" s="658">
        <v>51.2</v>
      </c>
      <c r="I246" s="481"/>
      <c r="J246" s="659"/>
      <c r="K246" s="481"/>
      <c r="L246" s="482" t="s">
        <v>830</v>
      </c>
      <c r="M246" s="231">
        <v>45658</v>
      </c>
      <c r="N246" s="490" t="s">
        <v>503</v>
      </c>
      <c r="O246" s="501" t="s">
        <v>1743</v>
      </c>
      <c r="P246" s="492" t="s">
        <v>819</v>
      </c>
      <c r="Q246" s="502"/>
      <c r="R246" s="492" t="s">
        <v>1744</v>
      </c>
      <c r="S246" s="485">
        <v>508</v>
      </c>
    </row>
    <row x14ac:dyDescent="0.25" r="247" customHeight="1" ht="17.25">
      <c r="A247" s="492" t="s">
        <v>1745</v>
      </c>
      <c r="B247" s="504" t="s">
        <v>1258</v>
      </c>
      <c r="C247" s="535" t="s">
        <v>1746</v>
      </c>
      <c r="D247" s="529">
        <v>8</v>
      </c>
      <c r="E247" s="529">
        <v>4000</v>
      </c>
      <c r="F247" s="263">
        <f>IF(E247&lt;&gt;"", ROUNDUP(E247/D247,0),"")</f>
        <v>25568.666666666668</v>
      </c>
      <c r="G247" s="487">
        <f>IF(E247&lt;&gt;"", (SQRT(D247*E247))/300, "")</f>
      </c>
      <c r="H247" s="658">
        <v>76.6</v>
      </c>
      <c r="I247" s="481">
        <v>57.6</v>
      </c>
      <c r="J247" s="659">
        <v>37.4</v>
      </c>
      <c r="K247" s="481"/>
      <c r="L247" s="482" t="s">
        <v>830</v>
      </c>
      <c r="M247" s="231">
        <v>45658</v>
      </c>
      <c r="N247" s="490" t="s">
        <v>503</v>
      </c>
      <c r="O247" s="495" t="s">
        <v>1746</v>
      </c>
      <c r="P247" s="492" t="s">
        <v>819</v>
      </c>
      <c r="Q247" s="502"/>
      <c r="R247" s="613" t="s">
        <v>1747</v>
      </c>
      <c r="S247" s="485">
        <v>507</v>
      </c>
    </row>
    <row x14ac:dyDescent="0.25" r="248" customHeight="1" ht="17.25">
      <c r="A248" s="228" t="s">
        <v>1748</v>
      </c>
      <c r="B248" s="504" t="s">
        <v>1086</v>
      </c>
      <c r="C248" s="491" t="s">
        <v>1749</v>
      </c>
      <c r="D248" s="477">
        <v>456</v>
      </c>
      <c r="E248" s="226">
        <v>7200</v>
      </c>
      <c r="F248" s="230">
        <f>IF(E248&lt;&gt;"", ROUNDUP(E248/D248,0),"")</f>
        <v>25568.666666666668</v>
      </c>
      <c r="G248" s="487">
        <f>IF(E248&lt;&gt;"", (SQRT(D248*E248))/300, "")</f>
      </c>
      <c r="H248" s="481">
        <v>88.5</v>
      </c>
      <c r="I248" s="481">
        <v>75.7</v>
      </c>
      <c r="J248" s="481">
        <v>54.4</v>
      </c>
      <c r="K248" s="481"/>
      <c r="L248" s="482" t="s">
        <v>830</v>
      </c>
      <c r="M248" s="231">
        <v>45658</v>
      </c>
      <c r="N248" s="223" t="s">
        <v>503</v>
      </c>
      <c r="O248" s="491" t="s">
        <v>1750</v>
      </c>
      <c r="P248" s="21" t="s">
        <v>802</v>
      </c>
      <c r="Q248" s="484"/>
      <c r="R248" s="25" t="s">
        <v>1751</v>
      </c>
      <c r="S248" s="485">
        <v>506</v>
      </c>
    </row>
    <row x14ac:dyDescent="0.25" r="249" customHeight="1" ht="17.25">
      <c r="A249" s="228" t="s">
        <v>1752</v>
      </c>
      <c r="B249" s="494" t="s">
        <v>1753</v>
      </c>
      <c r="C249" s="491" t="s">
        <v>1754</v>
      </c>
      <c r="D249" s="477">
        <v>32</v>
      </c>
      <c r="E249" s="23">
        <v>18000</v>
      </c>
      <c r="F249" s="230">
        <f>IF(E249&lt;&gt;"", ROUNDUP(E249/D249,0),"")</f>
        <v>25568.666666666668</v>
      </c>
      <c r="G249" s="487">
        <f>IF(E249&lt;&gt;"", (SQRT(D249*E249))/300, "")</f>
      </c>
      <c r="H249" s="481"/>
      <c r="I249" s="481"/>
      <c r="J249" s="481">
        <v>56.8</v>
      </c>
      <c r="K249" s="509"/>
      <c r="L249" s="510" t="s">
        <v>836</v>
      </c>
      <c r="M249" s="231">
        <v>45658</v>
      </c>
      <c r="N249" s="223" t="s">
        <v>503</v>
      </c>
      <c r="O249" s="491" t="s">
        <v>1755</v>
      </c>
      <c r="P249" s="21" t="s">
        <v>819</v>
      </c>
      <c r="Q249" s="484"/>
      <c r="R249" s="21" t="s">
        <v>1756</v>
      </c>
      <c r="S249" s="485">
        <v>505</v>
      </c>
    </row>
    <row x14ac:dyDescent="0.25" r="250" customHeight="1" ht="17.25">
      <c r="A250" s="228" t="s">
        <v>1757</v>
      </c>
      <c r="B250" s="494" t="s">
        <v>474</v>
      </c>
      <c r="C250" s="491" t="s">
        <v>1758</v>
      </c>
      <c r="D250" s="477">
        <v>34</v>
      </c>
      <c r="E250" s="762">
        <v>400000</v>
      </c>
      <c r="F250" s="230">
        <f>IF(E250&lt;&gt;"", ROUNDUP(E250/D250,0),"")</f>
        <v>25568.666666666668</v>
      </c>
      <c r="G250" s="487">
        <f>IF(E250&lt;&gt;"", (SQRT(D250*E250))/300, "")</f>
      </c>
      <c r="H250" s="481"/>
      <c r="I250" s="481"/>
      <c r="J250" s="481"/>
      <c r="K250" s="481"/>
      <c r="L250" s="750" t="s">
        <v>1099</v>
      </c>
      <c r="M250" s="231">
        <v>45658</v>
      </c>
      <c r="N250" s="223" t="s">
        <v>503</v>
      </c>
      <c r="O250" s="491" t="s">
        <v>475</v>
      </c>
      <c r="P250" s="21" t="s">
        <v>819</v>
      </c>
      <c r="Q250" s="484"/>
      <c r="R250" s="25" t="s">
        <v>1759</v>
      </c>
      <c r="S250" s="485">
        <v>504</v>
      </c>
    </row>
    <row x14ac:dyDescent="0.25" r="251" customHeight="1" ht="17.25">
      <c r="A251" s="228" t="s">
        <v>1760</v>
      </c>
      <c r="B251" s="494" t="s">
        <v>474</v>
      </c>
      <c r="C251" s="491" t="s">
        <v>1761</v>
      </c>
      <c r="D251" s="477">
        <v>14</v>
      </c>
      <c r="E251" s="762">
        <v>400000</v>
      </c>
      <c r="F251" s="230">
        <f>IF(E251&lt;&gt;"", ROUNDUP(E251/D251,0),"")</f>
        <v>25568.666666666668</v>
      </c>
      <c r="G251" s="487">
        <f>IF(E251&lt;&gt;"", (SQRT(D251*E251))/300, "")</f>
      </c>
      <c r="H251" s="481"/>
      <c r="I251" s="481"/>
      <c r="J251" s="481"/>
      <c r="K251" s="481"/>
      <c r="L251" s="750" t="s">
        <v>1099</v>
      </c>
      <c r="M251" s="231">
        <v>45658</v>
      </c>
      <c r="N251" s="223" t="s">
        <v>503</v>
      </c>
      <c r="O251" s="491" t="s">
        <v>475</v>
      </c>
      <c r="P251" s="21" t="s">
        <v>819</v>
      </c>
      <c r="Q251" s="484"/>
      <c r="R251" s="25" t="s">
        <v>1762</v>
      </c>
      <c r="S251" s="485">
        <v>503</v>
      </c>
    </row>
    <row x14ac:dyDescent="0.25" r="252" customHeight="1" ht="17.25">
      <c r="A252" s="228" t="s">
        <v>1763</v>
      </c>
      <c r="B252" s="21" t="s">
        <v>1005</v>
      </c>
      <c r="C252" s="491" t="s">
        <v>1764</v>
      </c>
      <c r="D252" s="477">
        <v>7</v>
      </c>
      <c r="E252" s="477">
        <v>370</v>
      </c>
      <c r="F252" s="230">
        <f>IF(E252&lt;&gt;"", ROUNDUP(E252/D252,0),"")</f>
        <v>25568.666666666668</v>
      </c>
      <c r="G252" s="487">
        <f>IF(E252&lt;&gt;"", (SQRT(D252*E252))/300, "")</f>
      </c>
      <c r="H252" s="481"/>
      <c r="I252" s="481"/>
      <c r="J252" s="481"/>
      <c r="K252" s="481"/>
      <c r="L252" s="750" t="s">
        <v>1099</v>
      </c>
      <c r="M252" s="231">
        <v>45658</v>
      </c>
      <c r="N252" s="223" t="s">
        <v>503</v>
      </c>
      <c r="O252" s="491" t="s">
        <v>1765</v>
      </c>
      <c r="P252" s="21" t="s">
        <v>819</v>
      </c>
      <c r="Q252" s="484"/>
      <c r="R252" s="21" t="s">
        <v>1766</v>
      </c>
      <c r="S252" s="485">
        <v>502</v>
      </c>
    </row>
    <row x14ac:dyDescent="0.25" r="253" customHeight="1" ht="17.25">
      <c r="A253" s="541" t="s">
        <v>1767</v>
      </c>
      <c r="B253" s="542" t="s">
        <v>1768</v>
      </c>
      <c r="C253" s="543" t="s">
        <v>1769</v>
      </c>
      <c r="D253" s="763">
        <v>405</v>
      </c>
      <c r="E253" s="763">
        <v>15000</v>
      </c>
      <c r="F253" s="764">
        <f>IF(E253&lt;&gt;"", ROUNDUP(E253/D253,0),"")</f>
        <v>25568.666666666668</v>
      </c>
      <c r="G253" s="765">
        <f>IF(E253&lt;&gt;"", (SQRT(D253*E253))/300, "")</f>
      </c>
      <c r="H253" s="547">
        <v>90.15</v>
      </c>
      <c r="I253" s="547">
        <v>73.1</v>
      </c>
      <c r="J253" s="547">
        <v>67.3</v>
      </c>
      <c r="K253" s="547"/>
      <c r="L253" s="766" t="s">
        <v>830</v>
      </c>
      <c r="M253" s="549">
        <v>45658</v>
      </c>
      <c r="N253" s="550" t="s">
        <v>503</v>
      </c>
      <c r="O253" s="767" t="s">
        <v>1770</v>
      </c>
      <c r="P253" s="541" t="s">
        <v>819</v>
      </c>
      <c r="Q253" s="551"/>
      <c r="R253" s="541" t="s">
        <v>1771</v>
      </c>
      <c r="S253" s="553">
        <v>501</v>
      </c>
    </row>
    <row x14ac:dyDescent="0.25" r="254" customHeight="1" ht="17.25">
      <c r="A254" s="492" t="s">
        <v>1772</v>
      </c>
      <c r="B254" s="503" t="s">
        <v>1773</v>
      </c>
      <c r="C254" s="518" t="s">
        <v>1774</v>
      </c>
      <c r="D254" s="572">
        <v>2.4</v>
      </c>
      <c r="E254" s="496">
        <v>1080</v>
      </c>
      <c r="F254" s="263">
        <f>IF(E254&lt;&gt;"", ROUNDUP(E254/D254,0),"")</f>
        <v>25568.666666666668</v>
      </c>
      <c r="G254" s="768">
        <f>IF(E254&lt;&gt;"", (SQRT(D254*E254))/300, "")</f>
      </c>
      <c r="H254" s="769">
        <v>51.79</v>
      </c>
      <c r="I254" s="739"/>
      <c r="J254" s="739"/>
      <c r="K254" s="481"/>
      <c r="L254" s="482" t="s">
        <v>830</v>
      </c>
      <c r="M254" s="231">
        <v>45627</v>
      </c>
      <c r="N254" s="490" t="s">
        <v>503</v>
      </c>
      <c r="O254" s="495" t="s">
        <v>1775</v>
      </c>
      <c r="P254" s="492" t="s">
        <v>819</v>
      </c>
      <c r="Q254" s="502"/>
      <c r="R254" s="492" t="s">
        <v>1776</v>
      </c>
      <c r="S254" s="485">
        <v>500</v>
      </c>
    </row>
    <row x14ac:dyDescent="0.25" r="255" customHeight="1" ht="17.25">
      <c r="A255" s="228" t="s">
        <v>1777</v>
      </c>
      <c r="B255" s="462" t="s">
        <v>479</v>
      </c>
      <c r="C255" s="491" t="s">
        <v>1377</v>
      </c>
      <c r="D255" s="477">
        <v>685</v>
      </c>
      <c r="E255" s="477">
        <v>14800</v>
      </c>
      <c r="F255" s="753">
        <f>IF(E255&lt;&gt;"", ROUNDUP(E255/D255,0),"")</f>
        <v>25568.666666666668</v>
      </c>
      <c r="G255" s="479">
        <f>IF(E255&lt;&gt;"", (SQRT(D255*E255))/300, "")</f>
      </c>
      <c r="H255" s="481">
        <v>87.1</v>
      </c>
      <c r="I255" s="481">
        <v>64.4</v>
      </c>
      <c r="J255" s="481">
        <v>59.1</v>
      </c>
      <c r="K255" s="509"/>
      <c r="L255" s="510" t="s">
        <v>836</v>
      </c>
      <c r="M255" s="231">
        <v>45627</v>
      </c>
      <c r="N255" s="223" t="s">
        <v>503</v>
      </c>
      <c r="O255" s="615" t="s">
        <v>1778</v>
      </c>
      <c r="P255" s="228" t="s">
        <v>802</v>
      </c>
      <c r="Q255" s="484" t="s">
        <v>808</v>
      </c>
      <c r="R255" s="25" t="s">
        <v>1779</v>
      </c>
      <c r="S255" s="485">
        <v>499</v>
      </c>
    </row>
    <row x14ac:dyDescent="0.25" r="256" customHeight="1" ht="17.25">
      <c r="A256" s="228" t="s">
        <v>1780</v>
      </c>
      <c r="B256" s="462" t="s">
        <v>1781</v>
      </c>
      <c r="C256" s="491" t="s">
        <v>1782</v>
      </c>
      <c r="D256" s="477">
        <v>8</v>
      </c>
      <c r="E256" s="477">
        <v>15000</v>
      </c>
      <c r="F256" s="230">
        <f>IF(E256&lt;&gt;"", ROUNDUP(E256/D256,0),"")</f>
        <v>25568.666666666668</v>
      </c>
      <c r="G256" s="479">
        <f>IF(E256&lt;&gt;"", (SQRT(D256*E256))/300, "")</f>
      </c>
      <c r="H256" s="481"/>
      <c r="I256" s="481"/>
      <c r="J256" s="481"/>
      <c r="K256" s="481"/>
      <c r="L256" s="482" t="s">
        <v>830</v>
      </c>
      <c r="M256" s="231">
        <v>45627</v>
      </c>
      <c r="N256" s="754" t="s">
        <v>470</v>
      </c>
      <c r="O256" s="615" t="s">
        <v>1782</v>
      </c>
      <c r="P256" s="228" t="s">
        <v>819</v>
      </c>
      <c r="Q256" s="566"/>
      <c r="R256" s="228" t="s">
        <v>1783</v>
      </c>
      <c r="S256" s="485">
        <v>498</v>
      </c>
    </row>
    <row x14ac:dyDescent="0.25" r="257" customHeight="1" ht="17.25">
      <c r="A257" s="228" t="s">
        <v>1784</v>
      </c>
      <c r="B257" s="462" t="s">
        <v>490</v>
      </c>
      <c r="C257" s="491" t="s">
        <v>1785</v>
      </c>
      <c r="D257" s="226">
        <v>600</v>
      </c>
      <c r="E257" s="226">
        <v>100000</v>
      </c>
      <c r="F257" s="753">
        <f>IF(E257&lt;&gt;"", ROUNDUP(E257/D257,0),"")</f>
        <v>25568.666666666668</v>
      </c>
      <c r="G257" s="479">
        <f>IF(E257&lt;&gt;"", (SQRT(D257*E257))/300, "")</f>
      </c>
      <c r="H257" s="481"/>
      <c r="I257" s="488"/>
      <c r="J257" s="481">
        <v>87.7</v>
      </c>
      <c r="K257" s="509"/>
      <c r="L257" s="510" t="s">
        <v>836</v>
      </c>
      <c r="M257" s="231">
        <v>45627</v>
      </c>
      <c r="N257" s="754" t="s">
        <v>503</v>
      </c>
      <c r="O257" s="615" t="s">
        <v>1785</v>
      </c>
      <c r="P257" s="21" t="s">
        <v>802</v>
      </c>
      <c r="Q257" s="566" t="s">
        <v>803</v>
      </c>
      <c r="R257" s="228" t="s">
        <v>1786</v>
      </c>
      <c r="S257" s="485">
        <v>497</v>
      </c>
    </row>
    <row x14ac:dyDescent="0.25" r="258" customHeight="1" ht="17.25">
      <c r="A258" s="492" t="s">
        <v>1787</v>
      </c>
      <c r="B258" s="21" t="s">
        <v>1788</v>
      </c>
      <c r="C258" s="518" t="s">
        <v>1789</v>
      </c>
      <c r="D258" s="519">
        <v>0.4</v>
      </c>
      <c r="E258" s="496">
        <v>332</v>
      </c>
      <c r="F258" s="263">
        <f>IF(E258&lt;&gt;"", ROUNDUP(E258/D258,0),"")</f>
        <v>25568.666666666668</v>
      </c>
      <c r="G258" s="770">
        <f>IF(E258&lt;&gt;"", (SQRT(D258*E258))/300, "")</f>
      </c>
      <c r="H258" s="509"/>
      <c r="I258" s="509"/>
      <c r="J258" s="509"/>
      <c r="K258" s="481"/>
      <c r="L258" s="482" t="s">
        <v>830</v>
      </c>
      <c r="M258" s="231">
        <v>45627</v>
      </c>
      <c r="N258" s="490" t="s">
        <v>503</v>
      </c>
      <c r="O258" s="495" t="s">
        <v>1789</v>
      </c>
      <c r="P258" s="492" t="s">
        <v>819</v>
      </c>
      <c r="Q258" s="583"/>
      <c r="R258" s="503" t="s">
        <v>1790</v>
      </c>
      <c r="S258" s="485">
        <v>496</v>
      </c>
    </row>
    <row x14ac:dyDescent="0.25" r="259" customHeight="1" ht="17.25">
      <c r="A259" s="492" t="s">
        <v>1791</v>
      </c>
      <c r="B259" s="21" t="s">
        <v>483</v>
      </c>
      <c r="C259" s="535" t="s">
        <v>1792</v>
      </c>
      <c r="D259" s="572">
        <v>0.395</v>
      </c>
      <c r="E259" s="496">
        <v>2000</v>
      </c>
      <c r="F259" s="263">
        <f>IF(E259&lt;&gt;"", ROUNDUP(E259/D259,0),"")</f>
        <v>25568.666666666668</v>
      </c>
      <c r="G259" s="575">
        <f>IF(E259&lt;&gt;"", (SQRT(D259*E259))/300, "")</f>
      </c>
      <c r="H259" s="576"/>
      <c r="I259" s="509"/>
      <c r="J259" s="509"/>
      <c r="K259" s="481"/>
      <c r="L259" s="482" t="s">
        <v>830</v>
      </c>
      <c r="M259" s="231">
        <v>45627</v>
      </c>
      <c r="N259" s="223" t="s">
        <v>503</v>
      </c>
      <c r="O259" s="501" t="s">
        <v>1793</v>
      </c>
      <c r="P259" s="492" t="s">
        <v>819</v>
      </c>
      <c r="Q259" s="583"/>
      <c r="R259" s="584" t="s">
        <v>1794</v>
      </c>
      <c r="S259" s="485">
        <v>495</v>
      </c>
    </row>
    <row x14ac:dyDescent="0.25" r="260" customHeight="1" ht="17.25">
      <c r="A260" s="492" t="s">
        <v>1795</v>
      </c>
      <c r="B260" s="503" t="s">
        <v>1117</v>
      </c>
      <c r="C260" s="518" t="s">
        <v>1796</v>
      </c>
      <c r="D260" s="529">
        <v>8</v>
      </c>
      <c r="E260" s="529">
        <v>12000</v>
      </c>
      <c r="F260" s="536">
        <f>IF(E260&lt;&gt;"", ROUNDUP(E260/D260,0),"")</f>
        <v>25568.666666666668</v>
      </c>
      <c r="G260" s="738">
        <f>IF(E260&lt;&gt;"", (SQRT(D260*E260))/300, "")</f>
      </c>
      <c r="H260" s="771"/>
      <c r="I260" s="772"/>
      <c r="J260" s="773"/>
      <c r="K260" s="481"/>
      <c r="L260" s="482" t="s">
        <v>830</v>
      </c>
      <c r="M260" s="231">
        <v>45627</v>
      </c>
      <c r="N260" s="490" t="s">
        <v>503</v>
      </c>
      <c r="O260" s="495" t="s">
        <v>1797</v>
      </c>
      <c r="P260" s="492" t="s">
        <v>819</v>
      </c>
      <c r="Q260" s="502"/>
      <c r="R260" s="492"/>
      <c r="S260" s="485">
        <v>494</v>
      </c>
    </row>
    <row x14ac:dyDescent="0.25" r="261" customHeight="1" ht="17.25">
      <c r="A261" s="492" t="s">
        <v>1798</v>
      </c>
      <c r="B261" s="561" t="s">
        <v>1117</v>
      </c>
      <c r="C261" s="518" t="s">
        <v>1799</v>
      </c>
      <c r="D261" s="496">
        <v>9</v>
      </c>
      <c r="E261" s="496">
        <v>2200</v>
      </c>
      <c r="F261" s="263">
        <f>IF(E261&lt;&gt;"", ROUNDUP(E261/D261,0),"")</f>
        <v>25568.666666666668</v>
      </c>
      <c r="G261" s="575">
        <f>IF(E261&lt;&gt;"", (SQRT(D261*E261))/300, "")</f>
      </c>
      <c r="H261" s="576">
        <v>60.77</v>
      </c>
      <c r="I261" s="509">
        <v>17.53</v>
      </c>
      <c r="J261" s="509">
        <v>4.14</v>
      </c>
      <c r="K261" s="481"/>
      <c r="L261" s="482" t="s">
        <v>830</v>
      </c>
      <c r="M261" s="231">
        <v>45627</v>
      </c>
      <c r="N261" s="223" t="s">
        <v>503</v>
      </c>
      <c r="O261" s="501" t="s">
        <v>1799</v>
      </c>
      <c r="P261" s="492" t="s">
        <v>819</v>
      </c>
      <c r="Q261" s="583"/>
      <c r="R261" s="503" t="s">
        <v>1800</v>
      </c>
      <c r="S261" s="485">
        <v>493</v>
      </c>
    </row>
    <row x14ac:dyDescent="0.25" r="262" customHeight="1" ht="17.25">
      <c r="A262" s="228" t="s">
        <v>1801</v>
      </c>
      <c r="B262" s="21" t="s">
        <v>490</v>
      </c>
      <c r="C262" s="491" t="s">
        <v>1802</v>
      </c>
      <c r="D262" s="226">
        <v>200</v>
      </c>
      <c r="E262" s="478">
        <v>20000</v>
      </c>
      <c r="F262" s="230">
        <f>IF(E262&lt;&gt;"", ROUNDUP(E262/D262,0),"")</f>
        <v>25568.666666666668</v>
      </c>
      <c r="G262" s="575">
        <f>IF(E262&lt;&gt;"", (SQRT(D262*E262))/300, "")</f>
      </c>
      <c r="H262" s="481">
        <v>91.8</v>
      </c>
      <c r="I262" s="481"/>
      <c r="J262" s="481">
        <v>75.7</v>
      </c>
      <c r="K262" s="481">
        <v>8.8</v>
      </c>
      <c r="L262" s="482" t="s">
        <v>830</v>
      </c>
      <c r="M262" s="231">
        <v>45627</v>
      </c>
      <c r="N262" s="223" t="s">
        <v>470</v>
      </c>
      <c r="O262" s="491" t="s">
        <v>1803</v>
      </c>
      <c r="P262" s="21" t="s">
        <v>802</v>
      </c>
      <c r="Q262" s="566"/>
      <c r="R262" s="228" t="s">
        <v>1804</v>
      </c>
      <c r="S262" s="485">
        <v>492</v>
      </c>
    </row>
    <row x14ac:dyDescent="0.25" r="263" customHeight="1" ht="17.25">
      <c r="A263" s="492" t="s">
        <v>1805</v>
      </c>
      <c r="B263" s="21" t="s">
        <v>552</v>
      </c>
      <c r="C263" s="535" t="s">
        <v>1806</v>
      </c>
      <c r="D263" s="496">
        <v>10</v>
      </c>
      <c r="E263" s="496">
        <v>16000</v>
      </c>
      <c r="F263" s="263">
        <f>IF(E263&lt;&gt;"", ROUNDUP(E263/D263,0),"")</f>
        <v>25568.666666666668</v>
      </c>
      <c r="G263" s="575">
        <f>IF(E263&lt;&gt;"", (SQRT(D263*E263))/300, "")</f>
      </c>
      <c r="H263" s="509">
        <v>73.1</v>
      </c>
      <c r="I263" s="509">
        <v>42.5</v>
      </c>
      <c r="J263" s="509">
        <v>34.1</v>
      </c>
      <c r="K263" s="509"/>
      <c r="L263" s="510" t="s">
        <v>836</v>
      </c>
      <c r="M263" s="231">
        <v>45627</v>
      </c>
      <c r="N263" s="490" t="s">
        <v>503</v>
      </c>
      <c r="O263" s="501" t="s">
        <v>1807</v>
      </c>
      <c r="P263" s="492" t="s">
        <v>819</v>
      </c>
      <c r="Q263" s="502"/>
      <c r="R263" s="492" t="s">
        <v>1808</v>
      </c>
      <c r="S263" s="485">
        <v>491</v>
      </c>
    </row>
    <row x14ac:dyDescent="0.25" r="264" customHeight="1" ht="17.25">
      <c r="A264" s="492" t="s">
        <v>1809</v>
      </c>
      <c r="B264" s="21" t="s">
        <v>1591</v>
      </c>
      <c r="C264" s="535" t="s">
        <v>1810</v>
      </c>
      <c r="D264" s="496">
        <v>7</v>
      </c>
      <c r="E264" s="573">
        <v>2000</v>
      </c>
      <c r="F264" s="263">
        <f>IF(E264&lt;&gt;"", ROUNDUP(E264/D264,0),"")</f>
        <v>25568.666666666668</v>
      </c>
      <c r="G264" s="575">
        <f>IF(E264&lt;&gt;"", (SQRT(D264*E264))/300, "")</f>
      </c>
      <c r="H264" s="509"/>
      <c r="I264" s="509">
        <v>28.5</v>
      </c>
      <c r="J264" s="509">
        <v>7.7</v>
      </c>
      <c r="K264" s="481"/>
      <c r="L264" s="482" t="s">
        <v>830</v>
      </c>
      <c r="M264" s="231">
        <v>45627</v>
      </c>
      <c r="N264" s="490" t="s">
        <v>503</v>
      </c>
      <c r="O264" s="501" t="s">
        <v>1811</v>
      </c>
      <c r="P264" s="492" t="s">
        <v>819</v>
      </c>
      <c r="Q264" s="502"/>
      <c r="R264" s="492"/>
      <c r="S264" s="485">
        <v>490</v>
      </c>
    </row>
    <row x14ac:dyDescent="0.25" r="265" customHeight="1" ht="17.25">
      <c r="A265" s="492" t="s">
        <v>1812</v>
      </c>
      <c r="B265" s="21" t="s">
        <v>1591</v>
      </c>
      <c r="C265" s="535" t="s">
        <v>1813</v>
      </c>
      <c r="D265" s="496">
        <v>8</v>
      </c>
      <c r="E265" s="573">
        <v>4800</v>
      </c>
      <c r="F265" s="263">
        <f>IF(E265&lt;&gt;"", ROUNDUP(E265/D265,0),"")</f>
        <v>25568.666666666668</v>
      </c>
      <c r="G265" s="575">
        <f>IF(E265&lt;&gt;"", (SQRT(D265*E265))/300, "")</f>
      </c>
      <c r="H265" s="509"/>
      <c r="I265" s="509"/>
      <c r="J265" s="509"/>
      <c r="K265" s="509"/>
      <c r="L265" s="510" t="s">
        <v>836</v>
      </c>
      <c r="M265" s="231">
        <v>45627</v>
      </c>
      <c r="N265" s="490" t="s">
        <v>503</v>
      </c>
      <c r="O265" s="501" t="s">
        <v>1814</v>
      </c>
      <c r="P265" s="492" t="s">
        <v>819</v>
      </c>
      <c r="Q265" s="502"/>
      <c r="R265" s="492" t="s">
        <v>1815</v>
      </c>
      <c r="S265" s="485">
        <v>489</v>
      </c>
    </row>
    <row x14ac:dyDescent="0.25" r="266" customHeight="1" ht="17.25">
      <c r="A266" s="228" t="s">
        <v>1816</v>
      </c>
      <c r="B266" s="462" t="s">
        <v>498</v>
      </c>
      <c r="C266" s="491" t="s">
        <v>1817</v>
      </c>
      <c r="D266" s="477">
        <v>8</v>
      </c>
      <c r="E266" s="477">
        <v>4500</v>
      </c>
      <c r="F266" s="230">
        <f>IF(E266&lt;&gt;"", ROUNDUP(E266/D266,0),"")</f>
        <v>25568.666666666668</v>
      </c>
      <c r="G266" s="575">
        <f>IF(E266&lt;&gt;"", (SQRT(D266*E266))/300, "")</f>
      </c>
      <c r="H266" s="481">
        <v>57.4</v>
      </c>
      <c r="I266" s="481"/>
      <c r="J266" s="481"/>
      <c r="K266" s="481"/>
      <c r="L266" s="482" t="s">
        <v>830</v>
      </c>
      <c r="M266" s="231">
        <v>45627</v>
      </c>
      <c r="N266" s="223" t="s">
        <v>503</v>
      </c>
      <c r="O266" s="615" t="s">
        <v>1818</v>
      </c>
      <c r="P266" s="228" t="s">
        <v>819</v>
      </c>
      <c r="Q266" s="484"/>
      <c r="R266" s="21" t="s">
        <v>1819</v>
      </c>
      <c r="S266" s="485">
        <v>488</v>
      </c>
    </row>
    <row x14ac:dyDescent="0.25" r="267" customHeight="1" ht="17.25">
      <c r="A267" s="228" t="s">
        <v>1820</v>
      </c>
      <c r="B267" s="21" t="s">
        <v>498</v>
      </c>
      <c r="C267" s="491" t="s">
        <v>1821</v>
      </c>
      <c r="D267" s="477">
        <v>7</v>
      </c>
      <c r="E267" s="477">
        <v>2700</v>
      </c>
      <c r="F267" s="230">
        <f>IF(E267&lt;&gt;"", ROUNDUP(E267/D267,0),"")</f>
        <v>25568.666666666668</v>
      </c>
      <c r="G267" s="575">
        <f>IF(E267&lt;&gt;"", (SQRT(D267*E267))/300, "")</f>
      </c>
      <c r="H267" s="481"/>
      <c r="I267" s="481"/>
      <c r="J267" s="481"/>
      <c r="K267" s="481"/>
      <c r="L267" s="482" t="s">
        <v>830</v>
      </c>
      <c r="M267" s="231">
        <v>45627</v>
      </c>
      <c r="N267" s="223" t="s">
        <v>503</v>
      </c>
      <c r="O267" s="615" t="s">
        <v>1822</v>
      </c>
      <c r="P267" s="228" t="s">
        <v>819</v>
      </c>
      <c r="Q267" s="566"/>
      <c r="R267" s="228" t="s">
        <v>1823</v>
      </c>
      <c r="S267" s="485">
        <v>487</v>
      </c>
    </row>
    <row x14ac:dyDescent="0.25" r="268" customHeight="1" ht="17.25">
      <c r="A268" s="228" t="s">
        <v>1824</v>
      </c>
      <c r="B268" s="21" t="s">
        <v>834</v>
      </c>
      <c r="C268" s="491" t="s">
        <v>1825</v>
      </c>
      <c r="D268" s="477">
        <v>14</v>
      </c>
      <c r="E268" s="477">
        <v>10000</v>
      </c>
      <c r="F268" s="230">
        <f>IF(E268&lt;&gt;"", ROUNDUP(E268/D268,0),"")</f>
        <v>25568.666666666668</v>
      </c>
      <c r="G268" s="479">
        <f>IF(E268&lt;&gt;"", (SQRT(D268*E268))/300, "")</f>
      </c>
      <c r="H268" s="481">
        <v>84.8</v>
      </c>
      <c r="I268" s="481">
        <v>70.4</v>
      </c>
      <c r="J268" s="481">
        <v>56.1</v>
      </c>
      <c r="K268" s="509"/>
      <c r="L268" s="510" t="s">
        <v>836</v>
      </c>
      <c r="M268" s="231">
        <v>45627</v>
      </c>
      <c r="N268" s="223" t="s">
        <v>503</v>
      </c>
      <c r="O268" s="615" t="s">
        <v>1826</v>
      </c>
      <c r="P268" s="228" t="s">
        <v>819</v>
      </c>
      <c r="Q268" s="566" t="s">
        <v>808</v>
      </c>
      <c r="R268" s="609" t="s">
        <v>1827</v>
      </c>
      <c r="S268" s="485">
        <v>486</v>
      </c>
    </row>
    <row x14ac:dyDescent="0.25" r="269" customHeight="1" ht="17.25">
      <c r="A269" s="228" t="s">
        <v>1828</v>
      </c>
      <c r="B269" s="462" t="s">
        <v>828</v>
      </c>
      <c r="C269" s="491" t="s">
        <v>1829</v>
      </c>
      <c r="D269" s="478">
        <v>30</v>
      </c>
      <c r="E269" s="478">
        <v>30000</v>
      </c>
      <c r="F269" s="230">
        <f>IF(E269&lt;&gt;"", ROUNDUP(E269/D269,0),"")</f>
        <v>25568.666666666668</v>
      </c>
      <c r="G269" s="479">
        <f>IF(E269&lt;&gt;"", (SQRT(D269*E269))/300, "")</f>
      </c>
      <c r="H269" s="774">
        <v>87</v>
      </c>
      <c r="I269" s="481">
        <v>76.4</v>
      </c>
      <c r="J269" s="481">
        <v>62.1</v>
      </c>
      <c r="K269" s="509"/>
      <c r="L269" s="510" t="s">
        <v>836</v>
      </c>
      <c r="M269" s="231">
        <v>45627</v>
      </c>
      <c r="N269" s="223" t="s">
        <v>503</v>
      </c>
      <c r="O269" s="615" t="s">
        <v>1830</v>
      </c>
      <c r="P269" s="228" t="s">
        <v>802</v>
      </c>
      <c r="Q269" s="484" t="s">
        <v>808</v>
      </c>
      <c r="R269" s="25" t="s">
        <v>1831</v>
      </c>
      <c r="S269" s="485">
        <v>485</v>
      </c>
    </row>
    <row x14ac:dyDescent="0.25" r="270" customHeight="1" ht="17.25">
      <c r="A270" s="228" t="s">
        <v>1832</v>
      </c>
      <c r="B270" s="21" t="s">
        <v>483</v>
      </c>
      <c r="C270" s="491" t="s">
        <v>1833</v>
      </c>
      <c r="D270" s="477">
        <v>7</v>
      </c>
      <c r="E270" s="477">
        <v>2000</v>
      </c>
      <c r="F270" s="749">
        <f>IF(E270&lt;&gt;"", ROUNDUP(E270/D270,0),"")</f>
        <v>25568.666666666668</v>
      </c>
      <c r="G270" s="575">
        <f>IF(E270&lt;&gt;"", (SQRT(D270*E270))/300, "")</f>
      </c>
      <c r="H270" s="775">
        <v>60.97</v>
      </c>
      <c r="I270" s="776"/>
      <c r="J270" s="777"/>
      <c r="K270" s="481"/>
      <c r="L270" s="482" t="s">
        <v>830</v>
      </c>
      <c r="M270" s="231">
        <v>45627</v>
      </c>
      <c r="N270" s="223" t="s">
        <v>503</v>
      </c>
      <c r="O270" s="615" t="s">
        <v>1834</v>
      </c>
      <c r="P270" s="21" t="s">
        <v>819</v>
      </c>
      <c r="Q270" s="566"/>
      <c r="R270" s="228" t="s">
        <v>1835</v>
      </c>
      <c r="S270" s="485">
        <v>484</v>
      </c>
    </row>
    <row x14ac:dyDescent="0.25" r="271" customHeight="1" ht="17.25">
      <c r="A271" s="592" t="s">
        <v>1836</v>
      </c>
      <c r="B271" s="21" t="s">
        <v>630</v>
      </c>
      <c r="C271" s="685" t="s">
        <v>1837</v>
      </c>
      <c r="D271" s="631">
        <v>1000</v>
      </c>
      <c r="E271" s="691">
        <v>20000</v>
      </c>
      <c r="F271" s="263">
        <f>IF(E271&lt;&gt;"", ROUNDUP(E271/D271,0),"")</f>
        <v>25568.666666666668</v>
      </c>
      <c r="G271" s="778">
        <f>IF(E271&lt;&gt;"", (SQRT(D271*E271))/300, "")</f>
      </c>
      <c r="H271" s="509"/>
      <c r="I271" s="509"/>
      <c r="J271" s="509"/>
      <c r="K271" s="481"/>
      <c r="L271" s="482" t="s">
        <v>830</v>
      </c>
      <c r="M271" s="231">
        <v>45627</v>
      </c>
      <c r="N271" s="695" t="s">
        <v>470</v>
      </c>
      <c r="O271" s="589" t="s">
        <v>1837</v>
      </c>
      <c r="P271" s="582" t="s">
        <v>819</v>
      </c>
      <c r="Q271" s="779"/>
      <c r="R271" s="16" t="s">
        <v>1838</v>
      </c>
      <c r="S271" s="485">
        <v>483</v>
      </c>
    </row>
    <row x14ac:dyDescent="0.25" r="272" customHeight="1" ht="17.25">
      <c r="A272" s="228" t="s">
        <v>1839</v>
      </c>
      <c r="B272" s="462" t="s">
        <v>1258</v>
      </c>
      <c r="C272" s="491" t="s">
        <v>1840</v>
      </c>
      <c r="D272" s="477">
        <v>78</v>
      </c>
      <c r="E272" s="477">
        <v>18120</v>
      </c>
      <c r="F272" s="749">
        <f>IF(E272&lt;&gt;"", ROUNDUP(E272/D272,0),"")</f>
        <v>25568.666666666668</v>
      </c>
      <c r="G272" s="666">
        <f>IF(E272&lt;&gt;"", (SQRT(D272*E272))/300, "")</f>
      </c>
      <c r="H272" s="780">
        <v>86.1</v>
      </c>
      <c r="I272" s="781">
        <v>71.1</v>
      </c>
      <c r="J272" s="782">
        <v>49</v>
      </c>
      <c r="K272" s="509"/>
      <c r="L272" s="510" t="s">
        <v>836</v>
      </c>
      <c r="M272" s="231">
        <v>45627</v>
      </c>
      <c r="N272" s="223" t="s">
        <v>503</v>
      </c>
      <c r="O272" s="615" t="s">
        <v>1841</v>
      </c>
      <c r="P272" s="21" t="s">
        <v>819</v>
      </c>
      <c r="Q272" s="566" t="s">
        <v>445</v>
      </c>
      <c r="R272" s="609" t="s">
        <v>1842</v>
      </c>
      <c r="S272" s="485">
        <v>482</v>
      </c>
    </row>
    <row x14ac:dyDescent="0.25" r="273" customHeight="1" ht="17.25">
      <c r="A273" s="228" t="s">
        <v>1843</v>
      </c>
      <c r="B273" s="462" t="s">
        <v>498</v>
      </c>
      <c r="C273" s="491" t="s">
        <v>1844</v>
      </c>
      <c r="D273" s="477">
        <v>70</v>
      </c>
      <c r="E273" s="477">
        <v>15000</v>
      </c>
      <c r="F273" s="230">
        <f>IF(E273&lt;&gt;"", ROUNDUP(E273/D273,0),"")</f>
        <v>25568.666666666668</v>
      </c>
      <c r="G273" s="479">
        <f>IF(E273&lt;&gt;"", (SQRT(D273*E273))/300, "")</f>
      </c>
      <c r="H273" s="585">
        <v>86</v>
      </c>
      <c r="I273" s="481">
        <v>68.9</v>
      </c>
      <c r="J273" s="481">
        <v>50.5</v>
      </c>
      <c r="K273" s="509"/>
      <c r="L273" s="510" t="s">
        <v>836</v>
      </c>
      <c r="M273" s="231">
        <v>45627</v>
      </c>
      <c r="N273" s="223" t="s">
        <v>503</v>
      </c>
      <c r="O273" s="615" t="s">
        <v>1845</v>
      </c>
      <c r="P273" s="228" t="s">
        <v>819</v>
      </c>
      <c r="Q273" s="484" t="s">
        <v>808</v>
      </c>
      <c r="R273" s="21" t="s">
        <v>1846</v>
      </c>
      <c r="S273" s="485">
        <v>481</v>
      </c>
    </row>
    <row x14ac:dyDescent="0.25" r="274" customHeight="1" ht="17.25">
      <c r="A274" s="228" t="s">
        <v>1847</v>
      </c>
      <c r="B274" s="228" t="s">
        <v>894</v>
      </c>
      <c r="C274" s="491" t="s">
        <v>1848</v>
      </c>
      <c r="D274" s="23">
        <v>32</v>
      </c>
      <c r="E274" s="477">
        <v>6500</v>
      </c>
      <c r="F274" s="230">
        <f>IF(E274&lt;&gt;"", ROUNDUP(E274/D274,0),"")</f>
        <v>25568.666666666668</v>
      </c>
      <c r="G274" s="479">
        <f>IF(E274&lt;&gt;"", (SQRT(D274*E274))/300, "")</f>
      </c>
      <c r="H274" s="481">
        <v>78.3</v>
      </c>
      <c r="I274" s="616"/>
      <c r="J274" s="481">
        <v>39.7</v>
      </c>
      <c r="K274" s="481"/>
      <c r="L274" s="482" t="s">
        <v>830</v>
      </c>
      <c r="M274" s="231">
        <v>45627</v>
      </c>
      <c r="N274" s="223" t="s">
        <v>503</v>
      </c>
      <c r="O274" s="491" t="s">
        <v>1849</v>
      </c>
      <c r="P274" s="21" t="s">
        <v>819</v>
      </c>
      <c r="Q274" s="566"/>
      <c r="R274" s="228" t="s">
        <v>1850</v>
      </c>
      <c r="S274" s="485">
        <v>480</v>
      </c>
    </row>
    <row x14ac:dyDescent="0.25" r="275" customHeight="1" ht="17.25">
      <c r="A275" s="228" t="s">
        <v>1851</v>
      </c>
      <c r="B275" s="228" t="s">
        <v>1852</v>
      </c>
      <c r="C275" s="491" t="s">
        <v>1853</v>
      </c>
      <c r="D275" s="23">
        <v>8</v>
      </c>
      <c r="E275" s="477">
        <v>15000</v>
      </c>
      <c r="F275" s="230">
        <f>IF(E275&lt;&gt;"", ROUNDUP(E275/D275,0),"")</f>
        <v>25568.666666666668</v>
      </c>
      <c r="G275" s="479">
        <f>IF(E275&lt;&gt;"", (SQRT(D275*E275))/300, "")</f>
      </c>
      <c r="H275" s="481"/>
      <c r="I275" s="616"/>
      <c r="J275" s="481"/>
      <c r="K275" s="481"/>
      <c r="L275" s="482" t="s">
        <v>830</v>
      </c>
      <c r="M275" s="231">
        <v>45627</v>
      </c>
      <c r="N275" s="223" t="s">
        <v>503</v>
      </c>
      <c r="O275" s="491" t="s">
        <v>1854</v>
      </c>
      <c r="P275" s="21" t="s">
        <v>819</v>
      </c>
      <c r="Q275" s="566" t="s">
        <v>445</v>
      </c>
      <c r="R275" s="228" t="s">
        <v>1855</v>
      </c>
      <c r="S275" s="485">
        <v>479</v>
      </c>
    </row>
    <row x14ac:dyDescent="0.25" r="276" customHeight="1" ht="17.25">
      <c r="A276" s="228" t="s">
        <v>1856</v>
      </c>
      <c r="B276" s="21" t="s">
        <v>1857</v>
      </c>
      <c r="C276" s="677" t="s">
        <v>1858</v>
      </c>
      <c r="D276" s="477">
        <v>20</v>
      </c>
      <c r="E276" s="477">
        <v>18510</v>
      </c>
      <c r="F276" s="230">
        <f>IF(E276&lt;&gt;"", ROUNDUP(E276/D276,0),"")</f>
        <v>25568.666666666668</v>
      </c>
      <c r="G276" s="479">
        <f>IF(E276&lt;&gt;"", (SQRT(D276*E276))/300, "")</f>
      </c>
      <c r="H276" s="481"/>
      <c r="I276" s="481"/>
      <c r="J276" s="481"/>
      <c r="K276" s="481"/>
      <c r="L276" s="482" t="s">
        <v>830</v>
      </c>
      <c r="M276" s="231">
        <v>45627</v>
      </c>
      <c r="N276" s="223" t="s">
        <v>503</v>
      </c>
      <c r="O276" s="615" t="s">
        <v>1859</v>
      </c>
      <c r="P276" s="228" t="s">
        <v>819</v>
      </c>
      <c r="Q276" s="484"/>
      <c r="R276" s="25" t="s">
        <v>1860</v>
      </c>
      <c r="S276" s="485">
        <v>478</v>
      </c>
    </row>
    <row x14ac:dyDescent="0.25" r="277" customHeight="1" ht="17.25">
      <c r="A277" s="228" t="s">
        <v>1861</v>
      </c>
      <c r="B277" s="21" t="s">
        <v>1035</v>
      </c>
      <c r="C277" s="491" t="s">
        <v>1862</v>
      </c>
      <c r="D277" s="23">
        <v>3</v>
      </c>
      <c r="E277" s="477">
        <v>1086</v>
      </c>
      <c r="F277" s="230">
        <f>IF(E277&lt;&gt;"", ROUNDUP(E277/D277,0),"")</f>
        <v>25568.666666666668</v>
      </c>
      <c r="G277" s="479">
        <f>IF(E277&lt;&gt;"", (SQRT(D277*E277))/300, "")</f>
      </c>
      <c r="H277" s="481"/>
      <c r="I277" s="616"/>
      <c r="J277" s="481"/>
      <c r="K277" s="509"/>
      <c r="L277" s="510" t="s">
        <v>836</v>
      </c>
      <c r="M277" s="231">
        <v>45627</v>
      </c>
      <c r="N277" s="223" t="s">
        <v>503</v>
      </c>
      <c r="O277" s="491" t="s">
        <v>1863</v>
      </c>
      <c r="P277" s="21" t="s">
        <v>819</v>
      </c>
      <c r="Q277" s="484"/>
      <c r="R277" s="21" t="s">
        <v>1864</v>
      </c>
      <c r="S277" s="485">
        <v>477</v>
      </c>
    </row>
    <row x14ac:dyDescent="0.25" r="278" customHeight="1" ht="17.25">
      <c r="A278" s="228" t="s">
        <v>279</v>
      </c>
      <c r="B278" s="21" t="s">
        <v>490</v>
      </c>
      <c r="C278" s="491" t="s">
        <v>1802</v>
      </c>
      <c r="D278" s="226">
        <v>200</v>
      </c>
      <c r="E278" s="478">
        <v>20000</v>
      </c>
      <c r="F278" s="230">
        <f>IF(E278&lt;&gt;"", ROUNDUP(E278/D278,0),"")</f>
        <v>25568.666666666668</v>
      </c>
      <c r="G278" s="479">
        <f>IF(E278&lt;&gt;"", (SQRT(D278*E278))/300, "")</f>
      </c>
      <c r="H278" s="481">
        <v>92.3</v>
      </c>
      <c r="I278" s="774">
        <v>91</v>
      </c>
      <c r="J278" s="585">
        <v>79</v>
      </c>
      <c r="K278" s="481">
        <v>8.8</v>
      </c>
      <c r="L278" s="482" t="s">
        <v>830</v>
      </c>
      <c r="M278" s="231">
        <v>45627</v>
      </c>
      <c r="N278" s="223" t="s">
        <v>503</v>
      </c>
      <c r="O278" s="491" t="s">
        <v>1865</v>
      </c>
      <c r="P278" s="21" t="s">
        <v>802</v>
      </c>
      <c r="Q278" s="566" t="s">
        <v>803</v>
      </c>
      <c r="R278" s="609" t="s">
        <v>1866</v>
      </c>
      <c r="S278" s="485">
        <v>476</v>
      </c>
    </row>
    <row x14ac:dyDescent="0.25" r="279" customHeight="1" ht="17.25">
      <c r="A279" s="228" t="s">
        <v>1867</v>
      </c>
      <c r="B279" s="21" t="s">
        <v>983</v>
      </c>
      <c r="C279" s="491" t="s">
        <v>1435</v>
      </c>
      <c r="D279" s="226">
        <v>90</v>
      </c>
      <c r="E279" s="478">
        <v>10000</v>
      </c>
      <c r="F279" s="230">
        <f>IF(E279&lt;&gt;"", ROUNDUP(E279/D279,0),"")</f>
        <v>25568.666666666668</v>
      </c>
      <c r="G279" s="479">
        <f>IF(E279&lt;&gt;"", (SQRT(D279*E279))/300, "")</f>
      </c>
      <c r="H279" s="481">
        <v>85.9</v>
      </c>
      <c r="I279" s="481"/>
      <c r="J279" s="481">
        <v>46.9</v>
      </c>
      <c r="K279" s="481"/>
      <c r="L279" s="482" t="s">
        <v>830</v>
      </c>
      <c r="M279" s="231">
        <v>45627</v>
      </c>
      <c r="N279" s="223" t="s">
        <v>503</v>
      </c>
      <c r="O279" s="491" t="s">
        <v>1868</v>
      </c>
      <c r="P279" s="21" t="s">
        <v>819</v>
      </c>
      <c r="Q279" s="484"/>
      <c r="R279" s="25" t="s">
        <v>1869</v>
      </c>
      <c r="S279" s="485">
        <v>475</v>
      </c>
    </row>
    <row x14ac:dyDescent="0.25" r="280" customHeight="1" ht="17.25">
      <c r="A280" s="592" t="s">
        <v>1870</v>
      </c>
      <c r="B280" s="21" t="s">
        <v>944</v>
      </c>
      <c r="C280" s="491" t="s">
        <v>1871</v>
      </c>
      <c r="D280" s="477">
        <v>9</v>
      </c>
      <c r="E280" s="477">
        <v>4000</v>
      </c>
      <c r="F280" s="230">
        <f>IF(E280&lt;&gt;"", ROUNDUP(E280/D280,0),"")</f>
        <v>25568.666666666668</v>
      </c>
      <c r="G280" s="479">
        <f>IF(E280&lt;&gt;"", (SQRT(D280*E280))/300, "")</f>
      </c>
      <c r="H280" s="481">
        <v>52.45</v>
      </c>
      <c r="I280" s="481">
        <v>17.6</v>
      </c>
      <c r="J280" s="481"/>
      <c r="K280" s="481"/>
      <c r="L280" s="510" t="s">
        <v>836</v>
      </c>
      <c r="M280" s="231">
        <v>45627</v>
      </c>
      <c r="N280" s="223" t="s">
        <v>503</v>
      </c>
      <c r="O280" s="491" t="s">
        <v>1872</v>
      </c>
      <c r="P280" s="21" t="s">
        <v>819</v>
      </c>
      <c r="Q280" s="484"/>
      <c r="R280" s="25" t="s">
        <v>1873</v>
      </c>
      <c r="S280" s="485">
        <v>474</v>
      </c>
    </row>
    <row x14ac:dyDescent="0.25" r="281" customHeight="1" ht="17.25">
      <c r="A281" s="228" t="s">
        <v>1874</v>
      </c>
      <c r="B281" s="21" t="s">
        <v>1220</v>
      </c>
      <c r="C281" s="491" t="s">
        <v>1875</v>
      </c>
      <c r="D281" s="477">
        <v>15</v>
      </c>
      <c r="E281" s="477">
        <v>100</v>
      </c>
      <c r="F281" s="230">
        <f>IF(E281&lt;&gt;"", ROUNDUP(E281/D281,0),"")</f>
        <v>25568.666666666668</v>
      </c>
      <c r="G281" s="479">
        <f>IF(E281&lt;&gt;"", (SQRT(D281*E281))/300, "")</f>
      </c>
      <c r="H281" s="481">
        <v>23.48</v>
      </c>
      <c r="I281" s="481"/>
      <c r="J281" s="481"/>
      <c r="K281" s="481"/>
      <c r="L281" s="482" t="s">
        <v>830</v>
      </c>
      <c r="M281" s="231">
        <v>45627</v>
      </c>
      <c r="N281" s="223" t="s">
        <v>503</v>
      </c>
      <c r="O281" s="491" t="s">
        <v>1876</v>
      </c>
      <c r="P281" s="21" t="s">
        <v>819</v>
      </c>
      <c r="Q281" s="484"/>
      <c r="R281" s="25" t="s">
        <v>1877</v>
      </c>
      <c r="S281" s="485">
        <v>473</v>
      </c>
    </row>
    <row x14ac:dyDescent="0.25" r="282" customHeight="1" ht="17.25">
      <c r="A282" s="228" t="s">
        <v>1878</v>
      </c>
      <c r="B282" s="21" t="s">
        <v>1005</v>
      </c>
      <c r="C282" s="491" t="s">
        <v>1879</v>
      </c>
      <c r="D282" s="477">
        <v>10</v>
      </c>
      <c r="E282" s="477">
        <v>1000</v>
      </c>
      <c r="F282" s="230">
        <f>IF(E282&lt;&gt;"", ROUNDUP(E282/D282,0),"")</f>
        <v>25568.666666666668</v>
      </c>
      <c r="G282" s="479">
        <f>IF(E282&lt;&gt;"", (SQRT(D282*E282))/300, "")</f>
      </c>
      <c r="H282" s="481">
        <v>49.89</v>
      </c>
      <c r="I282" s="481"/>
      <c r="J282" s="481">
        <v>28.32</v>
      </c>
      <c r="K282" s="481"/>
      <c r="L282" s="482" t="s">
        <v>830</v>
      </c>
      <c r="M282" s="231">
        <v>45597</v>
      </c>
      <c r="N282" s="223" t="s">
        <v>503</v>
      </c>
      <c r="O282" s="491" t="s">
        <v>1880</v>
      </c>
      <c r="P282" s="21" t="s">
        <v>819</v>
      </c>
      <c r="Q282" s="484"/>
      <c r="R282" s="21" t="s">
        <v>1881</v>
      </c>
      <c r="S282" s="485">
        <v>472</v>
      </c>
    </row>
    <row x14ac:dyDescent="0.25" r="283" customHeight="1" ht="17.25">
      <c r="A283" s="259" t="s">
        <v>1882</v>
      </c>
      <c r="B283" s="504" t="s">
        <v>494</v>
      </c>
      <c r="C283" s="505" t="s">
        <v>1883</v>
      </c>
      <c r="D283" s="486">
        <v>32</v>
      </c>
      <c r="E283" s="486">
        <v>18000</v>
      </c>
      <c r="F283" s="263">
        <f>IF(E283&lt;&gt;"", ROUNDUP(E283/D283,0),"")</f>
        <v>25568.666666666668</v>
      </c>
      <c r="G283" s="575">
        <f>IF(E283&lt;&gt;"", (SQRT(D283*E283))/300, "")</f>
      </c>
      <c r="H283" s="576"/>
      <c r="I283" s="508"/>
      <c r="J283" s="480">
        <v>65.2</v>
      </c>
      <c r="K283" s="509"/>
      <c r="L283" s="510" t="s">
        <v>836</v>
      </c>
      <c r="M283" s="269">
        <v>45597</v>
      </c>
      <c r="N283" s="270" t="s">
        <v>503</v>
      </c>
      <c r="O283" s="511" t="s">
        <v>1884</v>
      </c>
      <c r="P283" s="492" t="s">
        <v>819</v>
      </c>
      <c r="Q283" s="566" t="s">
        <v>445</v>
      </c>
      <c r="R283" s="228" t="s">
        <v>1885</v>
      </c>
      <c r="S283" s="485">
        <v>471</v>
      </c>
    </row>
    <row x14ac:dyDescent="0.25" r="284" customHeight="1" ht="17.25">
      <c r="A284" s="492" t="s">
        <v>1886</v>
      </c>
      <c r="B284" s="503" t="s">
        <v>1887</v>
      </c>
      <c r="C284" s="535" t="s">
        <v>1888</v>
      </c>
      <c r="D284" s="496">
        <v>7</v>
      </c>
      <c r="E284" s="496">
        <v>4000</v>
      </c>
      <c r="F284" s="263">
        <f>IF(E284&lt;&gt;"", ROUNDUP(E284/D284,0),"")</f>
        <v>25568.666666666668</v>
      </c>
      <c r="G284" s="768">
        <f>IF(E284&lt;&gt;"", (SQRT(D284*E284))/300, "")</f>
      </c>
      <c r="H284" s="585">
        <v>50</v>
      </c>
      <c r="I284" s="739"/>
      <c r="J284" s="739"/>
      <c r="K284" s="509"/>
      <c r="L284" s="510" t="s">
        <v>836</v>
      </c>
      <c r="M284" s="718">
        <v>45597</v>
      </c>
      <c r="N284" s="490" t="s">
        <v>503</v>
      </c>
      <c r="O284" s="501" t="s">
        <v>1889</v>
      </c>
      <c r="P284" s="492" t="s">
        <v>819</v>
      </c>
      <c r="Q284" s="583"/>
      <c r="R284" s="584" t="s">
        <v>1890</v>
      </c>
      <c r="S284" s="485">
        <v>470</v>
      </c>
    </row>
    <row x14ac:dyDescent="0.25" r="285" customHeight="1" ht="17.25">
      <c r="A285" s="228" t="s">
        <v>1891</v>
      </c>
      <c r="B285" s="21" t="s">
        <v>939</v>
      </c>
      <c r="C285" s="677" t="s">
        <v>1892</v>
      </c>
      <c r="D285" s="477">
        <v>13</v>
      </c>
      <c r="E285" s="477">
        <v>5600</v>
      </c>
      <c r="F285" s="230">
        <f>IF(E285&lt;&gt;"", ROUNDUP(E285/D285,0),"")</f>
        <v>25568.666666666668</v>
      </c>
      <c r="G285" s="479">
        <f>IF(E285&lt;&gt;"", (SQRT(D285*E285))/300, "")</f>
      </c>
      <c r="H285" s="481">
        <v>68.6</v>
      </c>
      <c r="I285" s="617"/>
      <c r="J285" s="617"/>
      <c r="K285" s="509"/>
      <c r="L285" s="510" t="s">
        <v>836</v>
      </c>
      <c r="M285" s="231">
        <v>45597</v>
      </c>
      <c r="N285" s="223" t="s">
        <v>503</v>
      </c>
      <c r="O285" s="615" t="s">
        <v>1893</v>
      </c>
      <c r="P285" s="228" t="s">
        <v>819</v>
      </c>
      <c r="Q285" s="484"/>
      <c r="R285" s="25" t="s">
        <v>1894</v>
      </c>
      <c r="S285" s="485">
        <v>469</v>
      </c>
    </row>
    <row x14ac:dyDescent="0.25" r="286" customHeight="1" ht="17.25">
      <c r="A286" s="492" t="s">
        <v>1895</v>
      </c>
      <c r="B286" s="561" t="s">
        <v>1896</v>
      </c>
      <c r="C286" s="518"/>
      <c r="D286" s="572">
        <v>2.7</v>
      </c>
      <c r="E286" s="496">
        <v>1260</v>
      </c>
      <c r="F286" s="263">
        <f>IF(E286&lt;&gt;"", ROUNDUP(E286/D286,0),"")</f>
        <v>25568.666666666668</v>
      </c>
      <c r="G286" s="575">
        <f>IF(E286&lt;&gt;"", (SQRT(D286*E286))/300, "")</f>
      </c>
      <c r="H286" s="576"/>
      <c r="I286" s="739"/>
      <c r="J286" s="739"/>
      <c r="K286" s="509"/>
      <c r="L286" s="510" t="s">
        <v>836</v>
      </c>
      <c r="M286" s="718">
        <v>45597</v>
      </c>
      <c r="N286" s="695" t="s">
        <v>470</v>
      </c>
      <c r="O286" s="501" t="s">
        <v>1897</v>
      </c>
      <c r="P286" s="492" t="s">
        <v>819</v>
      </c>
      <c r="Q286" s="583"/>
      <c r="R286" s="503" t="s">
        <v>1898</v>
      </c>
      <c r="S286" s="485">
        <v>468</v>
      </c>
    </row>
    <row x14ac:dyDescent="0.25" r="287" customHeight="1" ht="17.25">
      <c r="A287" s="259" t="s">
        <v>1899</v>
      </c>
      <c r="B287" s="660" t="s">
        <v>1064</v>
      </c>
      <c r="C287" s="505" t="s">
        <v>1900</v>
      </c>
      <c r="D287" s="486">
        <v>100</v>
      </c>
      <c r="E287" s="573">
        <v>2000</v>
      </c>
      <c r="F287" s="230">
        <f>IF(E287&lt;&gt;"", ROUNDUP(E287/D287,0),"")</f>
        <v>25568.666666666668</v>
      </c>
      <c r="G287" s="487">
        <f>IF(E287&lt;&gt;"", (SQRT(D287*E287))/300, "")</f>
      </c>
      <c r="H287" s="480"/>
      <c r="I287" s="480"/>
      <c r="J287" s="480"/>
      <c r="K287" s="481"/>
      <c r="L287" s="482" t="s">
        <v>830</v>
      </c>
      <c r="M287" s="718">
        <v>45597</v>
      </c>
      <c r="N287" s="490" t="s">
        <v>503</v>
      </c>
      <c r="O287" s="511" t="s">
        <v>1901</v>
      </c>
      <c r="P287" s="259" t="s">
        <v>819</v>
      </c>
      <c r="Q287" s="566" t="s">
        <v>445</v>
      </c>
      <c r="R287" s="228" t="s">
        <v>1902</v>
      </c>
      <c r="S287" s="485">
        <v>467</v>
      </c>
    </row>
    <row x14ac:dyDescent="0.25" r="288" customHeight="1" ht="17.25">
      <c r="A288" s="492" t="s">
        <v>1903</v>
      </c>
      <c r="B288" s="504" t="s">
        <v>494</v>
      </c>
      <c r="C288" s="518" t="s">
        <v>1904</v>
      </c>
      <c r="D288" s="496">
        <v>7</v>
      </c>
      <c r="E288" s="496">
        <v>7000</v>
      </c>
      <c r="F288" s="263">
        <f>IF(E288&lt;&gt;"", ROUNDUP(E288/D288,0),"")</f>
        <v>25568.666666666668</v>
      </c>
      <c r="G288" s="575">
        <f>IF(E288&lt;&gt;"", (SQRT(D288*E288))/300, "")</f>
      </c>
      <c r="H288" s="576"/>
      <c r="I288" s="739"/>
      <c r="J288" s="739"/>
      <c r="K288" s="509"/>
      <c r="L288" s="510" t="s">
        <v>836</v>
      </c>
      <c r="M288" s="718">
        <v>45597</v>
      </c>
      <c r="N288" s="490" t="s">
        <v>503</v>
      </c>
      <c r="O288" s="501" t="s">
        <v>1905</v>
      </c>
      <c r="P288" s="492" t="s">
        <v>819</v>
      </c>
      <c r="Q288" s="566" t="s">
        <v>445</v>
      </c>
      <c r="R288" s="21" t="s">
        <v>1906</v>
      </c>
      <c r="S288" s="485">
        <v>466</v>
      </c>
    </row>
    <row x14ac:dyDescent="0.25" r="289" customHeight="1" ht="17.25">
      <c r="A289" s="259" t="s">
        <v>1907</v>
      </c>
      <c r="B289" s="249" t="s">
        <v>939</v>
      </c>
      <c r="C289" s="505" t="s">
        <v>1710</v>
      </c>
      <c r="D289" s="486">
        <v>70</v>
      </c>
      <c r="E289" s="486">
        <v>15600</v>
      </c>
      <c r="F289" s="263">
        <f>IF(E289&lt;&gt;"", ROUNDUP(E289/D289,0),"")</f>
        <v>25568.666666666668</v>
      </c>
      <c r="G289" s="783">
        <f>IF(E289&lt;&gt;"", (SQRT(D289*E289))/300, "")</f>
      </c>
      <c r="H289" s="576">
        <v>83.1</v>
      </c>
      <c r="I289" s="480">
        <v>65.8</v>
      </c>
      <c r="J289" s="480">
        <v>45.1</v>
      </c>
      <c r="K289" s="509"/>
      <c r="L289" s="510" t="s">
        <v>836</v>
      </c>
      <c r="M289" s="231">
        <v>45597</v>
      </c>
      <c r="N289" s="270" t="s">
        <v>503</v>
      </c>
      <c r="O289" s="511" t="s">
        <v>1908</v>
      </c>
      <c r="P289" s="259" t="s">
        <v>819</v>
      </c>
      <c r="Q289" s="590"/>
      <c r="R289" s="249" t="s">
        <v>1909</v>
      </c>
      <c r="S289" s="485">
        <v>465</v>
      </c>
    </row>
    <row x14ac:dyDescent="0.25" r="290" customHeight="1" ht="17.25">
      <c r="A290" s="492" t="s">
        <v>1910</v>
      </c>
      <c r="B290" s="462" t="s">
        <v>490</v>
      </c>
      <c r="C290" s="535" t="s">
        <v>1630</v>
      </c>
      <c r="D290" s="762">
        <v>200</v>
      </c>
      <c r="E290" s="762">
        <v>20000</v>
      </c>
      <c r="F290" s="784">
        <f>IF(E290&lt;&gt;"", ROUNDUP(E290/D290,0),"")</f>
        <v>25568.666666666668</v>
      </c>
      <c r="G290" s="666">
        <f>IF(E290&lt;&gt;"", (SQRT(D290*E290))/300, "")</f>
      </c>
      <c r="H290" s="576">
        <v>85.7</v>
      </c>
      <c r="I290" s="785"/>
      <c r="J290" s="656">
        <v>46</v>
      </c>
      <c r="K290" s="481">
        <v>3.1</v>
      </c>
      <c r="L290" s="482" t="s">
        <v>830</v>
      </c>
      <c r="M290" s="231">
        <v>45597</v>
      </c>
      <c r="N290" s="270" t="s">
        <v>503</v>
      </c>
      <c r="O290" s="615" t="s">
        <v>1911</v>
      </c>
      <c r="P290" s="228" t="s">
        <v>802</v>
      </c>
      <c r="Q290" s="502"/>
      <c r="R290" s="613" t="s">
        <v>1912</v>
      </c>
      <c r="S290" s="485">
        <v>464</v>
      </c>
    </row>
    <row x14ac:dyDescent="0.25" r="291" customHeight="1" ht="17.25">
      <c r="A291" s="492" t="s">
        <v>1913</v>
      </c>
      <c r="B291" s="504" t="s">
        <v>479</v>
      </c>
      <c r="C291" s="535" t="s">
        <v>1377</v>
      </c>
      <c r="D291" s="478">
        <v>67</v>
      </c>
      <c r="E291" s="478">
        <v>2000</v>
      </c>
      <c r="F291" s="784">
        <f>IF(E291&lt;&gt;"", ROUNDUP(E291/D291,0),"")</f>
        <v>25568.666666666668</v>
      </c>
      <c r="G291" s="666">
        <f>IF(E291&lt;&gt;"", (SQRT(D291*E291))/300, "")</f>
      </c>
      <c r="H291" s="576"/>
      <c r="I291" s="785"/>
      <c r="J291" s="480">
        <v>58.5</v>
      </c>
      <c r="K291" s="481"/>
      <c r="L291" s="482" t="s">
        <v>830</v>
      </c>
      <c r="M291" s="231">
        <v>45597</v>
      </c>
      <c r="N291" s="270" t="s">
        <v>503</v>
      </c>
      <c r="O291" s="495" t="s">
        <v>1914</v>
      </c>
      <c r="P291" s="259" t="s">
        <v>819</v>
      </c>
      <c r="Q291" s="566" t="s">
        <v>445</v>
      </c>
      <c r="R291" s="609" t="s">
        <v>1915</v>
      </c>
      <c r="S291" s="485">
        <v>463</v>
      </c>
    </row>
    <row x14ac:dyDescent="0.25" r="292" customHeight="1" ht="17.25">
      <c r="A292" s="259" t="s">
        <v>1916</v>
      </c>
      <c r="B292" s="660" t="s">
        <v>1917</v>
      </c>
      <c r="C292" s="505" t="s">
        <v>1918</v>
      </c>
      <c r="D292" s="512">
        <v>1.1</v>
      </c>
      <c r="E292" s="486">
        <v>2064</v>
      </c>
      <c r="F292" s="536">
        <f>IF(E292&lt;&gt;"", ROUNDUP(E292/D292,0),"")</f>
        <v>25568.666666666668</v>
      </c>
      <c r="G292" s="666">
        <f>IF(E292&lt;&gt;"", (SQRT(D292*E292))/300, "")</f>
      </c>
      <c r="H292" s="588">
        <v>25.9</v>
      </c>
      <c r="I292" s="508"/>
      <c r="J292" s="508"/>
      <c r="K292" s="481"/>
      <c r="L292" s="482" t="s">
        <v>830</v>
      </c>
      <c r="M292" s="231">
        <v>45597</v>
      </c>
      <c r="N292" s="270" t="s">
        <v>503</v>
      </c>
      <c r="O292" s="271" t="s">
        <v>1919</v>
      </c>
      <c r="P292" s="259" t="s">
        <v>819</v>
      </c>
      <c r="Q292" s="272"/>
      <c r="R292" s="259" t="s">
        <v>1920</v>
      </c>
      <c r="S292" s="485">
        <v>462</v>
      </c>
    </row>
    <row x14ac:dyDescent="0.25" r="293" customHeight="1" ht="17.25">
      <c r="A293" s="259" t="s">
        <v>1921</v>
      </c>
      <c r="B293" s="607" t="s">
        <v>965</v>
      </c>
      <c r="C293" s="505" t="s">
        <v>1922</v>
      </c>
      <c r="D293" s="486">
        <v>124</v>
      </c>
      <c r="E293" s="562">
        <v>6000</v>
      </c>
      <c r="F293" s="536">
        <f>IF(E293&lt;&gt;"", ROUNDUP(E293/D293,0),"")</f>
        <v>25568.666666666668</v>
      </c>
      <c r="G293" s="587">
        <f>IF(E293&lt;&gt;"", (SQRT(D293*E293))/300, "")</f>
      </c>
      <c r="H293" s="588"/>
      <c r="I293" s="508"/>
      <c r="J293" s="508"/>
      <c r="K293" s="481"/>
      <c r="L293" s="482" t="s">
        <v>830</v>
      </c>
      <c r="M293" s="231">
        <v>45597</v>
      </c>
      <c r="N293" s="270" t="s">
        <v>503</v>
      </c>
      <c r="O293" s="271" t="s">
        <v>1923</v>
      </c>
      <c r="P293" s="259" t="s">
        <v>819</v>
      </c>
      <c r="Q293" s="272"/>
      <c r="R293" s="259" t="s">
        <v>1924</v>
      </c>
      <c r="S293" s="485">
        <v>461</v>
      </c>
    </row>
    <row x14ac:dyDescent="0.25" r="294" customHeight="1" ht="17.25">
      <c r="A294" s="228" t="s">
        <v>1925</v>
      </c>
      <c r="B294" s="21" t="s">
        <v>1926</v>
      </c>
      <c r="C294" s="491" t="s">
        <v>1927</v>
      </c>
      <c r="D294" s="24"/>
      <c r="E294" s="620"/>
      <c r="F294" s="230"/>
      <c r="G294" s="487"/>
      <c r="H294" s="480"/>
      <c r="I294" s="480"/>
      <c r="J294" s="480">
        <v>42.4</v>
      </c>
      <c r="K294" s="481"/>
      <c r="L294" s="482" t="s">
        <v>830</v>
      </c>
      <c r="M294" s="231">
        <v>45597</v>
      </c>
      <c r="N294" s="490" t="s">
        <v>503</v>
      </c>
      <c r="O294" s="491" t="s">
        <v>1928</v>
      </c>
      <c r="P294" s="259" t="s">
        <v>1929</v>
      </c>
      <c r="Q294" s="566"/>
      <c r="R294" s="228" t="s">
        <v>1930</v>
      </c>
      <c r="S294" s="485">
        <v>460</v>
      </c>
    </row>
    <row x14ac:dyDescent="0.25" r="295" customHeight="1" ht="17.25">
      <c r="A295" s="492" t="s">
        <v>1931</v>
      </c>
      <c r="B295" s="504" t="s">
        <v>494</v>
      </c>
      <c r="C295" s="535" t="s">
        <v>1932</v>
      </c>
      <c r="D295" s="572">
        <v>32.5</v>
      </c>
      <c r="E295" s="496">
        <v>5500</v>
      </c>
      <c r="F295" s="263">
        <f>IF(E295&lt;&gt;"", ROUNDUP(E295/D295,0),"")</f>
        <v>25568.666666666668</v>
      </c>
      <c r="G295" s="786">
        <f>IF(E295&lt;&gt;"", (SQRT(D295*E295))/300, "")</f>
      </c>
      <c r="H295" s="775">
        <v>79.1</v>
      </c>
      <c r="I295" s="746"/>
      <c r="J295" s="787"/>
      <c r="K295" s="509"/>
      <c r="L295" s="510" t="s">
        <v>836</v>
      </c>
      <c r="M295" s="231">
        <v>45597</v>
      </c>
      <c r="N295" s="490" t="s">
        <v>503</v>
      </c>
      <c r="O295" s="495" t="s">
        <v>1933</v>
      </c>
      <c r="P295" s="492" t="s">
        <v>819</v>
      </c>
      <c r="Q295" s="583"/>
      <c r="R295" s="584" t="s">
        <v>1934</v>
      </c>
      <c r="S295" s="485">
        <v>459</v>
      </c>
    </row>
    <row x14ac:dyDescent="0.25" r="296" customHeight="1" ht="17.25">
      <c r="A296" s="228" t="s">
        <v>1935</v>
      </c>
      <c r="B296" s="660" t="s">
        <v>1936</v>
      </c>
      <c r="C296" s="491" t="s">
        <v>1937</v>
      </c>
      <c r="D296" s="24">
        <v>1.6</v>
      </c>
      <c r="E296" s="477">
        <v>3005</v>
      </c>
      <c r="F296" s="230">
        <f>IF(E296&lt;&gt;"", ROUNDUP(E296/D296,0),"")</f>
        <v>25568.666666666668</v>
      </c>
      <c r="G296" s="487">
        <f>IF(E296&lt;&gt;"", (SQRT(D296*E296))/300, "")</f>
      </c>
      <c r="H296" s="480">
        <v>44.99</v>
      </c>
      <c r="I296" s="480"/>
      <c r="J296" s="480"/>
      <c r="K296" s="481"/>
      <c r="L296" s="482" t="s">
        <v>830</v>
      </c>
      <c r="M296" s="231">
        <v>45597</v>
      </c>
      <c r="N296" s="490" t="s">
        <v>503</v>
      </c>
      <c r="O296" s="491" t="s">
        <v>1938</v>
      </c>
      <c r="P296" s="259" t="s">
        <v>819</v>
      </c>
      <c r="Q296" s="566"/>
      <c r="R296" s="228" t="s">
        <v>1939</v>
      </c>
      <c r="S296" s="485">
        <v>458</v>
      </c>
    </row>
    <row x14ac:dyDescent="0.25" r="297" customHeight="1" ht="17.25">
      <c r="A297" s="228" t="s">
        <v>1940</v>
      </c>
      <c r="B297" s="462" t="s">
        <v>898</v>
      </c>
      <c r="C297" s="491" t="s">
        <v>1941</v>
      </c>
      <c r="D297" s="23">
        <v>389</v>
      </c>
      <c r="E297" s="477">
        <v>7000</v>
      </c>
      <c r="F297" s="230">
        <f>IF(E297&lt;&gt;"", ROUNDUP(E297/D297,0),"")</f>
        <v>25568.666666666668</v>
      </c>
      <c r="G297" s="487">
        <f>IF(E297&lt;&gt;"", (SQRT(D297*E297))/300, "")</f>
      </c>
      <c r="H297" s="480">
        <v>89.9</v>
      </c>
      <c r="I297" s="480">
        <v>60.2</v>
      </c>
      <c r="J297" s="480">
        <v>42.4</v>
      </c>
      <c r="K297" s="509"/>
      <c r="L297" s="510" t="s">
        <v>836</v>
      </c>
      <c r="M297" s="231">
        <v>45597</v>
      </c>
      <c r="N297" s="490" t="s">
        <v>503</v>
      </c>
      <c r="O297" s="491" t="s">
        <v>1942</v>
      </c>
      <c r="P297" s="259" t="s">
        <v>802</v>
      </c>
      <c r="Q297" s="566"/>
      <c r="R297" s="228" t="s">
        <v>1943</v>
      </c>
      <c r="S297" s="485">
        <v>457</v>
      </c>
    </row>
    <row x14ac:dyDescent="0.25" r="298" customHeight="1" ht="17.25">
      <c r="A298" s="228" t="s">
        <v>1944</v>
      </c>
      <c r="B298" s="21" t="s">
        <v>1487</v>
      </c>
      <c r="C298" s="476" t="s">
        <v>1945</v>
      </c>
      <c r="D298" s="620">
        <v>9.24</v>
      </c>
      <c r="E298" s="477">
        <v>8200</v>
      </c>
      <c r="F298" s="230">
        <f>IF(E298&lt;&gt;"", ROUNDUP(E298/D298,0),"")</f>
        <v>25568.666666666668</v>
      </c>
      <c r="G298" s="479">
        <f>IF(E298&lt;&gt;"", (SQRT(D298*E298))/300, "")</f>
      </c>
      <c r="H298" s="481"/>
      <c r="I298" s="488"/>
      <c r="J298" s="488"/>
      <c r="K298" s="481"/>
      <c r="L298" s="482" t="s">
        <v>830</v>
      </c>
      <c r="M298" s="231">
        <v>45597</v>
      </c>
      <c r="N298" s="689" t="s">
        <v>503</v>
      </c>
      <c r="O298" s="641" t="s">
        <v>1946</v>
      </c>
      <c r="P298" s="492" t="s">
        <v>819</v>
      </c>
      <c r="Q298" s="484"/>
      <c r="R298" s="25" t="s">
        <v>1947</v>
      </c>
      <c r="S298" s="485">
        <v>456</v>
      </c>
    </row>
    <row x14ac:dyDescent="0.25" r="299" customHeight="1" ht="17.25">
      <c r="A299" s="259" t="s">
        <v>1948</v>
      </c>
      <c r="B299" s="249" t="s">
        <v>1615</v>
      </c>
      <c r="C299" s="505" t="s">
        <v>1949</v>
      </c>
      <c r="D299" s="486">
        <v>1</v>
      </c>
      <c r="E299" s="486">
        <v>1308</v>
      </c>
      <c r="F299" s="536">
        <f>IF(E299&lt;&gt;"", ROUNDUP(E299/D299,0),"")</f>
        <v>25568.666666666668</v>
      </c>
      <c r="G299" s="737">
        <f>IF(E299&lt;&gt;"", (SQRT(D299*E299))/300, "")</f>
      </c>
      <c r="H299" s="788">
        <v>30.52</v>
      </c>
      <c r="I299" s="508"/>
      <c r="J299" s="508"/>
      <c r="K299" s="481"/>
      <c r="L299" s="482" t="s">
        <v>830</v>
      </c>
      <c r="M299" s="231">
        <v>45597</v>
      </c>
      <c r="N299" s="270" t="s">
        <v>503</v>
      </c>
      <c r="O299" s="511" t="s">
        <v>1950</v>
      </c>
      <c r="P299" s="259" t="s">
        <v>819</v>
      </c>
      <c r="Q299" s="590"/>
      <c r="R299" s="249" t="s">
        <v>1951</v>
      </c>
      <c r="S299" s="485">
        <v>455</v>
      </c>
    </row>
    <row x14ac:dyDescent="0.25" r="300" customHeight="1" ht="17.25">
      <c r="A300" s="492" t="s">
        <v>1952</v>
      </c>
      <c r="B300" s="21" t="s">
        <v>1953</v>
      </c>
      <c r="C300" s="535" t="s">
        <v>1954</v>
      </c>
      <c r="D300" s="572">
        <v>1.7</v>
      </c>
      <c r="E300" s="573">
        <v>1000</v>
      </c>
      <c r="F300" s="536">
        <f>IF(E300&lt;&gt;"", ROUNDUP(E300/D300,0),"")</f>
        <v>25568.666666666668</v>
      </c>
      <c r="G300" s="789">
        <f>IF(E300&lt;&gt;"", (SQRT(D300*E300))/300, "")</f>
      </c>
      <c r="H300" s="480">
        <v>42.3</v>
      </c>
      <c r="I300" s="739"/>
      <c r="J300" s="739"/>
      <c r="K300" s="509"/>
      <c r="L300" s="510" t="s">
        <v>836</v>
      </c>
      <c r="M300" s="231">
        <v>45597</v>
      </c>
      <c r="N300" s="490" t="s">
        <v>503</v>
      </c>
      <c r="O300" s="501" t="s">
        <v>1954</v>
      </c>
      <c r="P300" s="492" t="s">
        <v>819</v>
      </c>
      <c r="Q300" s="502"/>
      <c r="R300" s="492" t="s">
        <v>1955</v>
      </c>
      <c r="S300" s="485">
        <v>454</v>
      </c>
    </row>
    <row x14ac:dyDescent="0.25" r="301" customHeight="1" ht="17.25">
      <c r="A301" s="259" t="s">
        <v>1956</v>
      </c>
      <c r="B301" s="21" t="s">
        <v>1591</v>
      </c>
      <c r="C301" s="505" t="s">
        <v>1957</v>
      </c>
      <c r="D301" s="496">
        <v>32</v>
      </c>
      <c r="E301" s="478">
        <v>8000</v>
      </c>
      <c r="F301" s="263">
        <f>IF(E301&lt;&gt;"", ROUNDUP(E301/D301,0),"")</f>
        <v>25568.666666666668</v>
      </c>
      <c r="G301" s="790">
        <f>IF(E301&lt;&gt;"", (SQRT(D301*E301))/300, "")</f>
      </c>
      <c r="H301" s="480"/>
      <c r="I301" s="480"/>
      <c r="J301" s="480"/>
      <c r="K301" s="509"/>
      <c r="L301" s="510" t="s">
        <v>836</v>
      </c>
      <c r="M301" s="231">
        <v>45566</v>
      </c>
      <c r="N301" s="270" t="s">
        <v>503</v>
      </c>
      <c r="O301" s="511" t="s">
        <v>1958</v>
      </c>
      <c r="P301" s="249" t="s">
        <v>819</v>
      </c>
      <c r="Q301" s="272"/>
      <c r="R301" s="259" t="s">
        <v>1959</v>
      </c>
      <c r="S301" s="485">
        <v>453</v>
      </c>
    </row>
    <row x14ac:dyDescent="0.25" r="302" customHeight="1" ht="17.25">
      <c r="A302" s="228" t="s">
        <v>1960</v>
      </c>
      <c r="B302" s="21" t="s">
        <v>523</v>
      </c>
      <c r="C302" s="491" t="s">
        <v>1389</v>
      </c>
      <c r="D302" s="478">
        <v>175</v>
      </c>
      <c r="E302" s="478">
        <v>20000</v>
      </c>
      <c r="F302" s="230">
        <f>IF(E302&lt;&gt;"", ROUNDUP(E302/D302,0),"")</f>
        <v>25568.666666666668</v>
      </c>
      <c r="G302" s="479">
        <f>IF(E302&lt;&gt;"", (SQRT(D302*E302))/300, "")</f>
      </c>
      <c r="H302" s="481">
        <v>90.5</v>
      </c>
      <c r="I302" s="585">
        <v>78</v>
      </c>
      <c r="J302" s="585">
        <v>65</v>
      </c>
      <c r="K302" s="481"/>
      <c r="L302" s="482" t="s">
        <v>830</v>
      </c>
      <c r="M302" s="231">
        <v>45566</v>
      </c>
      <c r="N302" s="223" t="s">
        <v>503</v>
      </c>
      <c r="O302" s="615" t="s">
        <v>1961</v>
      </c>
      <c r="P302" s="228" t="s">
        <v>819</v>
      </c>
      <c r="Q302" s="566" t="s">
        <v>808</v>
      </c>
      <c r="R302" s="228" t="s">
        <v>1962</v>
      </c>
      <c r="S302" s="485">
        <v>452</v>
      </c>
    </row>
    <row x14ac:dyDescent="0.25" r="303" customHeight="1" ht="17.25">
      <c r="A303" s="228" t="s">
        <v>1963</v>
      </c>
      <c r="B303" s="21" t="s">
        <v>1117</v>
      </c>
      <c r="C303" s="491" t="s">
        <v>1964</v>
      </c>
      <c r="D303" s="23">
        <v>8</v>
      </c>
      <c r="E303" s="23">
        <v>12000</v>
      </c>
      <c r="F303" s="230">
        <f>IF(E303&lt;&gt;"", ROUNDUP(E303/D303,0),"")</f>
        <v>25568.666666666668</v>
      </c>
      <c r="G303" s="487">
        <f>IF(E303&lt;&gt;"", (SQRT(D303*E303))/300, "")</f>
      </c>
      <c r="H303" s="480">
        <v>65.54</v>
      </c>
      <c r="I303" s="480">
        <v>33.27</v>
      </c>
      <c r="J303" s="480">
        <v>32.13</v>
      </c>
      <c r="K303" s="481"/>
      <c r="L303" s="482" t="s">
        <v>830</v>
      </c>
      <c r="M303" s="231">
        <v>45566</v>
      </c>
      <c r="N303" s="490" t="s">
        <v>503</v>
      </c>
      <c r="O303" s="491" t="s">
        <v>1965</v>
      </c>
      <c r="P303" s="259" t="s">
        <v>819</v>
      </c>
      <c r="Q303" s="566"/>
      <c r="R303" s="228" t="s">
        <v>1966</v>
      </c>
      <c r="S303" s="485">
        <v>451</v>
      </c>
    </row>
    <row x14ac:dyDescent="0.25" r="304" customHeight="1" ht="17.25">
      <c r="A304" s="592" t="s">
        <v>1967</v>
      </c>
      <c r="B304" s="503" t="s">
        <v>1117</v>
      </c>
      <c r="C304" s="629" t="s">
        <v>1968</v>
      </c>
      <c r="D304" s="631">
        <v>3</v>
      </c>
      <c r="E304" s="477">
        <v>10000</v>
      </c>
      <c r="F304" s="230">
        <f>IF(E304&lt;&gt;"", ROUNDUP(E304/D304,0),"")</f>
        <v>25568.666666666668</v>
      </c>
      <c r="G304" s="487">
        <f>IF(E304&lt;&gt;"", (SQRT(D304*E304))/300, "")</f>
      </c>
      <c r="H304" s="719">
        <v>50.16</v>
      </c>
      <c r="I304" s="480">
        <v>20.51</v>
      </c>
      <c r="J304" s="480">
        <v>26.85</v>
      </c>
      <c r="K304" s="481"/>
      <c r="L304" s="482" t="s">
        <v>830</v>
      </c>
      <c r="M304" s="231">
        <v>45566</v>
      </c>
      <c r="N304" s="490" t="s">
        <v>503</v>
      </c>
      <c r="O304" s="690" t="s">
        <v>1965</v>
      </c>
      <c r="P304" s="592" t="s">
        <v>802</v>
      </c>
      <c r="Q304" s="566"/>
      <c r="R304" s="228" t="s">
        <v>1966</v>
      </c>
      <c r="S304" s="485">
        <v>450</v>
      </c>
    </row>
    <row x14ac:dyDescent="0.25" r="305" customHeight="1" ht="17.25">
      <c r="A305" s="592" t="s">
        <v>1969</v>
      </c>
      <c r="B305" s="503" t="s">
        <v>1970</v>
      </c>
      <c r="C305" s="629" t="s">
        <v>1971</v>
      </c>
      <c r="D305" s="631">
        <v>7</v>
      </c>
      <c r="E305" s="477">
        <v>1200</v>
      </c>
      <c r="F305" s="263">
        <f>IF(E305&lt;&gt;"", ROUNDUP(E305/D305,0),"")</f>
        <v>25568.666666666668</v>
      </c>
      <c r="G305" s="716">
        <f>IF(E305&lt;&gt;"", (SQRT(D305*E305))/300, "")</f>
      </c>
      <c r="H305" s="719"/>
      <c r="I305" s="635"/>
      <c r="J305" s="635"/>
      <c r="K305" s="481"/>
      <c r="L305" s="750" t="s">
        <v>1328</v>
      </c>
      <c r="M305" s="231">
        <v>45566</v>
      </c>
      <c r="N305" s="689" t="s">
        <v>503</v>
      </c>
      <c r="O305" s="690" t="s">
        <v>1972</v>
      </c>
      <c r="P305" s="592" t="s">
        <v>819</v>
      </c>
      <c r="Q305" s="636"/>
      <c r="R305" s="592" t="s">
        <v>1973</v>
      </c>
      <c r="S305" s="485">
        <v>449</v>
      </c>
    </row>
    <row x14ac:dyDescent="0.25" r="306" customHeight="1" ht="17.25">
      <c r="A306" s="592" t="s">
        <v>1974</v>
      </c>
      <c r="B306" s="494" t="s">
        <v>474</v>
      </c>
      <c r="C306" s="629" t="s">
        <v>1975</v>
      </c>
      <c r="D306" s="631">
        <v>70</v>
      </c>
      <c r="E306" s="478">
        <v>15000</v>
      </c>
      <c r="F306" s="263">
        <f>IF(E306&lt;&gt;"", ROUNDUP(E306/D306,0),"")</f>
        <v>25568.666666666668</v>
      </c>
      <c r="G306" s="716">
        <f>IF(E306&lt;&gt;"", (SQRT(D306*E306))/300, "")</f>
      </c>
      <c r="H306" s="719"/>
      <c r="I306" s="635"/>
      <c r="J306" s="635"/>
      <c r="K306" s="481"/>
      <c r="L306" s="482" t="s">
        <v>830</v>
      </c>
      <c r="M306" s="231">
        <v>45566</v>
      </c>
      <c r="N306" s="689" t="s">
        <v>503</v>
      </c>
      <c r="O306" s="690" t="s">
        <v>1976</v>
      </c>
      <c r="P306" s="592" t="s">
        <v>819</v>
      </c>
      <c r="Q306" s="636"/>
      <c r="R306" s="592" t="s">
        <v>1977</v>
      </c>
      <c r="S306" s="485">
        <v>448</v>
      </c>
    </row>
    <row x14ac:dyDescent="0.25" r="307" customHeight="1" ht="17.25">
      <c r="A307" s="228" t="s">
        <v>1978</v>
      </c>
      <c r="B307" s="462" t="s">
        <v>965</v>
      </c>
      <c r="C307" s="491" t="s">
        <v>1979</v>
      </c>
      <c r="D307" s="477">
        <v>8</v>
      </c>
      <c r="E307" s="478">
        <v>6000</v>
      </c>
      <c r="F307" s="230">
        <f>IF(E307&lt;&gt;"", ROUNDUP(E307/D307,0),"")</f>
        <v>25568.666666666668</v>
      </c>
      <c r="G307" s="479">
        <f>IF(E307&lt;&gt;"", (SQRT(D307*E307))/300, "")</f>
      </c>
      <c r="H307" s="585">
        <v>65</v>
      </c>
      <c r="I307" s="617"/>
      <c r="J307" s="617"/>
      <c r="K307" s="481"/>
      <c r="L307" s="482" t="s">
        <v>830</v>
      </c>
      <c r="M307" s="231">
        <v>45566</v>
      </c>
      <c r="N307" s="223" t="s">
        <v>503</v>
      </c>
      <c r="O307" s="615" t="s">
        <v>1980</v>
      </c>
      <c r="P307" s="228" t="s">
        <v>819</v>
      </c>
      <c r="Q307" s="566"/>
      <c r="R307" s="228" t="s">
        <v>1981</v>
      </c>
      <c r="S307" s="485">
        <v>447</v>
      </c>
    </row>
    <row x14ac:dyDescent="0.25" r="308" customHeight="1" ht="17.25">
      <c r="A308" s="492" t="s">
        <v>1982</v>
      </c>
      <c r="B308" s="503" t="s">
        <v>1983</v>
      </c>
      <c r="C308" s="535" t="s">
        <v>1984</v>
      </c>
      <c r="D308" s="573">
        <v>200</v>
      </c>
      <c r="E308" s="573">
        <v>10000</v>
      </c>
      <c r="F308" s="536">
        <f>IF(E308&lt;&gt;"", ROUNDUP(E308/D308,0),"")</f>
        <v>25568.666666666668</v>
      </c>
      <c r="G308" s="791">
        <f>IF(E308&lt;&gt;"", (SQRT(D308*E308))/300, "")</f>
      </c>
      <c r="H308" s="792"/>
      <c r="I308" s="739"/>
      <c r="J308" s="739"/>
      <c r="K308" s="481"/>
      <c r="L308" s="482" t="s">
        <v>830</v>
      </c>
      <c r="M308" s="231">
        <v>45566</v>
      </c>
      <c r="N308" s="490" t="s">
        <v>503</v>
      </c>
      <c r="O308" s="501" t="s">
        <v>1985</v>
      </c>
      <c r="P308" s="492" t="s">
        <v>802</v>
      </c>
      <c r="Q308" s="502"/>
      <c r="R308" s="613" t="s">
        <v>1986</v>
      </c>
      <c r="S308" s="485">
        <v>446</v>
      </c>
    </row>
    <row x14ac:dyDescent="0.25" r="309" customHeight="1" ht="17.25">
      <c r="A309" s="492" t="s">
        <v>1987</v>
      </c>
      <c r="B309" s="503" t="s">
        <v>615</v>
      </c>
      <c r="C309" s="535" t="s">
        <v>1988</v>
      </c>
      <c r="D309" s="496">
        <v>7</v>
      </c>
      <c r="E309" s="496">
        <v>3100</v>
      </c>
      <c r="F309" s="536">
        <f>IF(E309&lt;&gt;"", ROUNDUP(E309/D309,0),"")</f>
        <v>25568.666666666668</v>
      </c>
      <c r="G309" s="791">
        <f>IF(E309&lt;&gt;"", (SQRT(D309*E309))/300, "")</f>
      </c>
      <c r="H309" s="793">
        <v>67.2</v>
      </c>
      <c r="I309" s="739"/>
      <c r="J309" s="739"/>
      <c r="K309" s="481"/>
      <c r="L309" s="482" t="s">
        <v>830</v>
      </c>
      <c r="M309" s="231">
        <v>45566</v>
      </c>
      <c r="N309" s="490" t="s">
        <v>503</v>
      </c>
      <c r="O309" s="501" t="s">
        <v>1989</v>
      </c>
      <c r="P309" s="492" t="s">
        <v>819</v>
      </c>
      <c r="Q309" s="502"/>
      <c r="R309" s="492" t="s">
        <v>1990</v>
      </c>
      <c r="S309" s="485">
        <v>445</v>
      </c>
    </row>
    <row x14ac:dyDescent="0.25" r="310" customHeight="1" ht="17.25">
      <c r="A310" s="492" t="s">
        <v>1991</v>
      </c>
      <c r="B310" s="494" t="s">
        <v>474</v>
      </c>
      <c r="C310" s="535" t="s">
        <v>1992</v>
      </c>
      <c r="D310" s="496">
        <v>1</v>
      </c>
      <c r="E310" s="496">
        <v>400</v>
      </c>
      <c r="F310" s="263">
        <f>IF(E310&lt;&gt;"", ROUNDUP(E310/D310,0),"")</f>
        <v>25568.666666666668</v>
      </c>
      <c r="G310" s="786">
        <f>IF(E310&lt;&gt;"", (SQRT(D310*E310))/300, "")</f>
      </c>
      <c r="H310" s="775"/>
      <c r="I310" s="746"/>
      <c r="J310" s="787"/>
      <c r="K310" s="481"/>
      <c r="L310" s="482" t="s">
        <v>830</v>
      </c>
      <c r="M310" s="231">
        <v>45566</v>
      </c>
      <c r="N310" s="490" t="s">
        <v>503</v>
      </c>
      <c r="O310" s="501" t="s">
        <v>1993</v>
      </c>
      <c r="P310" s="492" t="s">
        <v>819</v>
      </c>
      <c r="Q310" s="583"/>
      <c r="R310" s="503" t="s">
        <v>1994</v>
      </c>
      <c r="S310" s="485">
        <v>444</v>
      </c>
    </row>
    <row x14ac:dyDescent="0.25" r="311" customHeight="1" ht="17.25">
      <c r="A311" s="228" t="s">
        <v>1995</v>
      </c>
      <c r="B311" s="21" t="s">
        <v>1996</v>
      </c>
      <c r="C311" s="491" t="s">
        <v>1997</v>
      </c>
      <c r="D311" s="226">
        <v>1200</v>
      </c>
      <c r="E311" s="226">
        <v>20000</v>
      </c>
      <c r="F311" s="794">
        <f>IF(E311&lt;&gt;"", ROUNDUP(E311/D311,0),"")</f>
        <v>25568.666666666668</v>
      </c>
      <c r="G311" s="795">
        <f>IF(E311&lt;&gt;"", (SQRT(D311*E311))/300, "")</f>
      </c>
      <c r="H311" s="480"/>
      <c r="I311" s="480"/>
      <c r="J311" s="480"/>
      <c r="K311" s="481"/>
      <c r="L311" s="482" t="s">
        <v>830</v>
      </c>
      <c r="M311" s="231">
        <v>45566</v>
      </c>
      <c r="N311" s="490" t="s">
        <v>503</v>
      </c>
      <c r="O311" s="615" t="s">
        <v>1998</v>
      </c>
      <c r="P311" s="259" t="s">
        <v>819</v>
      </c>
      <c r="Q311" s="566"/>
      <c r="R311" s="228" t="s">
        <v>1999</v>
      </c>
      <c r="S311" s="485">
        <v>443</v>
      </c>
    </row>
    <row x14ac:dyDescent="0.25" r="312" customHeight="1" ht="17.25">
      <c r="A312" s="228" t="s">
        <v>2000</v>
      </c>
      <c r="B312" s="21" t="s">
        <v>1996</v>
      </c>
      <c r="C312" s="491" t="s">
        <v>1997</v>
      </c>
      <c r="D312" s="226">
        <v>1200</v>
      </c>
      <c r="E312" s="226">
        <v>20000</v>
      </c>
      <c r="F312" s="794">
        <f>IF(E312&lt;&gt;"", ROUNDUP(E312/D312,0),"")</f>
        <v>25568.666666666668</v>
      </c>
      <c r="G312" s="795">
        <f>IF(E312&lt;&gt;"", (SQRT(D312*E312))/300, "")</f>
      </c>
      <c r="H312" s="480"/>
      <c r="I312" s="480"/>
      <c r="J312" s="480"/>
      <c r="K312" s="481"/>
      <c r="L312" s="482" t="s">
        <v>830</v>
      </c>
      <c r="M312" s="231">
        <v>45566</v>
      </c>
      <c r="N312" s="490" t="s">
        <v>503</v>
      </c>
      <c r="O312" s="615" t="s">
        <v>1998</v>
      </c>
      <c r="P312" s="259" t="s">
        <v>819</v>
      </c>
      <c r="Q312" s="566"/>
      <c r="R312" s="228" t="s">
        <v>1999</v>
      </c>
      <c r="S312" s="485">
        <v>442</v>
      </c>
    </row>
    <row x14ac:dyDescent="0.25" r="313" customHeight="1" ht="17.25">
      <c r="A313" s="592" t="s">
        <v>2001</v>
      </c>
      <c r="B313" s="628" t="s">
        <v>869</v>
      </c>
      <c r="C313" s="629" t="s">
        <v>2002</v>
      </c>
      <c r="D313" s="631">
        <v>40</v>
      </c>
      <c r="E313" s="691">
        <v>2000</v>
      </c>
      <c r="F313" s="263">
        <f>IF(E313&lt;&gt;"", ROUNDUP(E313/D313,0),"")</f>
        <v>25568.666666666668</v>
      </c>
      <c r="G313" s="632">
        <f>IF(E313&lt;&gt;"", (SQRT(D313*E313))/300, "")</f>
      </c>
      <c r="H313" s="633">
        <v>78.76</v>
      </c>
      <c r="I313" s="634">
        <v>55.63</v>
      </c>
      <c r="J313" s="635"/>
      <c r="K313" s="481"/>
      <c r="L313" s="482" t="s">
        <v>830</v>
      </c>
      <c r="M313" s="231">
        <v>45536</v>
      </c>
      <c r="N313" s="223" t="s">
        <v>503</v>
      </c>
      <c r="O313" s="690" t="s">
        <v>2003</v>
      </c>
      <c r="P313" s="592" t="s">
        <v>802</v>
      </c>
      <c r="Q313" s="636"/>
      <c r="R313" s="592" t="s">
        <v>2004</v>
      </c>
      <c r="S313" s="485">
        <v>441</v>
      </c>
    </row>
    <row x14ac:dyDescent="0.25" r="314" customHeight="1" ht="17.25">
      <c r="A314" s="592" t="s">
        <v>2005</v>
      </c>
      <c r="B314" s="628" t="s">
        <v>1106</v>
      </c>
      <c r="C314" s="629" t="s">
        <v>2006</v>
      </c>
      <c r="D314" s="631">
        <v>70</v>
      </c>
      <c r="E314" s="631">
        <v>15000</v>
      </c>
      <c r="F314" s="263">
        <f>IF(E314&lt;&gt;"", ROUNDUP(E314/D314,0),"")</f>
        <v>25568.666666666668</v>
      </c>
      <c r="G314" s="632">
        <f>IF(E314&lt;&gt;"", (SQRT(D314*E314))/300, "")</f>
      </c>
      <c r="H314" s="633"/>
      <c r="I314" s="634"/>
      <c r="J314" s="635"/>
      <c r="K314" s="481"/>
      <c r="L314" s="482" t="s">
        <v>830</v>
      </c>
      <c r="M314" s="231">
        <v>45536</v>
      </c>
      <c r="N314" s="695" t="s">
        <v>470</v>
      </c>
      <c r="O314" s="589" t="s">
        <v>2007</v>
      </c>
      <c r="P314" s="592" t="s">
        <v>819</v>
      </c>
      <c r="Q314" s="636"/>
      <c r="R314" s="796" t="s">
        <v>2008</v>
      </c>
      <c r="S314" s="485">
        <v>440</v>
      </c>
    </row>
    <row x14ac:dyDescent="0.25" r="315" customHeight="1" ht="17.25">
      <c r="A315" s="492" t="s">
        <v>2009</v>
      </c>
      <c r="B315" s="21" t="s">
        <v>2010</v>
      </c>
      <c r="C315" s="535" t="s">
        <v>2011</v>
      </c>
      <c r="D315" s="23">
        <v>8</v>
      </c>
      <c r="E315" s="226">
        <v>1000</v>
      </c>
      <c r="F315" s="230">
        <f>IF(E315&lt;&gt;"", ROUNDUP(E315/D315,0),"")</f>
        <v>25568.666666666668</v>
      </c>
      <c r="G315" s="487">
        <f>IF(E315&lt;&gt;"", (SQRT(D315*E315))/300, "")</f>
      </c>
      <c r="H315" s="480"/>
      <c r="I315" s="480"/>
      <c r="J315" s="480"/>
      <c r="K315" s="481"/>
      <c r="L315" s="750" t="s">
        <v>1099</v>
      </c>
      <c r="M315" s="231">
        <v>45536</v>
      </c>
      <c r="N315" s="490" t="s">
        <v>503</v>
      </c>
      <c r="O315" s="501" t="s">
        <v>2012</v>
      </c>
      <c r="P315" s="259" t="s">
        <v>819</v>
      </c>
      <c r="Q315" s="583"/>
      <c r="R315" s="584" t="s">
        <v>2013</v>
      </c>
      <c r="S315" s="485">
        <v>439</v>
      </c>
    </row>
    <row x14ac:dyDescent="0.25" r="316" customHeight="1" ht="17.25">
      <c r="A316" s="492" t="s">
        <v>2014</v>
      </c>
      <c r="B316" s="494" t="s">
        <v>474</v>
      </c>
      <c r="C316" s="535" t="s">
        <v>2015</v>
      </c>
      <c r="D316" s="496">
        <v>72</v>
      </c>
      <c r="E316" s="496">
        <v>18000</v>
      </c>
      <c r="F316" s="263">
        <f>IF(E316&lt;&gt;"", ROUNDUP(E316/D316,0),"")</f>
        <v>25568.666666666668</v>
      </c>
      <c r="G316" s="786">
        <f>IF(E316&lt;&gt;"", (SQRT(D316*E316))/300, "")</f>
      </c>
      <c r="H316" s="797">
        <v>82</v>
      </c>
      <c r="I316" s="746"/>
      <c r="J316" s="787"/>
      <c r="K316" s="481"/>
      <c r="L316" s="482" t="s">
        <v>830</v>
      </c>
      <c r="M316" s="231">
        <v>45536</v>
      </c>
      <c r="N316" s="490" t="s">
        <v>503</v>
      </c>
      <c r="O316" s="501" t="s">
        <v>2016</v>
      </c>
      <c r="P316" s="492" t="s">
        <v>819</v>
      </c>
      <c r="Q316" s="583"/>
      <c r="R316" s="503" t="s">
        <v>2017</v>
      </c>
      <c r="S316" s="485">
        <v>438</v>
      </c>
    </row>
    <row x14ac:dyDescent="0.25" r="317" customHeight="1" ht="17.25">
      <c r="A317" s="259" t="s">
        <v>2018</v>
      </c>
      <c r="B317" s="504" t="s">
        <v>1254</v>
      </c>
      <c r="C317" s="586"/>
      <c r="D317" s="486">
        <v>1000</v>
      </c>
      <c r="E317" s="562">
        <v>20000</v>
      </c>
      <c r="F317" s="263">
        <f>IF(E317&lt;&gt;"", ROUNDUP(E317/D317,0),"")</f>
        <v>25568.666666666668</v>
      </c>
      <c r="G317" s="479">
        <f>IF(E317&lt;&gt;"", (SQRT(D317*E317))/300, "")</f>
      </c>
      <c r="H317" s="798"/>
      <c r="I317" s="508"/>
      <c r="J317" s="508"/>
      <c r="K317" s="481"/>
      <c r="L317" s="482" t="s">
        <v>830</v>
      </c>
      <c r="M317" s="269">
        <v>45536</v>
      </c>
      <c r="N317" s="695" t="s">
        <v>470</v>
      </c>
      <c r="O317" s="271" t="s">
        <v>2019</v>
      </c>
      <c r="P317" s="259" t="s">
        <v>819</v>
      </c>
      <c r="Q317" s="484"/>
      <c r="R317" s="25" t="s">
        <v>2020</v>
      </c>
      <c r="S317" s="485">
        <v>437</v>
      </c>
    </row>
    <row x14ac:dyDescent="0.25" r="318" customHeight="1" ht="17.25">
      <c r="A318" s="228" t="s">
        <v>2021</v>
      </c>
      <c r="B318" s="504" t="s">
        <v>1254</v>
      </c>
      <c r="C318" s="491" t="s">
        <v>2022</v>
      </c>
      <c r="D318" s="477">
        <v>115</v>
      </c>
      <c r="E318" s="477">
        <v>10000</v>
      </c>
      <c r="F318" s="230">
        <f>IF(E318&lt;&gt;"", ROUNDUP(E318/D318,0),"")</f>
        <v>25568.666666666668</v>
      </c>
      <c r="G318" s="479">
        <f>IF(E318&lt;&gt;"", (SQRT(D318*E318))/300, "")</f>
      </c>
      <c r="H318" s="481">
        <v>80.9</v>
      </c>
      <c r="I318" s="617"/>
      <c r="J318" s="481"/>
      <c r="K318" s="481"/>
      <c r="L318" s="482" t="s">
        <v>830</v>
      </c>
      <c r="M318" s="231">
        <v>45536</v>
      </c>
      <c r="N318" s="223" t="s">
        <v>503</v>
      </c>
      <c r="O318" s="615" t="s">
        <v>1256</v>
      </c>
      <c r="P318" s="228" t="s">
        <v>819</v>
      </c>
      <c r="Q318" s="484"/>
      <c r="R318" s="25" t="s">
        <v>2020</v>
      </c>
      <c r="S318" s="485">
        <v>436</v>
      </c>
    </row>
    <row x14ac:dyDescent="0.25" r="319" customHeight="1" ht="17.25">
      <c r="A319" s="228" t="s">
        <v>2023</v>
      </c>
      <c r="B319" s="21" t="s">
        <v>1615</v>
      </c>
      <c r="C319" s="491" t="s">
        <v>2024</v>
      </c>
      <c r="D319" s="620">
        <v>0.135</v>
      </c>
      <c r="E319" s="477">
        <v>670</v>
      </c>
      <c r="F319" s="230">
        <f>IF(E319&lt;&gt;"", ROUNDUP(E319/D319,0),"")</f>
        <v>25568.666666666668</v>
      </c>
      <c r="G319" s="479">
        <f>IF(E319&lt;&gt;"", (SQRT(D319*E319))/300, "")</f>
      </c>
      <c r="H319" s="481">
        <v>23.02</v>
      </c>
      <c r="I319" s="617"/>
      <c r="J319" s="481"/>
      <c r="K319" s="481"/>
      <c r="L319" s="489" t="s">
        <v>2025</v>
      </c>
      <c r="M319" s="231">
        <v>45536</v>
      </c>
      <c r="N319" s="223" t="s">
        <v>503</v>
      </c>
      <c r="O319" s="615" t="s">
        <v>2026</v>
      </c>
      <c r="P319" s="228" t="s">
        <v>819</v>
      </c>
      <c r="Q319" s="484"/>
      <c r="R319" s="21" t="s">
        <v>2027</v>
      </c>
      <c r="S319" s="485">
        <v>435</v>
      </c>
    </row>
    <row x14ac:dyDescent="0.25" r="320" customHeight="1" ht="17.25">
      <c r="A320" s="228" t="s">
        <v>2028</v>
      </c>
      <c r="B320" s="462" t="s">
        <v>498</v>
      </c>
      <c r="C320" s="491" t="s">
        <v>2029</v>
      </c>
      <c r="D320" s="477">
        <v>90</v>
      </c>
      <c r="E320" s="477">
        <v>9000</v>
      </c>
      <c r="F320" s="230">
        <f>IF(E320&lt;&gt;"", ROUNDUP(E320/D320,0),"")</f>
        <v>25568.666666666668</v>
      </c>
      <c r="G320" s="479">
        <f>IF(E320&lt;&gt;"", (SQRT(D320*E320))/300, "")</f>
      </c>
      <c r="H320" s="617"/>
      <c r="I320" s="617"/>
      <c r="J320" s="481"/>
      <c r="K320" s="481"/>
      <c r="L320" s="482" t="s">
        <v>830</v>
      </c>
      <c r="M320" s="231">
        <v>45536</v>
      </c>
      <c r="N320" s="223" t="s">
        <v>503</v>
      </c>
      <c r="O320" s="615" t="s">
        <v>2029</v>
      </c>
      <c r="P320" s="228" t="s">
        <v>819</v>
      </c>
      <c r="Q320" s="484"/>
      <c r="R320" s="21" t="s">
        <v>2030</v>
      </c>
      <c r="S320" s="485">
        <v>434</v>
      </c>
    </row>
    <row x14ac:dyDescent="0.25" r="321" customHeight="1" ht="17.25">
      <c r="A321" s="259" t="s">
        <v>2031</v>
      </c>
      <c r="B321" s="452" t="s">
        <v>498</v>
      </c>
      <c r="C321" s="586" t="s">
        <v>2029</v>
      </c>
      <c r="D321" s="512">
        <v>3.21</v>
      </c>
      <c r="E321" s="486">
        <v>9000</v>
      </c>
      <c r="F321" s="263">
        <f>IF(E321&lt;&gt;"", ROUNDUP(E321/D321,0),"")</f>
        <v>25568.666666666668</v>
      </c>
      <c r="G321" s="799">
        <f>IF(E321&lt;&gt;"", (SQRT(D321*E321))/300, "")</f>
      </c>
      <c r="H321" s="481">
        <v>63.4</v>
      </c>
      <c r="I321" s="617"/>
      <c r="J321" s="481">
        <v>32.8</v>
      </c>
      <c r="K321" s="481"/>
      <c r="L321" s="482" t="s">
        <v>830</v>
      </c>
      <c r="M321" s="269">
        <v>45536</v>
      </c>
      <c r="N321" s="270" t="s">
        <v>503</v>
      </c>
      <c r="O321" s="271" t="s">
        <v>2029</v>
      </c>
      <c r="P321" s="259" t="s">
        <v>819</v>
      </c>
      <c r="Q321" s="590"/>
      <c r="R321" s="249" t="s">
        <v>2032</v>
      </c>
      <c r="S321" s="485">
        <v>433</v>
      </c>
    </row>
    <row x14ac:dyDescent="0.25" r="322" customHeight="1" ht="17.25">
      <c r="A322" s="228" t="s">
        <v>2033</v>
      </c>
      <c r="B322" s="249" t="s">
        <v>939</v>
      </c>
      <c r="C322" s="491" t="s">
        <v>2034</v>
      </c>
      <c r="D322" s="477">
        <v>72</v>
      </c>
      <c r="E322" s="477">
        <v>7000</v>
      </c>
      <c r="F322" s="230">
        <f>IF(E322&lt;&gt;"", ROUNDUP(E322/D322,0),"")</f>
        <v>25568.666666666668</v>
      </c>
      <c r="G322" s="479">
        <f>IF(E322&lt;&gt;"", (SQRT(D322*E322))/300, "")</f>
      </c>
      <c r="H322" s="481"/>
      <c r="I322" s="481"/>
      <c r="J322" s="481"/>
      <c r="K322" s="481"/>
      <c r="L322" s="482" t="s">
        <v>830</v>
      </c>
      <c r="M322" s="231">
        <v>45536</v>
      </c>
      <c r="N322" s="223" t="s">
        <v>503</v>
      </c>
      <c r="O322" s="608" t="s">
        <v>2035</v>
      </c>
      <c r="P322" s="228" t="s">
        <v>819</v>
      </c>
      <c r="Q322" s="484"/>
      <c r="R322" s="25" t="s">
        <v>2036</v>
      </c>
      <c r="S322" s="485">
        <v>432</v>
      </c>
    </row>
    <row x14ac:dyDescent="0.25" r="323" customHeight="1" ht="17.25">
      <c r="A323" s="228" t="s">
        <v>2037</v>
      </c>
      <c r="B323" s="462" t="s">
        <v>828</v>
      </c>
      <c r="C323" s="491" t="s">
        <v>2038</v>
      </c>
      <c r="D323" s="478">
        <v>200</v>
      </c>
      <c r="E323" s="478">
        <v>30000</v>
      </c>
      <c r="F323" s="230">
        <f>IF(E323&lt;&gt;"", ROUNDUP(E323/D323,0),"")</f>
        <v>25568.666666666668</v>
      </c>
      <c r="G323" s="479">
        <f>IF(E323&lt;&gt;"", (SQRT(D323*E323))/300, "")</f>
      </c>
      <c r="H323" s="481"/>
      <c r="I323" s="481">
        <v>75.8</v>
      </c>
      <c r="J323" s="481">
        <v>59.1</v>
      </c>
      <c r="K323" s="481"/>
      <c r="L323" s="482" t="s">
        <v>830</v>
      </c>
      <c r="M323" s="231">
        <v>45536</v>
      </c>
      <c r="N323" s="223" t="s">
        <v>503</v>
      </c>
      <c r="O323" s="491" t="s">
        <v>2039</v>
      </c>
      <c r="P323" s="228" t="s">
        <v>802</v>
      </c>
      <c r="Q323" s="484" t="s">
        <v>808</v>
      </c>
      <c r="R323" s="25" t="s">
        <v>2040</v>
      </c>
      <c r="S323" s="485">
        <v>431</v>
      </c>
    </row>
    <row x14ac:dyDescent="0.25" r="324" customHeight="1" ht="17.25">
      <c r="A324" s="228" t="s">
        <v>2041</v>
      </c>
      <c r="B324" s="462" t="s">
        <v>494</v>
      </c>
      <c r="C324" s="491" t="s">
        <v>1932</v>
      </c>
      <c r="D324" s="477">
        <v>72</v>
      </c>
      <c r="E324" s="477">
        <v>18000</v>
      </c>
      <c r="F324" s="230">
        <f>IF(E324&lt;&gt;"", ROUNDUP(E324/D324,0),"")</f>
        <v>25568.666666666668</v>
      </c>
      <c r="G324" s="479">
        <f>IF(E324&lt;&gt;"", (SQRT(D324*E324))/300, "")</f>
      </c>
      <c r="H324" s="481">
        <v>86.1</v>
      </c>
      <c r="I324" s="481">
        <v>71.1</v>
      </c>
      <c r="J324" s="585">
        <v>49</v>
      </c>
      <c r="K324" s="481"/>
      <c r="L324" s="482" t="s">
        <v>830</v>
      </c>
      <c r="M324" s="231">
        <v>45536</v>
      </c>
      <c r="N324" s="223" t="s">
        <v>503</v>
      </c>
      <c r="O324" s="608" t="s">
        <v>1933</v>
      </c>
      <c r="P324" s="228" t="s">
        <v>819</v>
      </c>
      <c r="Q324" s="484"/>
      <c r="R324" s="21"/>
      <c r="S324" s="485">
        <v>430</v>
      </c>
    </row>
    <row x14ac:dyDescent="0.25" r="325" customHeight="1" ht="17.25">
      <c r="A325" s="228" t="s">
        <v>2042</v>
      </c>
      <c r="B325" s="21" t="s">
        <v>834</v>
      </c>
      <c r="C325" s="491" t="s">
        <v>2043</v>
      </c>
      <c r="D325" s="477">
        <v>60</v>
      </c>
      <c r="E325" s="477">
        <v>4025</v>
      </c>
      <c r="F325" s="230">
        <f>IF(E325&lt;&gt;"", ROUNDUP(E325/D325,0),"")</f>
        <v>25568.666666666668</v>
      </c>
      <c r="G325" s="479">
        <f>IF(E325&lt;&gt;"", (SQRT(D325*E325))/300, "")</f>
      </c>
      <c r="H325" s="481">
        <v>79.4</v>
      </c>
      <c r="I325" s="481"/>
      <c r="J325" s="481"/>
      <c r="K325" s="509"/>
      <c r="L325" s="510" t="s">
        <v>836</v>
      </c>
      <c r="M325" s="231">
        <v>45536</v>
      </c>
      <c r="N325" s="223" t="s">
        <v>503</v>
      </c>
      <c r="O325" s="615" t="s">
        <v>2044</v>
      </c>
      <c r="P325" s="228" t="s">
        <v>802</v>
      </c>
      <c r="Q325" s="566"/>
      <c r="R325" s="228" t="s">
        <v>2045</v>
      </c>
      <c r="S325" s="485">
        <v>429</v>
      </c>
    </row>
    <row x14ac:dyDescent="0.25" r="326" customHeight="1" ht="17.25">
      <c r="A326" s="228" t="s">
        <v>2046</v>
      </c>
      <c r="B326" s="462" t="s">
        <v>828</v>
      </c>
      <c r="C326" s="476" t="s">
        <v>2047</v>
      </c>
      <c r="D326" s="477">
        <v>27</v>
      </c>
      <c r="E326" s="477">
        <v>13000</v>
      </c>
      <c r="F326" s="230">
        <f>IF(E326&lt;&gt;"", ROUNDUP(E326/D326,0),"")</f>
        <v>25568.666666666668</v>
      </c>
      <c r="G326" s="479">
        <f>IF(E326&lt;&gt;"", (SQRT(D326*E326))/300, "")</f>
      </c>
      <c r="H326" s="481"/>
      <c r="I326" s="617"/>
      <c r="J326" s="617"/>
      <c r="K326" s="481"/>
      <c r="L326" s="482" t="s">
        <v>830</v>
      </c>
      <c r="M326" s="231">
        <v>45536</v>
      </c>
      <c r="N326" s="223" t="s">
        <v>503</v>
      </c>
      <c r="O326" s="800" t="s">
        <v>2048</v>
      </c>
      <c r="P326" s="228" t="s">
        <v>819</v>
      </c>
      <c r="Q326" s="484"/>
      <c r="R326" s="21" t="s">
        <v>2049</v>
      </c>
      <c r="S326" s="485">
        <v>428</v>
      </c>
    </row>
    <row x14ac:dyDescent="0.25" r="327" customHeight="1" ht="17.25">
      <c r="A327" s="228" t="s">
        <v>2050</v>
      </c>
      <c r="B327" s="462" t="s">
        <v>490</v>
      </c>
      <c r="C327" s="677" t="s">
        <v>954</v>
      </c>
      <c r="D327" s="762">
        <v>200</v>
      </c>
      <c r="E327" s="762">
        <v>20000</v>
      </c>
      <c r="F327" s="753">
        <f>IF(E327&lt;&gt;"", ROUNDUP(E327/D327,0),"")</f>
        <v>25568.666666666668</v>
      </c>
      <c r="G327" s="479">
        <f>IF(E327&lt;&gt;"", (SQRT(D327*E327))/300, "")</f>
      </c>
      <c r="H327" s="481">
        <v>92.3</v>
      </c>
      <c r="I327" s="801">
        <v>91</v>
      </c>
      <c r="J327" s="481">
        <v>78.3</v>
      </c>
      <c r="K327" s="481">
        <v>8.8</v>
      </c>
      <c r="L327" s="482" t="s">
        <v>830</v>
      </c>
      <c r="M327" s="231">
        <v>45536</v>
      </c>
      <c r="N327" s="223" t="s">
        <v>470</v>
      </c>
      <c r="O327" s="615" t="s">
        <v>2051</v>
      </c>
      <c r="P327" s="640" t="s">
        <v>802</v>
      </c>
      <c r="Q327" s="566" t="s">
        <v>803</v>
      </c>
      <c r="R327" s="228"/>
      <c r="S327" s="485">
        <v>427</v>
      </c>
    </row>
    <row x14ac:dyDescent="0.25" r="328" customHeight="1" ht="17.25">
      <c r="A328" s="228" t="s">
        <v>2052</v>
      </c>
      <c r="B328" s="21" t="s">
        <v>2053</v>
      </c>
      <c r="C328" s="491" t="s">
        <v>2054</v>
      </c>
      <c r="D328" s="620">
        <v>1.54</v>
      </c>
      <c r="E328" s="620">
        <v>2.5</v>
      </c>
      <c r="F328" s="230">
        <f>IF(E328&lt;&gt;"", ROUNDUP(E328/D328,0),"")</f>
        <v>25568.666666666668</v>
      </c>
      <c r="G328" s="479">
        <f>IF(E328&lt;&gt;"", (SQRT(D328*E328))/300, "")</f>
      </c>
      <c r="H328" s="481"/>
      <c r="I328" s="617"/>
      <c r="J328" s="617"/>
      <c r="K328" s="509"/>
      <c r="L328" s="642" t="s">
        <v>1099</v>
      </c>
      <c r="M328" s="231">
        <v>45536</v>
      </c>
      <c r="N328" s="223" t="s">
        <v>503</v>
      </c>
      <c r="O328" s="615" t="s">
        <v>2055</v>
      </c>
      <c r="P328" s="228" t="s">
        <v>819</v>
      </c>
      <c r="Q328" s="566"/>
      <c r="R328" s="228" t="s">
        <v>2056</v>
      </c>
      <c r="S328" s="485">
        <v>426</v>
      </c>
    </row>
    <row x14ac:dyDescent="0.25" r="329" customHeight="1" ht="17.25">
      <c r="A329" s="228" t="s">
        <v>2057</v>
      </c>
      <c r="B329" s="462" t="s">
        <v>965</v>
      </c>
      <c r="C329" s="491" t="s">
        <v>2058</v>
      </c>
      <c r="D329" s="477">
        <v>12</v>
      </c>
      <c r="E329" s="478">
        <v>6000</v>
      </c>
      <c r="F329" s="230">
        <f>IF(E329&lt;&gt;"", ROUNDUP(E329/D329,0),"")</f>
        <v>25568.666666666668</v>
      </c>
      <c r="G329" s="479">
        <f>IF(E329&lt;&gt;"", (SQRT(D329*E329))/300, "")</f>
      </c>
      <c r="H329" s="481">
        <v>69.2</v>
      </c>
      <c r="I329" s="617"/>
      <c r="J329" s="617"/>
      <c r="K329" s="481"/>
      <c r="L329" s="482" t="s">
        <v>830</v>
      </c>
      <c r="M329" s="231">
        <v>45536</v>
      </c>
      <c r="N329" s="223" t="s">
        <v>503</v>
      </c>
      <c r="O329" s="615" t="s">
        <v>2059</v>
      </c>
      <c r="P329" s="228" t="s">
        <v>819</v>
      </c>
      <c r="Q329" s="566"/>
      <c r="R329" s="228" t="s">
        <v>2060</v>
      </c>
      <c r="S329" s="485">
        <v>425</v>
      </c>
    </row>
    <row x14ac:dyDescent="0.25" r="330" customHeight="1" ht="17.25">
      <c r="A330" s="492" t="s">
        <v>2061</v>
      </c>
      <c r="B330" s="504" t="s">
        <v>479</v>
      </c>
      <c r="C330" s="535" t="s">
        <v>2062</v>
      </c>
      <c r="D330" s="496">
        <v>236</v>
      </c>
      <c r="E330" s="496">
        <v>10200</v>
      </c>
      <c r="F330" s="230">
        <f>IF(E330&lt;&gt;"", ROUNDUP(E330/D330,0),"")</f>
        <v>25568.666666666668</v>
      </c>
      <c r="G330" s="479">
        <f>IF(E330&lt;&gt;"", (SQRT(D330*E330))/300, "")</f>
      </c>
      <c r="H330" s="576"/>
      <c r="I330" s="785"/>
      <c r="J330" s="739"/>
      <c r="K330" s="481"/>
      <c r="L330" s="482" t="s">
        <v>830</v>
      </c>
      <c r="M330" s="231">
        <v>45536</v>
      </c>
      <c r="N330" s="490" t="s">
        <v>503</v>
      </c>
      <c r="O330" s="495" t="s">
        <v>2063</v>
      </c>
      <c r="P330" s="492" t="s">
        <v>802</v>
      </c>
      <c r="Q330" s="502"/>
      <c r="R330" s="492" t="s">
        <v>2064</v>
      </c>
      <c r="S330" s="485">
        <v>424</v>
      </c>
    </row>
    <row x14ac:dyDescent="0.25" r="331" customHeight="1" ht="17.25">
      <c r="A331" s="259" t="s">
        <v>2065</v>
      </c>
      <c r="B331" s="504" t="s">
        <v>1983</v>
      </c>
      <c r="C331" s="505" t="s">
        <v>2066</v>
      </c>
      <c r="D331" s="486">
        <v>9</v>
      </c>
      <c r="E331" s="486">
        <v>6200</v>
      </c>
      <c r="F331" s="263">
        <f>IF(E331&lt;&gt;"", ROUNDUP(E331/D331,0),"")</f>
        <v>25568.666666666668</v>
      </c>
      <c r="G331" s="802">
        <f>IF(E331&lt;&gt;"", (SQRT(D331*E331))/300, "")</f>
      </c>
      <c r="H331" s="803"/>
      <c r="I331" s="787"/>
      <c r="J331" s="508"/>
      <c r="K331" s="481"/>
      <c r="L331" s="482" t="s">
        <v>830</v>
      </c>
      <c r="M331" s="231">
        <v>45536</v>
      </c>
      <c r="N331" s="270" t="s">
        <v>503</v>
      </c>
      <c r="O331" s="271" t="s">
        <v>2067</v>
      </c>
      <c r="P331" s="259" t="s">
        <v>819</v>
      </c>
      <c r="Q331" s="272"/>
      <c r="R331" s="259" t="s">
        <v>2068</v>
      </c>
      <c r="S331" s="485">
        <v>423</v>
      </c>
    </row>
    <row x14ac:dyDescent="0.25" r="332" customHeight="1" ht="17.25">
      <c r="A332" s="259" t="s">
        <v>2069</v>
      </c>
      <c r="B332" s="249" t="s">
        <v>939</v>
      </c>
      <c r="C332" s="505" t="s">
        <v>2070</v>
      </c>
      <c r="D332" s="619">
        <v>6.9</v>
      </c>
      <c r="E332" s="486">
        <v>5900</v>
      </c>
      <c r="F332" s="230">
        <f>IF(E332&lt;&gt;"", ROUNDUP(E332/D332,0),"")</f>
        <v>25568.666666666668</v>
      </c>
      <c r="G332" s="479">
        <f>IF(E332&lt;&gt;"", (SQRT(D332*E332))/300, "")</f>
      </c>
      <c r="H332" s="481">
        <v>54.1</v>
      </c>
      <c r="I332" s="508"/>
      <c r="J332" s="585">
        <v>23</v>
      </c>
      <c r="K332" s="481"/>
      <c r="L332" s="482" t="s">
        <v>830</v>
      </c>
      <c r="M332" s="231">
        <v>45536</v>
      </c>
      <c r="N332" s="270" t="s">
        <v>503</v>
      </c>
      <c r="O332" s="271" t="s">
        <v>2071</v>
      </c>
      <c r="P332" s="492" t="s">
        <v>802</v>
      </c>
      <c r="Q332" s="590"/>
      <c r="R332" s="249" t="s">
        <v>2072</v>
      </c>
      <c r="S332" s="485">
        <v>422</v>
      </c>
    </row>
    <row x14ac:dyDescent="0.25" r="333" customHeight="1" ht="17.25">
      <c r="A333" s="21" t="s">
        <v>2073</v>
      </c>
      <c r="B333" s="21" t="s">
        <v>944</v>
      </c>
      <c r="C333" s="476"/>
      <c r="D333" s="478">
        <v>20</v>
      </c>
      <c r="E333" s="478">
        <v>2000</v>
      </c>
      <c r="F333" s="230">
        <f>IF(E333&lt;&gt;"", ROUNDUP(E333/D333,0),"")</f>
        <v>25568.666666666668</v>
      </c>
      <c r="G333" s="479">
        <f>IF(E333&lt;&gt;"", (SQRT(D333*E333))/300, "")</f>
      </c>
      <c r="H333" s="481"/>
      <c r="I333" s="488"/>
      <c r="J333" s="481"/>
      <c r="K333" s="481"/>
      <c r="L333" s="482" t="s">
        <v>830</v>
      </c>
      <c r="M333" s="231">
        <v>45505</v>
      </c>
      <c r="N333" s="270" t="s">
        <v>503</v>
      </c>
      <c r="O333" s="641" t="s">
        <v>2074</v>
      </c>
      <c r="P333" s="492" t="s">
        <v>819</v>
      </c>
      <c r="Q333" s="590"/>
      <c r="R333" s="249" t="s">
        <v>2075</v>
      </c>
      <c r="S333" s="485">
        <v>421</v>
      </c>
    </row>
    <row x14ac:dyDescent="0.25" r="334" customHeight="1" ht="17.25">
      <c r="A334" s="259" t="s">
        <v>2076</v>
      </c>
      <c r="B334" s="249" t="s">
        <v>1106</v>
      </c>
      <c r="C334" s="586" t="s">
        <v>2077</v>
      </c>
      <c r="D334" s="506">
        <v>141</v>
      </c>
      <c r="E334" s="512"/>
      <c r="F334" s="263">
        <f>IF(E334&lt;&gt;"", ROUNDUP(E334/D334,0),"")</f>
        <v>25568.666666666668</v>
      </c>
      <c r="G334" s="731">
        <f>IF(E334&lt;&gt;"", (SQRT(D334*E334))/300, "")</f>
      </c>
      <c r="H334" s="508"/>
      <c r="I334" s="508"/>
      <c r="J334" s="508"/>
      <c r="K334" s="481"/>
      <c r="L334" s="482" t="s">
        <v>830</v>
      </c>
      <c r="M334" s="231">
        <v>45505</v>
      </c>
      <c r="N334" s="270" t="s">
        <v>503</v>
      </c>
      <c r="O334" s="271" t="s">
        <v>2077</v>
      </c>
      <c r="P334" s="492" t="s">
        <v>802</v>
      </c>
      <c r="Q334" s="590"/>
      <c r="R334" s="249" t="s">
        <v>2078</v>
      </c>
      <c r="S334" s="485">
        <v>420</v>
      </c>
    </row>
    <row x14ac:dyDescent="0.25" r="335" customHeight="1" ht="17.25">
      <c r="A335" s="228" t="s">
        <v>2079</v>
      </c>
      <c r="B335" s="21" t="s">
        <v>2080</v>
      </c>
      <c r="C335" s="476" t="s">
        <v>2081</v>
      </c>
      <c r="D335" s="478">
        <v>20</v>
      </c>
      <c r="E335" s="478">
        <v>2000</v>
      </c>
      <c r="F335" s="230">
        <f>IF(E335&lt;&gt;"", ROUNDUP(E335/D335,0),"")</f>
        <v>25568.666666666668</v>
      </c>
      <c r="G335" s="479">
        <f>IF(E335&lt;&gt;"", (SQRT(D335*E335))/300, "")</f>
      </c>
      <c r="H335" s="481"/>
      <c r="I335" s="488"/>
      <c r="J335" s="481"/>
      <c r="K335" s="481"/>
      <c r="L335" s="482" t="s">
        <v>830</v>
      </c>
      <c r="M335" s="231">
        <v>45505</v>
      </c>
      <c r="N335" s="695" t="s">
        <v>470</v>
      </c>
      <c r="O335" s="641" t="s">
        <v>2081</v>
      </c>
      <c r="P335" s="492" t="s">
        <v>819</v>
      </c>
      <c r="Q335" s="484"/>
      <c r="R335" s="21" t="s">
        <v>2082</v>
      </c>
      <c r="S335" s="485">
        <v>419</v>
      </c>
    </row>
    <row x14ac:dyDescent="0.25" r="336" customHeight="1" ht="17.25">
      <c r="A336" s="228" t="s">
        <v>2083</v>
      </c>
      <c r="B336" s="21" t="s">
        <v>2084</v>
      </c>
      <c r="C336" s="476" t="s">
        <v>2085</v>
      </c>
      <c r="D336" s="620">
        <v>1.3</v>
      </c>
      <c r="E336" s="477">
        <v>1500</v>
      </c>
      <c r="F336" s="230">
        <f>IF(E336&lt;&gt;"", ROUNDUP(E336/D336,0),"")</f>
        <v>25568.666666666668</v>
      </c>
      <c r="G336" s="479">
        <f>IF(E336&lt;&gt;"", (SQRT(D336*E336))/300, "")</f>
      </c>
      <c r="H336" s="481">
        <v>32.6</v>
      </c>
      <c r="I336" s="488"/>
      <c r="J336" s="481"/>
      <c r="K336" s="481"/>
      <c r="L336" s="482" t="s">
        <v>830</v>
      </c>
      <c r="M336" s="231">
        <v>45505</v>
      </c>
      <c r="N336" s="689" t="s">
        <v>503</v>
      </c>
      <c r="O336" s="641" t="s">
        <v>2086</v>
      </c>
      <c r="P336" s="492" t="s">
        <v>819</v>
      </c>
      <c r="Q336" s="484"/>
      <c r="R336" s="21" t="s">
        <v>2087</v>
      </c>
      <c r="S336" s="485">
        <v>418</v>
      </c>
    </row>
    <row x14ac:dyDescent="0.25" r="337" customHeight="1" ht="17.25">
      <c r="A337" s="228" t="s">
        <v>2088</v>
      </c>
      <c r="B337" s="462" t="s">
        <v>828</v>
      </c>
      <c r="C337" s="476" t="s">
        <v>2089</v>
      </c>
      <c r="D337" s="477">
        <v>8</v>
      </c>
      <c r="E337" s="478">
        <v>8000</v>
      </c>
      <c r="F337" s="230">
        <f>IF(E337&lt;&gt;"", ROUNDUP(E337/D337,0),"")</f>
        <v>25568.666666666668</v>
      </c>
      <c r="G337" s="479">
        <f>IF(E337&lt;&gt;"", (SQRT(D337*E337))/300, "")</f>
      </c>
      <c r="H337" s="481">
        <v>68.1</v>
      </c>
      <c r="I337" s="488"/>
      <c r="J337" s="481">
        <v>30.8</v>
      </c>
      <c r="K337" s="481"/>
      <c r="L337" s="482" t="s">
        <v>830</v>
      </c>
      <c r="M337" s="231">
        <v>45505</v>
      </c>
      <c r="N337" s="689" t="s">
        <v>503</v>
      </c>
      <c r="O337" s="641" t="s">
        <v>2090</v>
      </c>
      <c r="P337" s="492" t="s">
        <v>819</v>
      </c>
      <c r="Q337" s="484"/>
      <c r="R337" s="25" t="s">
        <v>2091</v>
      </c>
      <c r="S337" s="485">
        <v>417</v>
      </c>
    </row>
    <row x14ac:dyDescent="0.25" r="338" customHeight="1" ht="17.25">
      <c r="A338" s="228" t="s">
        <v>2092</v>
      </c>
      <c r="B338" s="21" t="s">
        <v>2093</v>
      </c>
      <c r="C338" s="505" t="s">
        <v>2094</v>
      </c>
      <c r="D338" s="23">
        <v>7</v>
      </c>
      <c r="E338" s="23">
        <v>7700</v>
      </c>
      <c r="F338" s="230">
        <f>IF(E338&lt;&gt;"", ROUNDUP(E338/D338,0),"")</f>
        <v>25568.666666666668</v>
      </c>
      <c r="G338" s="487">
        <f>IF(E338&lt;&gt;"", (SQRT(D338*E338))/300, "")</f>
      </c>
      <c r="H338" s="480"/>
      <c r="I338" s="480"/>
      <c r="J338" s="480"/>
      <c r="K338" s="481"/>
      <c r="L338" s="482" t="s">
        <v>830</v>
      </c>
      <c r="M338" s="231">
        <v>45505</v>
      </c>
      <c r="N338" s="223" t="s">
        <v>503</v>
      </c>
      <c r="O338" s="615" t="s">
        <v>2095</v>
      </c>
      <c r="P338" s="259" t="s">
        <v>819</v>
      </c>
      <c r="Q338" s="484"/>
      <c r="R338" s="21"/>
      <c r="S338" s="485">
        <v>416</v>
      </c>
    </row>
    <row x14ac:dyDescent="0.25" r="339" customHeight="1" ht="17.25">
      <c r="A339" s="492" t="s">
        <v>2096</v>
      </c>
      <c r="B339" s="503" t="s">
        <v>853</v>
      </c>
      <c r="C339" s="535" t="s">
        <v>2097</v>
      </c>
      <c r="D339" s="519">
        <v>1.3</v>
      </c>
      <c r="E339" s="529">
        <v>26</v>
      </c>
      <c r="F339" s="263">
        <f>IF(E339&lt;&gt;"", ROUNDUP(E339/D339,0),"")</f>
        <v>25568.666666666668</v>
      </c>
      <c r="G339" s="804">
        <f>IF(E339&lt;&gt;"", (SQRT(D339*E339))/300, "")</f>
      </c>
      <c r="H339" s="805"/>
      <c r="I339" s="805"/>
      <c r="J339" s="509"/>
      <c r="K339" s="509"/>
      <c r="L339" s="510" t="s">
        <v>2025</v>
      </c>
      <c r="M339" s="231">
        <v>45505</v>
      </c>
      <c r="N339" s="490" t="s">
        <v>503</v>
      </c>
      <c r="O339" s="501" t="s">
        <v>2098</v>
      </c>
      <c r="P339" s="228" t="s">
        <v>819</v>
      </c>
      <c r="Q339" s="502"/>
      <c r="R339" s="492" t="s">
        <v>2099</v>
      </c>
      <c r="S339" s="485">
        <v>415</v>
      </c>
    </row>
    <row x14ac:dyDescent="0.25" r="340" customHeight="1" ht="17.25">
      <c r="A340" s="492" t="s">
        <v>2100</v>
      </c>
      <c r="B340" s="503" t="s">
        <v>864</v>
      </c>
      <c r="C340" s="535" t="s">
        <v>2101</v>
      </c>
      <c r="D340" s="529">
        <v>398</v>
      </c>
      <c r="E340" s="526">
        <v>1200</v>
      </c>
      <c r="F340" s="263">
        <f>IF(E340&lt;&gt;"", ROUNDUP(E340/D340,0),"")</f>
        <v>25568.666666666668</v>
      </c>
      <c r="G340" s="804">
        <f>IF(E340&lt;&gt;"", (SQRT(D340*E340))/300, "")</f>
      </c>
      <c r="H340" s="805">
        <v>81.2</v>
      </c>
      <c r="I340" s="805">
        <v>53.5</v>
      </c>
      <c r="J340" s="509">
        <v>36.9</v>
      </c>
      <c r="K340" s="481"/>
      <c r="L340" s="482" t="s">
        <v>830</v>
      </c>
      <c r="M340" s="231">
        <v>45505</v>
      </c>
      <c r="N340" s="490" t="s">
        <v>503</v>
      </c>
      <c r="O340" s="501" t="s">
        <v>2102</v>
      </c>
      <c r="P340" s="492" t="s">
        <v>802</v>
      </c>
      <c r="Q340" s="502"/>
      <c r="R340" s="492" t="s">
        <v>2103</v>
      </c>
      <c r="S340" s="485">
        <v>414</v>
      </c>
    </row>
    <row x14ac:dyDescent="0.25" r="341" customHeight="1" ht="17.25">
      <c r="A341" s="492" t="s">
        <v>2104</v>
      </c>
      <c r="B341" s="21" t="s">
        <v>834</v>
      </c>
      <c r="C341" s="535" t="s">
        <v>2105</v>
      </c>
      <c r="D341" s="496">
        <v>60</v>
      </c>
      <c r="E341" s="496">
        <v>4900</v>
      </c>
      <c r="F341" s="263">
        <f>IF(E341&lt;&gt;"", ROUNDUP(E341/D341,0),"")</f>
        <v>25568.666666666668</v>
      </c>
      <c r="G341" s="770">
        <f>IF(E341&lt;&gt;"", (SQRT(D341*E341))/300, "")</f>
      </c>
      <c r="H341" s="509">
        <v>78.9</v>
      </c>
      <c r="I341" s="509">
        <v>54.3</v>
      </c>
      <c r="J341" s="509">
        <v>36.8</v>
      </c>
      <c r="K341" s="509"/>
      <c r="L341" s="510" t="s">
        <v>836</v>
      </c>
      <c r="M341" s="231">
        <v>45505</v>
      </c>
      <c r="N341" s="490" t="s">
        <v>503</v>
      </c>
      <c r="O341" s="501" t="s">
        <v>2106</v>
      </c>
      <c r="P341" s="492" t="s">
        <v>802</v>
      </c>
      <c r="Q341" s="502"/>
      <c r="R341" s="492"/>
      <c r="S341" s="485">
        <v>413</v>
      </c>
    </row>
    <row x14ac:dyDescent="0.25" r="342" customHeight="1" ht="17.25">
      <c r="A342" s="228" t="s">
        <v>2107</v>
      </c>
      <c r="B342" s="21" t="s">
        <v>834</v>
      </c>
      <c r="C342" s="535" t="s">
        <v>2108</v>
      </c>
      <c r="D342" s="620">
        <v>3.8</v>
      </c>
      <c r="E342" s="477">
        <v>3400</v>
      </c>
      <c r="F342" s="230">
        <f>IF(E342&lt;&gt;"", ROUNDUP(E342/D342,0),"")</f>
        <v>25568.666666666668</v>
      </c>
      <c r="G342" s="479">
        <f>IF(E342&lt;&gt;"", (SQRT(D342*E342))/300, "")</f>
      </c>
      <c r="H342" s="481">
        <v>65.5</v>
      </c>
      <c r="I342" s="481">
        <v>47.4</v>
      </c>
      <c r="J342" s="481">
        <v>25.2</v>
      </c>
      <c r="K342" s="509"/>
      <c r="L342" s="510" t="s">
        <v>836</v>
      </c>
      <c r="M342" s="231">
        <v>45505</v>
      </c>
      <c r="N342" s="223" t="s">
        <v>503</v>
      </c>
      <c r="O342" s="615" t="s">
        <v>2109</v>
      </c>
      <c r="P342" s="228" t="s">
        <v>819</v>
      </c>
      <c r="Q342" s="502"/>
      <c r="R342" s="492"/>
      <c r="S342" s="485">
        <v>412</v>
      </c>
    </row>
    <row x14ac:dyDescent="0.25" r="343" customHeight="1" ht="17.25">
      <c r="A343" s="592" t="s">
        <v>2110</v>
      </c>
      <c r="B343" s="494" t="s">
        <v>474</v>
      </c>
      <c r="C343" s="685" t="s">
        <v>2111</v>
      </c>
      <c r="D343" s="631">
        <v>4</v>
      </c>
      <c r="E343" s="691">
        <v>94</v>
      </c>
      <c r="F343" s="263">
        <f>IF(E343&lt;&gt;"", ROUNDUP(E343/D343,0),"")</f>
        <v>25568.666666666668</v>
      </c>
      <c r="G343" s="716">
        <f>IF(E343&lt;&gt;"", (SQRT(D343*E343))/300, "")</f>
      </c>
      <c r="H343" s="612">
        <v>58.6</v>
      </c>
      <c r="I343" s="635"/>
      <c r="J343" s="635"/>
      <c r="K343" s="481"/>
      <c r="L343" s="482" t="s">
        <v>830</v>
      </c>
      <c r="M343" s="231">
        <v>45505</v>
      </c>
      <c r="N343" s="689" t="s">
        <v>503</v>
      </c>
      <c r="O343" s="589" t="s">
        <v>2112</v>
      </c>
      <c r="P343" s="228" t="s">
        <v>819</v>
      </c>
      <c r="Q343" s="636"/>
      <c r="R343" s="796" t="s">
        <v>2113</v>
      </c>
      <c r="S343" s="485">
        <v>411</v>
      </c>
    </row>
    <row x14ac:dyDescent="0.25" r="344" customHeight="1" ht="17.25">
      <c r="A344" s="228" t="s">
        <v>2114</v>
      </c>
      <c r="B344" s="21" t="s">
        <v>2115</v>
      </c>
      <c r="C344" s="491" t="s">
        <v>2116</v>
      </c>
      <c r="D344" s="477">
        <v>2</v>
      </c>
      <c r="E344" s="477">
        <v>4000</v>
      </c>
      <c r="F344" s="230">
        <f>IF(E344&lt;&gt;"", ROUNDUP(E344/D344,0),"")</f>
        <v>25568.666666666668</v>
      </c>
      <c r="G344" s="479">
        <f>IF(E344&lt;&gt;"", (SQRT(D344*E344))/300, "")</f>
      </c>
      <c r="H344" s="481"/>
      <c r="I344" s="481"/>
      <c r="J344" s="481"/>
      <c r="K344" s="481"/>
      <c r="L344" s="482" t="s">
        <v>830</v>
      </c>
      <c r="M344" s="231">
        <v>45505</v>
      </c>
      <c r="N344" s="223" t="s">
        <v>503</v>
      </c>
      <c r="O344" s="615" t="s">
        <v>2116</v>
      </c>
      <c r="P344" s="228" t="s">
        <v>819</v>
      </c>
      <c r="Q344" s="484"/>
      <c r="R344" s="21" t="s">
        <v>2117</v>
      </c>
      <c r="S344" s="485">
        <v>410</v>
      </c>
    </row>
    <row x14ac:dyDescent="0.25" r="345" customHeight="1" ht="17.25">
      <c r="A345" s="228" t="s">
        <v>2118</v>
      </c>
      <c r="B345" s="21" t="s">
        <v>811</v>
      </c>
      <c r="C345" s="629" t="s">
        <v>2119</v>
      </c>
      <c r="D345" s="478">
        <v>400</v>
      </c>
      <c r="E345" s="478">
        <v>15000</v>
      </c>
      <c r="F345" s="230">
        <f>IF(E345&lt;&gt;"", ROUNDUP(E345/D345,0),"")</f>
        <v>25568.666666666668</v>
      </c>
      <c r="G345" s="479">
        <f>IF(E345&lt;&gt;"", (SQRT(D345*E345))/300, "")</f>
      </c>
      <c r="H345" s="481">
        <v>87.5</v>
      </c>
      <c r="I345" s="481">
        <v>75.5</v>
      </c>
      <c r="J345" s="585">
        <v>56</v>
      </c>
      <c r="K345" s="481">
        <v>3.9</v>
      </c>
      <c r="L345" s="482" t="s">
        <v>830</v>
      </c>
      <c r="M345" s="231">
        <v>45505</v>
      </c>
      <c r="N345" s="223" t="s">
        <v>503</v>
      </c>
      <c r="O345" s="615" t="s">
        <v>2120</v>
      </c>
      <c r="P345" s="640" t="s">
        <v>819</v>
      </c>
      <c r="Q345" s="484" t="s">
        <v>808</v>
      </c>
      <c r="R345" s="25" t="s">
        <v>2121</v>
      </c>
      <c r="S345" s="485">
        <v>409</v>
      </c>
    </row>
    <row x14ac:dyDescent="0.25" r="346" customHeight="1" ht="17.25">
      <c r="A346" s="228" t="s">
        <v>2122</v>
      </c>
      <c r="B346" s="21" t="s">
        <v>894</v>
      </c>
      <c r="C346" s="491" t="s">
        <v>2123</v>
      </c>
      <c r="D346" s="620">
        <v>7.8</v>
      </c>
      <c r="E346" s="477">
        <v>8000</v>
      </c>
      <c r="F346" s="230">
        <f>IF(E346&lt;&gt;"", ROUNDUP(E346/D346,0),"")</f>
        <v>25568.666666666668</v>
      </c>
      <c r="G346" s="479">
        <f>IF(E346&lt;&gt;"", (SQRT(D346*E346))/300, "")</f>
      </c>
      <c r="H346" s="481"/>
      <c r="I346" s="481">
        <v>27.4</v>
      </c>
      <c r="J346" s="481">
        <v>10.1</v>
      </c>
      <c r="K346" s="481"/>
      <c r="L346" s="482" t="s">
        <v>830</v>
      </c>
      <c r="M346" s="231">
        <v>45505</v>
      </c>
      <c r="N346" s="223" t="s">
        <v>503</v>
      </c>
      <c r="O346" s="615" t="s">
        <v>2124</v>
      </c>
      <c r="P346" s="228" t="s">
        <v>819</v>
      </c>
      <c r="Q346" s="566"/>
      <c r="R346" s="228" t="s">
        <v>2125</v>
      </c>
      <c r="S346" s="485">
        <v>408</v>
      </c>
    </row>
    <row x14ac:dyDescent="0.25" r="347" customHeight="1" ht="17.25">
      <c r="A347" s="228" t="s">
        <v>2126</v>
      </c>
      <c r="B347" s="21" t="s">
        <v>552</v>
      </c>
      <c r="C347" s="491" t="s">
        <v>2127</v>
      </c>
      <c r="D347" s="477">
        <v>7</v>
      </c>
      <c r="E347" s="478">
        <v>6000</v>
      </c>
      <c r="F347" s="230">
        <f>IF(E347&lt;&gt;"", ROUNDUP(E347/D347,0),"")</f>
        <v>25568.666666666668</v>
      </c>
      <c r="G347" s="479">
        <f>IF(E347&lt;&gt;"", (SQRT(D347*E347))/300, "")</f>
      </c>
      <c r="H347" s="481">
        <v>62.11</v>
      </c>
      <c r="I347" s="481">
        <v>14.47</v>
      </c>
      <c r="J347" s="481">
        <v>8.05</v>
      </c>
      <c r="K347" s="481"/>
      <c r="L347" s="482" t="s">
        <v>830</v>
      </c>
      <c r="M347" s="231">
        <v>45505</v>
      </c>
      <c r="N347" s="223" t="s">
        <v>503</v>
      </c>
      <c r="O347" s="615" t="s">
        <v>2128</v>
      </c>
      <c r="P347" s="228" t="s">
        <v>819</v>
      </c>
      <c r="Q347" s="566"/>
      <c r="R347" s="609" t="s">
        <v>2129</v>
      </c>
      <c r="S347" s="485">
        <v>407</v>
      </c>
    </row>
    <row x14ac:dyDescent="0.25" r="348" customHeight="1" ht="17.25">
      <c r="A348" s="228" t="s">
        <v>2130</v>
      </c>
      <c r="B348" s="21" t="s">
        <v>2131</v>
      </c>
      <c r="C348" s="677" t="s">
        <v>2132</v>
      </c>
      <c r="D348" s="23">
        <v>70</v>
      </c>
      <c r="E348" s="478">
        <v>1200</v>
      </c>
      <c r="F348" s="230">
        <f>IF(E348&lt;&gt;"", ROUNDUP(E348/D348,0),"")</f>
        <v>25568.666666666668</v>
      </c>
      <c r="G348" s="479">
        <f>IF(E348&lt;&gt;"", (SQRT(D348*E348))/300, "")</f>
      </c>
      <c r="H348" s="617"/>
      <c r="I348" s="617"/>
      <c r="J348" s="617"/>
      <c r="K348" s="481"/>
      <c r="L348" s="750" t="s">
        <v>1099</v>
      </c>
      <c r="M348" s="231">
        <v>45474</v>
      </c>
      <c r="N348" s="223" t="s">
        <v>503</v>
      </c>
      <c r="O348" s="608" t="s">
        <v>2133</v>
      </c>
      <c r="P348" s="228" t="s">
        <v>819</v>
      </c>
      <c r="Q348" s="484"/>
      <c r="R348" s="21" t="s">
        <v>2134</v>
      </c>
      <c r="S348" s="485">
        <v>406</v>
      </c>
    </row>
    <row x14ac:dyDescent="0.25" r="349" customHeight="1" ht="17.25">
      <c r="A349" s="259" t="s">
        <v>2135</v>
      </c>
      <c r="B349" s="249" t="s">
        <v>2131</v>
      </c>
      <c r="C349" s="586" t="s">
        <v>2136</v>
      </c>
      <c r="D349" s="506">
        <v>70</v>
      </c>
      <c r="E349" s="562">
        <v>1200</v>
      </c>
      <c r="F349" s="513">
        <f>IF(E349&lt;&gt;"", ROUNDUP(E349/D349,0),"")</f>
        <v>25568.666666666668</v>
      </c>
      <c r="G349" s="806">
        <f>IF(E349&lt;&gt;"", (SQRT(D349*E349))/300, "")</f>
      </c>
      <c r="H349" s="508"/>
      <c r="I349" s="508"/>
      <c r="J349" s="508"/>
      <c r="K349" s="480"/>
      <c r="L349" s="807" t="s">
        <v>1099</v>
      </c>
      <c r="M349" s="231">
        <v>45474</v>
      </c>
      <c r="N349" s="270" t="s">
        <v>503</v>
      </c>
      <c r="O349" s="271" t="s">
        <v>2133</v>
      </c>
      <c r="P349" s="259" t="s">
        <v>819</v>
      </c>
      <c r="Q349" s="590"/>
      <c r="R349" s="249" t="s">
        <v>2137</v>
      </c>
      <c r="S349" s="485">
        <v>405</v>
      </c>
    </row>
    <row x14ac:dyDescent="0.25" r="350" customHeight="1" ht="17.25">
      <c r="A350" s="228" t="s">
        <v>2138</v>
      </c>
      <c r="B350" s="21" t="s">
        <v>615</v>
      </c>
      <c r="C350" s="491" t="s">
        <v>2139</v>
      </c>
      <c r="D350" s="620">
        <v>2.7</v>
      </c>
      <c r="E350" s="477">
        <v>3100</v>
      </c>
      <c r="F350" s="230">
        <f>IF(E350&lt;&gt;"", ROUNDUP(E350/D350,0),"")</f>
        <v>25568.666666666668</v>
      </c>
      <c r="G350" s="479">
        <f>IF(E350&lt;&gt;"", (SQRT(D350*E350))/300, "")</f>
      </c>
      <c r="H350" s="621">
        <v>55</v>
      </c>
      <c r="I350" s="617"/>
      <c r="J350" s="617"/>
      <c r="K350" s="481"/>
      <c r="L350" s="482" t="s">
        <v>830</v>
      </c>
      <c r="M350" s="231">
        <v>45474</v>
      </c>
      <c r="N350" s="223" t="s">
        <v>503</v>
      </c>
      <c r="O350" s="615" t="s">
        <v>2140</v>
      </c>
      <c r="P350" s="228" t="s">
        <v>819</v>
      </c>
      <c r="Q350" s="566"/>
      <c r="R350" s="228" t="s">
        <v>2141</v>
      </c>
      <c r="S350" s="485">
        <v>404</v>
      </c>
    </row>
    <row x14ac:dyDescent="0.25" r="351" customHeight="1" ht="17.25">
      <c r="A351" s="228" t="s">
        <v>2142</v>
      </c>
      <c r="B351" s="21" t="s">
        <v>474</v>
      </c>
      <c r="C351" s="491" t="s">
        <v>2143</v>
      </c>
      <c r="D351" s="477">
        <v>4</v>
      </c>
      <c r="E351" s="478">
        <v>94</v>
      </c>
      <c r="F351" s="230">
        <f>IF(E351&lt;&gt;"", ROUNDUP(E351/D351,0),"")</f>
        <v>25568.666666666668</v>
      </c>
      <c r="G351" s="479">
        <f>IF(E351&lt;&gt;"", (SQRT(D351*E351))/300, "")</f>
      </c>
      <c r="H351" s="481">
        <v>63.8</v>
      </c>
      <c r="I351" s="617"/>
      <c r="J351" s="617"/>
      <c r="K351" s="481"/>
      <c r="L351" s="482" t="s">
        <v>830</v>
      </c>
      <c r="M351" s="231">
        <v>45474</v>
      </c>
      <c r="N351" s="223" t="s">
        <v>503</v>
      </c>
      <c r="O351" s="608" t="s">
        <v>2144</v>
      </c>
      <c r="P351" s="228" t="s">
        <v>819</v>
      </c>
      <c r="Q351" s="566"/>
      <c r="R351" s="609" t="s">
        <v>2113</v>
      </c>
      <c r="S351" s="485">
        <v>403</v>
      </c>
    </row>
    <row x14ac:dyDescent="0.25" r="352" customHeight="1" ht="17.25">
      <c r="A352" s="228" t="s">
        <v>2145</v>
      </c>
      <c r="B352" s="462" t="s">
        <v>965</v>
      </c>
      <c r="C352" s="677" t="s">
        <v>2146</v>
      </c>
      <c r="D352" s="477">
        <v>123</v>
      </c>
      <c r="E352" s="478">
        <v>8000</v>
      </c>
      <c r="F352" s="230">
        <f>IF(E352&lt;&gt;"", ROUNDUP(E352/D352,0),"")</f>
        <v>25568.666666666668</v>
      </c>
      <c r="G352" s="479">
        <f>IF(E352&lt;&gt;"", (SQRT(D352*E352))/300, "")</f>
      </c>
      <c r="H352" s="585">
        <v>84</v>
      </c>
      <c r="I352" s="617"/>
      <c r="J352" s="617"/>
      <c r="K352" s="481"/>
      <c r="L352" s="482" t="s">
        <v>830</v>
      </c>
      <c r="M352" s="231">
        <v>45474</v>
      </c>
      <c r="N352" s="223" t="s">
        <v>503</v>
      </c>
      <c r="O352" s="615" t="s">
        <v>2147</v>
      </c>
      <c r="P352" s="228" t="s">
        <v>819</v>
      </c>
      <c r="Q352" s="566"/>
      <c r="R352" s="228" t="s">
        <v>2148</v>
      </c>
      <c r="S352" s="485">
        <v>402</v>
      </c>
    </row>
    <row x14ac:dyDescent="0.25" r="353" customHeight="1" ht="17.25">
      <c r="A353" s="228" t="s">
        <v>2149</v>
      </c>
      <c r="B353" s="462" t="s">
        <v>498</v>
      </c>
      <c r="C353" s="491" t="s">
        <v>2150</v>
      </c>
      <c r="D353" s="477">
        <v>405</v>
      </c>
      <c r="E353" s="477">
        <v>15600</v>
      </c>
      <c r="F353" s="230">
        <f>IF(E353&lt;&gt;"", ROUNDUP(E353/D353,0),"")</f>
        <v>25568.666666666668</v>
      </c>
      <c r="G353" s="479">
        <f>IF(E353&lt;&gt;"", (SQRT(D353*E353))/300, "")</f>
      </c>
      <c r="H353" s="481">
        <v>88.6</v>
      </c>
      <c r="I353" s="481">
        <v>73.3</v>
      </c>
      <c r="J353" s="481">
        <v>51.1</v>
      </c>
      <c r="K353" s="481"/>
      <c r="L353" s="482" t="s">
        <v>830</v>
      </c>
      <c r="M353" s="231">
        <v>45474</v>
      </c>
      <c r="N353" s="223" t="s">
        <v>503</v>
      </c>
      <c r="O353" s="615" t="s">
        <v>2151</v>
      </c>
      <c r="P353" s="228" t="s">
        <v>819</v>
      </c>
      <c r="Q353" s="484" t="s">
        <v>808</v>
      </c>
      <c r="R353" s="25" t="s">
        <v>2152</v>
      </c>
      <c r="S353" s="485">
        <v>401</v>
      </c>
    </row>
    <row x14ac:dyDescent="0.25" r="354" customHeight="1" ht="17.25">
      <c r="A354" s="228" t="s">
        <v>2153</v>
      </c>
      <c r="B354" s="462" t="s">
        <v>490</v>
      </c>
      <c r="C354" s="677" t="s">
        <v>954</v>
      </c>
      <c r="D354" s="477">
        <v>8</v>
      </c>
      <c r="E354" s="478">
        <v>13000</v>
      </c>
      <c r="F354" s="230">
        <f>IF(E354&lt;&gt;"", ROUNDUP(E354/D354,0),"")</f>
        <v>25568.666666666668</v>
      </c>
      <c r="G354" s="479">
        <f>IF(E354&lt;&gt;"", (SQRT(D354*E354))/300, "")</f>
      </c>
      <c r="H354" s="585">
        <v>82</v>
      </c>
      <c r="I354" s="481"/>
      <c r="J354" s="481">
        <v>40.2</v>
      </c>
      <c r="K354" s="481"/>
      <c r="L354" s="482" t="s">
        <v>830</v>
      </c>
      <c r="M354" s="231">
        <v>45474</v>
      </c>
      <c r="N354" s="223" t="s">
        <v>503</v>
      </c>
      <c r="O354" s="608" t="s">
        <v>2154</v>
      </c>
      <c r="P354" s="228" t="s">
        <v>802</v>
      </c>
      <c r="Q354" s="484"/>
      <c r="R354" s="25" t="s">
        <v>2155</v>
      </c>
      <c r="S354" s="485">
        <v>400</v>
      </c>
    </row>
    <row x14ac:dyDescent="0.25" r="355" customHeight="1" ht="17.25">
      <c r="A355" s="259" t="s">
        <v>2156</v>
      </c>
      <c r="B355" s="607" t="s">
        <v>965</v>
      </c>
      <c r="C355" s="505" t="s">
        <v>2157</v>
      </c>
      <c r="D355" s="486">
        <v>12</v>
      </c>
      <c r="E355" s="562">
        <v>2000</v>
      </c>
      <c r="F355" s="263">
        <f>IF(E355&lt;&gt;"", ROUNDUP(E355/D355,0),"")</f>
        <v>25568.666666666668</v>
      </c>
      <c r="G355" s="808">
        <f>IF(E355&lt;&gt;"", (SQRT(D355*E355))/300, "")</f>
      </c>
      <c r="H355" s="656">
        <v>68</v>
      </c>
      <c r="I355" s="508"/>
      <c r="J355" s="508"/>
      <c r="K355" s="481"/>
      <c r="L355" s="482" t="s">
        <v>830</v>
      </c>
      <c r="M355" s="231">
        <v>45474</v>
      </c>
      <c r="N355" s="270" t="s">
        <v>503</v>
      </c>
      <c r="O355" s="271" t="s">
        <v>2158</v>
      </c>
      <c r="P355" s="249" t="s">
        <v>819</v>
      </c>
      <c r="Q355" s="590"/>
      <c r="R355" s="591" t="s">
        <v>2159</v>
      </c>
      <c r="S355" s="485">
        <v>399</v>
      </c>
    </row>
    <row x14ac:dyDescent="0.25" r="356" customHeight="1" ht="17.25">
      <c r="A356" s="259" t="s">
        <v>2160</v>
      </c>
      <c r="B356" s="607" t="s">
        <v>965</v>
      </c>
      <c r="C356" s="586" t="s">
        <v>2161</v>
      </c>
      <c r="D356" s="486">
        <v>7</v>
      </c>
      <c r="E356" s="562">
        <v>2000</v>
      </c>
      <c r="F356" s="263">
        <f>IF(E356&lt;&gt;"", ROUNDUP(E356/D356,0),"")</f>
        <v>25568.666666666668</v>
      </c>
      <c r="G356" s="808">
        <f>IF(E356&lt;&gt;"", (SQRT(D356*E356))/300, "")</f>
      </c>
      <c r="H356" s="508"/>
      <c r="I356" s="508"/>
      <c r="J356" s="508"/>
      <c r="K356" s="481"/>
      <c r="L356" s="482" t="s">
        <v>830</v>
      </c>
      <c r="M356" s="231">
        <v>45474</v>
      </c>
      <c r="N356" s="270" t="s">
        <v>503</v>
      </c>
      <c r="O356" s="271" t="s">
        <v>2162</v>
      </c>
      <c r="P356" s="249" t="s">
        <v>819</v>
      </c>
      <c r="Q356" s="590"/>
      <c r="R356" s="249" t="s">
        <v>2163</v>
      </c>
      <c r="S356" s="485">
        <v>398</v>
      </c>
    </row>
    <row x14ac:dyDescent="0.25" r="357" customHeight="1" ht="17.25">
      <c r="A357" s="259" t="s">
        <v>2164</v>
      </c>
      <c r="B357" s="607" t="s">
        <v>965</v>
      </c>
      <c r="C357" s="586" t="s">
        <v>2165</v>
      </c>
      <c r="D357" s="486">
        <v>7</v>
      </c>
      <c r="E357" s="562">
        <v>2000</v>
      </c>
      <c r="F357" s="263">
        <f>IF(E357&lt;&gt;"", ROUNDUP(E357/D357,0),"")</f>
        <v>25568.666666666668</v>
      </c>
      <c r="G357" s="808">
        <f>IF(E357&lt;&gt;"", (SQRT(D357*E357))/300, "")</f>
      </c>
      <c r="H357" s="480">
        <v>63.47</v>
      </c>
      <c r="I357" s="508"/>
      <c r="J357" s="508"/>
      <c r="K357" s="481"/>
      <c r="L357" s="482" t="s">
        <v>830</v>
      </c>
      <c r="M357" s="231">
        <v>45474</v>
      </c>
      <c r="N357" s="270" t="s">
        <v>503</v>
      </c>
      <c r="O357" s="271" t="s">
        <v>2166</v>
      </c>
      <c r="P357" s="249" t="s">
        <v>819</v>
      </c>
      <c r="Q357" s="590"/>
      <c r="R357" s="249" t="s">
        <v>2167</v>
      </c>
      <c r="S357" s="485">
        <v>397</v>
      </c>
    </row>
    <row x14ac:dyDescent="0.25" r="358" customHeight="1" ht="17.25">
      <c r="A358" s="259" t="s">
        <v>2168</v>
      </c>
      <c r="B358" s="669" t="s">
        <v>834</v>
      </c>
      <c r="C358" s="809"/>
      <c r="D358" s="226">
        <v>1760</v>
      </c>
      <c r="E358" s="478">
        <v>13000</v>
      </c>
      <c r="F358" s="263">
        <f>IF(E358&lt;&gt;"", ROUNDUP(E358/D358,0),"")</f>
        <v>25568.666666666668</v>
      </c>
      <c r="G358" s="737">
        <f>IF(E358&lt;&gt;"", (SQRT(D358*E358))/300, "")</f>
      </c>
      <c r="H358" s="508"/>
      <c r="I358" s="508"/>
      <c r="J358" s="508"/>
      <c r="K358" s="481"/>
      <c r="L358" s="482" t="s">
        <v>830</v>
      </c>
      <c r="M358" s="269">
        <v>45474</v>
      </c>
      <c r="N358" s="695" t="s">
        <v>470</v>
      </c>
      <c r="O358" s="271" t="s">
        <v>2169</v>
      </c>
      <c r="P358" s="259" t="s">
        <v>819</v>
      </c>
      <c r="Q358" s="272"/>
      <c r="R358" s="259" t="s">
        <v>2170</v>
      </c>
      <c r="S358" s="485">
        <v>396</v>
      </c>
    </row>
    <row x14ac:dyDescent="0.25" r="359" customHeight="1" ht="17.25">
      <c r="A359" s="259" t="s">
        <v>2171</v>
      </c>
      <c r="B359" s="249" t="s">
        <v>944</v>
      </c>
      <c r="C359" s="505" t="s">
        <v>2172</v>
      </c>
      <c r="D359" s="512">
        <v>3.9</v>
      </c>
      <c r="E359" s="486">
        <v>300</v>
      </c>
      <c r="F359" s="263">
        <f>IF(E359&lt;&gt;"", ROUNDUP(E359/D359,0),"")</f>
        <v>25568.666666666668</v>
      </c>
      <c r="G359" s="487">
        <f>IF(E359&lt;&gt;"", (SQRT(D359*E359))/300, "")</f>
      </c>
      <c r="H359" s="810">
        <v>32.8</v>
      </c>
      <c r="I359" s="516"/>
      <c r="J359" s="516"/>
      <c r="K359" s="516"/>
      <c r="L359" s="268" t="s">
        <v>836</v>
      </c>
      <c r="M359" s="231">
        <v>45474</v>
      </c>
      <c r="N359" s="490" t="s">
        <v>503</v>
      </c>
      <c r="O359" s="271" t="s">
        <v>2173</v>
      </c>
      <c r="P359" s="259" t="s">
        <v>819</v>
      </c>
      <c r="Q359" s="517"/>
      <c r="R359" s="249" t="s">
        <v>2174</v>
      </c>
      <c r="S359" s="485">
        <v>395</v>
      </c>
    </row>
    <row x14ac:dyDescent="0.25" r="360" customHeight="1" ht="17.25">
      <c r="A360" s="492" t="s">
        <v>2175</v>
      </c>
      <c r="B360" s="21" t="s">
        <v>2176</v>
      </c>
      <c r="C360" s="535" t="s">
        <v>2177</v>
      </c>
      <c r="D360" s="573">
        <v>7</v>
      </c>
      <c r="E360" s="573">
        <v>1000</v>
      </c>
      <c r="F360" s="536">
        <f>IF(E360&lt;&gt;"", ROUNDUP(E360/D360,0),"")</f>
        <v>25568.666666666668</v>
      </c>
      <c r="G360" s="789">
        <f>IF(E360&lt;&gt;"", (SQRT(D360*E360))/300, "")</f>
      </c>
      <c r="H360" s="480"/>
      <c r="I360" s="739"/>
      <c r="J360" s="739"/>
      <c r="K360" s="509"/>
      <c r="L360" s="642" t="s">
        <v>1099</v>
      </c>
      <c r="M360" s="231">
        <v>45474</v>
      </c>
      <c r="N360" s="490" t="s">
        <v>503</v>
      </c>
      <c r="O360" s="501" t="s">
        <v>2178</v>
      </c>
      <c r="P360" s="492" t="s">
        <v>819</v>
      </c>
      <c r="Q360" s="502"/>
      <c r="R360" s="492" t="s">
        <v>2179</v>
      </c>
      <c r="S360" s="485">
        <v>394</v>
      </c>
    </row>
    <row x14ac:dyDescent="0.25" r="361" customHeight="1" ht="17.25">
      <c r="A361" s="492" t="s">
        <v>666</v>
      </c>
      <c r="B361" s="21" t="s">
        <v>1953</v>
      </c>
      <c r="C361" s="535" t="s">
        <v>2180</v>
      </c>
      <c r="D361" s="572">
        <v>1.7</v>
      </c>
      <c r="E361" s="496">
        <v>1000</v>
      </c>
      <c r="F361" s="536">
        <f>IF(E361&lt;&gt;"", ROUNDUP(E361/D361,0),"")</f>
        <v>25568.666666666668</v>
      </c>
      <c r="G361" s="789">
        <f>IF(E361&lt;&gt;"", (SQRT(D361*E361))/300, "")</f>
      </c>
      <c r="H361" s="480">
        <v>39.97</v>
      </c>
      <c r="I361" s="739"/>
      <c r="J361" s="739"/>
      <c r="K361" s="481"/>
      <c r="L361" s="482" t="s">
        <v>830</v>
      </c>
      <c r="M361" s="231">
        <v>45474</v>
      </c>
      <c r="N361" s="490" t="s">
        <v>503</v>
      </c>
      <c r="O361" s="501" t="s">
        <v>667</v>
      </c>
      <c r="P361" s="492" t="s">
        <v>819</v>
      </c>
      <c r="Q361" s="502"/>
      <c r="R361" s="492" t="s">
        <v>2181</v>
      </c>
      <c r="S361" s="485">
        <v>393</v>
      </c>
    </row>
    <row x14ac:dyDescent="0.25" r="362" customHeight="1" ht="17.25">
      <c r="A362" s="492" t="s">
        <v>2182</v>
      </c>
      <c r="B362" s="669" t="s">
        <v>2183</v>
      </c>
      <c r="C362" s="535" t="s">
        <v>2184</v>
      </c>
      <c r="D362" s="496">
        <v>9</v>
      </c>
      <c r="E362" s="573">
        <v>1000</v>
      </c>
      <c r="F362" s="536">
        <f>IF(E362&lt;&gt;"", ROUNDUP(E362/D362,0),"")</f>
        <v>25568.666666666668</v>
      </c>
      <c r="G362" s="789">
        <f>IF(E362&lt;&gt;"", (SQRT(D362*E362))/300, "")</f>
      </c>
      <c r="H362" s="480"/>
      <c r="I362" s="739"/>
      <c r="J362" s="739"/>
      <c r="K362" s="481"/>
      <c r="L362" s="482" t="s">
        <v>830</v>
      </c>
      <c r="M362" s="231">
        <v>45474</v>
      </c>
      <c r="N362" s="490" t="s">
        <v>503</v>
      </c>
      <c r="O362" s="501" t="s">
        <v>2185</v>
      </c>
      <c r="P362" s="492" t="s">
        <v>819</v>
      </c>
      <c r="Q362" s="502"/>
      <c r="R362" s="492" t="s">
        <v>2186</v>
      </c>
      <c r="S362" s="485">
        <v>392</v>
      </c>
    </row>
    <row x14ac:dyDescent="0.25" r="363" customHeight="1" ht="17.25">
      <c r="A363" s="492" t="s">
        <v>2187</v>
      </c>
      <c r="B363" s="577" t="s">
        <v>828</v>
      </c>
      <c r="C363" s="811"/>
      <c r="D363" s="496">
        <v>24</v>
      </c>
      <c r="E363" s="573">
        <v>1000</v>
      </c>
      <c r="F363" s="263">
        <f>IF(E363&lt;&gt;"", ROUNDUP(E363/D363,0),"")</f>
        <v>25568.666666666668</v>
      </c>
      <c r="G363" s="812">
        <f>IF(E363&lt;&gt;"", (SQRT(D363*E363))/300, "")</f>
      </c>
      <c r="H363" s="813"/>
      <c r="I363" s="739"/>
      <c r="J363" s="739"/>
      <c r="K363" s="481"/>
      <c r="L363" s="750" t="s">
        <v>2188</v>
      </c>
      <c r="M363" s="231">
        <v>45474</v>
      </c>
      <c r="N363" s="754" t="s">
        <v>470</v>
      </c>
      <c r="O363" s="495" t="s">
        <v>2189</v>
      </c>
      <c r="P363" s="492" t="s">
        <v>819</v>
      </c>
      <c r="Q363" s="583"/>
      <c r="R363" s="503" t="s">
        <v>2190</v>
      </c>
      <c r="S363" s="485">
        <v>391</v>
      </c>
    </row>
    <row x14ac:dyDescent="0.25" r="364" customHeight="1" ht="17.25">
      <c r="A364" s="259" t="s">
        <v>2191</v>
      </c>
      <c r="B364" s="660" t="s">
        <v>1262</v>
      </c>
      <c r="C364" s="505" t="s">
        <v>2192</v>
      </c>
      <c r="D364" s="486">
        <v>1000</v>
      </c>
      <c r="E364" s="562">
        <v>13000</v>
      </c>
      <c r="F364" s="536">
        <f>IF(E364&lt;&gt;"", ROUNDUP(E364/D364,0),"")</f>
        <v>25568.666666666668</v>
      </c>
      <c r="G364" s="587">
        <f>IF(E364&lt;&gt;"", (SQRT(D364*E364))/300, "")</f>
      </c>
      <c r="H364" s="588">
        <v>82.9</v>
      </c>
      <c r="I364" s="656">
        <v>63</v>
      </c>
      <c r="J364" s="508"/>
      <c r="K364" s="481"/>
      <c r="L364" s="482" t="s">
        <v>830</v>
      </c>
      <c r="M364" s="231">
        <v>45474</v>
      </c>
      <c r="N364" s="270" t="s">
        <v>503</v>
      </c>
      <c r="O364" s="271" t="s">
        <v>2193</v>
      </c>
      <c r="P364" s="259" t="s">
        <v>802</v>
      </c>
      <c r="Q364" s="272"/>
      <c r="R364" s="560" t="s">
        <v>2194</v>
      </c>
      <c r="S364" s="485">
        <v>390</v>
      </c>
    </row>
    <row x14ac:dyDescent="0.25" r="365" customHeight="1" ht="17.25">
      <c r="A365" s="492" t="s">
        <v>2195</v>
      </c>
      <c r="B365" s="669" t="s">
        <v>2196</v>
      </c>
      <c r="C365" s="535" t="s">
        <v>2197</v>
      </c>
      <c r="D365" s="496">
        <v>4</v>
      </c>
      <c r="E365" s="496">
        <v>6000</v>
      </c>
      <c r="F365" s="536">
        <f>IF(E365&lt;&gt;"", ROUNDUP(E365/D365,0),"")</f>
        <v>25568.666666666668</v>
      </c>
      <c r="G365" s="789">
        <f>IF(E365&lt;&gt;"", (SQRT(D365*E365))/300, "")</f>
      </c>
      <c r="H365" s="480">
        <v>55.18</v>
      </c>
      <c r="I365" s="739"/>
      <c r="J365" s="739"/>
      <c r="K365" s="509"/>
      <c r="L365" s="510" t="s">
        <v>836</v>
      </c>
      <c r="M365" s="231">
        <v>45474</v>
      </c>
      <c r="N365" s="490" t="s">
        <v>503</v>
      </c>
      <c r="O365" s="501" t="s">
        <v>2198</v>
      </c>
      <c r="P365" s="492" t="s">
        <v>819</v>
      </c>
      <c r="Q365" s="502"/>
      <c r="R365" s="613" t="s">
        <v>2199</v>
      </c>
      <c r="S365" s="485">
        <v>389</v>
      </c>
    </row>
    <row x14ac:dyDescent="0.25" r="366" customHeight="1" ht="17.25">
      <c r="A366" s="492" t="s">
        <v>2200</v>
      </c>
      <c r="B366" s="669" t="s">
        <v>834</v>
      </c>
      <c r="C366" s="518"/>
      <c r="D366" s="572">
        <v>0.067</v>
      </c>
      <c r="E366" s="572">
        <v>1.2</v>
      </c>
      <c r="F366" s="536">
        <f>IF(E366&lt;&gt;"", ROUNDUP(E366/D366,0),"")</f>
        <v>25568.666666666668</v>
      </c>
      <c r="G366" s="789">
        <f>IF(E366&lt;&gt;"", (SQRT(D366*E366))/300, "")</f>
      </c>
      <c r="H366" s="739"/>
      <c r="I366" s="739"/>
      <c r="J366" s="739"/>
      <c r="K366" s="509"/>
      <c r="L366" s="510" t="s">
        <v>836</v>
      </c>
      <c r="M366" s="231">
        <v>45474</v>
      </c>
      <c r="N366" s="754" t="s">
        <v>470</v>
      </c>
      <c r="O366" s="501" t="s">
        <v>2201</v>
      </c>
      <c r="P366" s="492" t="s">
        <v>819</v>
      </c>
      <c r="Q366" s="502"/>
      <c r="R366" s="492" t="s">
        <v>2202</v>
      </c>
      <c r="S366" s="485">
        <v>388</v>
      </c>
    </row>
    <row x14ac:dyDescent="0.25" r="367" customHeight="1" ht="17.25">
      <c r="A367" s="492" t="s">
        <v>2203</v>
      </c>
      <c r="B367" s="504" t="s">
        <v>2204</v>
      </c>
      <c r="C367" s="491" t="s">
        <v>2205</v>
      </c>
      <c r="D367" s="573">
        <v>600</v>
      </c>
      <c r="E367" s="573">
        <v>10000</v>
      </c>
      <c r="F367" s="263">
        <f>IF(E367&lt;&gt;"", ROUNDUP(E367/D367,0),"")</f>
        <v>25568.666666666668</v>
      </c>
      <c r="G367" s="814">
        <f>IF(E367&lt;&gt;"", (SQRT(D367*E367))/300, "")</f>
      </c>
      <c r="H367" s="815"/>
      <c r="I367" s="739"/>
      <c r="J367" s="612"/>
      <c r="K367" s="509"/>
      <c r="L367" s="510" t="s">
        <v>836</v>
      </c>
      <c r="M367" s="231">
        <v>45474</v>
      </c>
      <c r="N367" s="490" t="s">
        <v>503</v>
      </c>
      <c r="O367" s="495" t="s">
        <v>2206</v>
      </c>
      <c r="P367" s="492" t="s">
        <v>802</v>
      </c>
      <c r="Q367" s="502"/>
      <c r="R367" s="492" t="s">
        <v>2207</v>
      </c>
      <c r="S367" s="485">
        <v>387</v>
      </c>
    </row>
    <row x14ac:dyDescent="0.25" r="368" customHeight="1" ht="17.25">
      <c r="A368" s="228" t="s">
        <v>2208</v>
      </c>
      <c r="B368" s="21" t="s">
        <v>1741</v>
      </c>
      <c r="C368" s="491" t="s">
        <v>2209</v>
      </c>
      <c r="D368" s="23">
        <v>7</v>
      </c>
      <c r="E368" s="226">
        <v>1000</v>
      </c>
      <c r="F368" s="230">
        <f>IF(E368&lt;&gt;"", ROUNDUP(E368/D368,0),"")</f>
        <v>25568.666666666668</v>
      </c>
      <c r="G368" s="479">
        <f>IF(E368&lt;&gt;"", (SQRT(D368*E368))/300, "")</f>
      </c>
      <c r="H368" s="480"/>
      <c r="I368" s="480"/>
      <c r="J368" s="480"/>
      <c r="K368" s="509"/>
      <c r="L368" s="510" t="s">
        <v>836</v>
      </c>
      <c r="M368" s="231">
        <v>45474</v>
      </c>
      <c r="N368" s="490" t="s">
        <v>503</v>
      </c>
      <c r="O368" s="615" t="s">
        <v>2210</v>
      </c>
      <c r="P368" s="259" t="s">
        <v>819</v>
      </c>
      <c r="Q368" s="566"/>
      <c r="R368" s="228" t="s">
        <v>2211</v>
      </c>
      <c r="S368" s="485">
        <v>386</v>
      </c>
    </row>
    <row x14ac:dyDescent="0.25" r="369" customHeight="1" ht="17.25">
      <c r="A369" s="228" t="s">
        <v>2212</v>
      </c>
      <c r="B369" s="462" t="s">
        <v>1258</v>
      </c>
      <c r="C369" s="491" t="s">
        <v>2213</v>
      </c>
      <c r="D369" s="23">
        <v>20</v>
      </c>
      <c r="E369" s="226">
        <v>2600</v>
      </c>
      <c r="F369" s="230">
        <f>IF(E369&lt;&gt;"", ROUNDUP(E369/D369,0),"")</f>
        <v>25568.666666666668</v>
      </c>
      <c r="G369" s="479">
        <f>IF(E369&lt;&gt;"", (SQRT(D369*E369))/300, "")</f>
      </c>
      <c r="H369" s="480">
        <v>73.5</v>
      </c>
      <c r="I369" s="480"/>
      <c r="J369" s="480">
        <v>38.4</v>
      </c>
      <c r="K369" s="481"/>
      <c r="L369" s="482" t="s">
        <v>830</v>
      </c>
      <c r="M369" s="231">
        <v>45474</v>
      </c>
      <c r="N369" s="689" t="s">
        <v>503</v>
      </c>
      <c r="O369" s="615" t="s">
        <v>2214</v>
      </c>
      <c r="P369" s="259" t="s">
        <v>819</v>
      </c>
      <c r="Q369" s="566"/>
      <c r="R369" s="228" t="s">
        <v>2215</v>
      </c>
      <c r="S369" s="485">
        <v>385</v>
      </c>
    </row>
    <row x14ac:dyDescent="0.25" r="370" customHeight="1" ht="17.25">
      <c r="A370" s="492" t="s">
        <v>2216</v>
      </c>
      <c r="B370" s="504" t="s">
        <v>2010</v>
      </c>
      <c r="C370" s="518" t="s">
        <v>2217</v>
      </c>
      <c r="D370" s="496">
        <v>1000</v>
      </c>
      <c r="E370" s="496">
        <v>15700</v>
      </c>
      <c r="F370" s="263">
        <f>IF(E370&lt;&gt;"", ROUNDUP(E370/D370,0),"")</f>
        <v>25568.666666666668</v>
      </c>
      <c r="G370" s="816">
        <f>IF(E370&lt;&gt;"", (SQRT(D370*E370))/300, "")</f>
      </c>
      <c r="H370" s="817"/>
      <c r="I370" s="739"/>
      <c r="J370" s="739"/>
      <c r="K370" s="481"/>
      <c r="L370" s="482" t="s">
        <v>830</v>
      </c>
      <c r="M370" s="231">
        <v>45474</v>
      </c>
      <c r="N370" s="490" t="s">
        <v>503</v>
      </c>
      <c r="O370" s="495" t="s">
        <v>2218</v>
      </c>
      <c r="P370" s="492" t="s">
        <v>819</v>
      </c>
      <c r="Q370" s="502"/>
      <c r="R370" s="492" t="s">
        <v>2219</v>
      </c>
      <c r="S370" s="485">
        <v>384</v>
      </c>
    </row>
    <row x14ac:dyDescent="0.25" r="371" customHeight="1" ht="17.25">
      <c r="A371" s="592" t="s">
        <v>2220</v>
      </c>
      <c r="B371" s="561" t="s">
        <v>1773</v>
      </c>
      <c r="C371" s="685" t="s">
        <v>2221</v>
      </c>
      <c r="D371" s="631">
        <v>12</v>
      </c>
      <c r="E371" s="631">
        <v>1700</v>
      </c>
      <c r="F371" s="263">
        <f>IF(E371&lt;&gt;"", ROUNDUP(E371/D371,0),"")</f>
        <v>25568.666666666668</v>
      </c>
      <c r="G371" s="818">
        <f>IF(E371&lt;&gt;"", (SQRT(D371*E371))/300, "")</f>
      </c>
      <c r="H371" s="480">
        <v>55.7</v>
      </c>
      <c r="I371" s="635"/>
      <c r="J371" s="635"/>
      <c r="K371" s="481"/>
      <c r="L371" s="482" t="s">
        <v>830</v>
      </c>
      <c r="M371" s="231">
        <v>45474</v>
      </c>
      <c r="N371" s="490" t="s">
        <v>503</v>
      </c>
      <c r="O371" s="589" t="s">
        <v>2222</v>
      </c>
      <c r="P371" s="592" t="s">
        <v>819</v>
      </c>
      <c r="Q371" s="636"/>
      <c r="R371" s="592" t="s">
        <v>2223</v>
      </c>
      <c r="S371" s="485">
        <v>383</v>
      </c>
    </row>
    <row x14ac:dyDescent="0.25" r="372" customHeight="1" ht="17.25">
      <c r="A372" s="592" t="s">
        <v>2224</v>
      </c>
      <c r="B372" s="504" t="s">
        <v>1039</v>
      </c>
      <c r="C372" s="685" t="s">
        <v>1585</v>
      </c>
      <c r="D372" s="691">
        <v>200</v>
      </c>
      <c r="E372" s="691">
        <v>20000</v>
      </c>
      <c r="F372" s="263">
        <f>IF(E372&lt;&gt;"", ROUNDUP(E372/D372,0),"")</f>
        <v>25568.666666666668</v>
      </c>
      <c r="G372" s="818">
        <f>IF(E372&lt;&gt;"", (SQRT(D372*E372))/300, "")</f>
      </c>
      <c r="H372" s="635"/>
      <c r="I372" s="635"/>
      <c r="J372" s="635"/>
      <c r="K372" s="481"/>
      <c r="L372" s="482" t="s">
        <v>830</v>
      </c>
      <c r="M372" s="718">
        <v>45444</v>
      </c>
      <c r="N372" s="689" t="s">
        <v>503</v>
      </c>
      <c r="O372" s="589" t="s">
        <v>2225</v>
      </c>
      <c r="P372" s="592" t="s">
        <v>819</v>
      </c>
      <c r="Q372" s="636"/>
      <c r="R372" s="592" t="s">
        <v>2226</v>
      </c>
      <c r="S372" s="485">
        <v>382</v>
      </c>
    </row>
    <row x14ac:dyDescent="0.25" r="373" customHeight="1" ht="17.25">
      <c r="A373" s="228" t="s">
        <v>2227</v>
      </c>
      <c r="B373" s="462" t="s">
        <v>828</v>
      </c>
      <c r="C373" s="476" t="s">
        <v>2228</v>
      </c>
      <c r="D373" s="477">
        <v>27</v>
      </c>
      <c r="E373" s="477">
        <v>13000</v>
      </c>
      <c r="F373" s="230">
        <f>IF(E373&lt;&gt;"", ROUNDUP(E373/D373,0),"")</f>
        <v>25568.666666666668</v>
      </c>
      <c r="G373" s="479">
        <f>IF(E373&lt;&gt;"", (SQRT(D373*E373))/300, "")</f>
      </c>
      <c r="H373" s="481">
        <v>75.2</v>
      </c>
      <c r="I373" s="488"/>
      <c r="J373" s="488"/>
      <c r="K373" s="481"/>
      <c r="L373" s="482" t="s">
        <v>830</v>
      </c>
      <c r="M373" s="718">
        <v>45444</v>
      </c>
      <c r="N373" s="689" t="s">
        <v>503</v>
      </c>
      <c r="O373" s="641" t="s">
        <v>2229</v>
      </c>
      <c r="P373" s="492" t="s">
        <v>819</v>
      </c>
      <c r="Q373" s="484"/>
      <c r="R373" s="25" t="s">
        <v>2230</v>
      </c>
      <c r="S373" s="485">
        <v>381</v>
      </c>
    </row>
    <row x14ac:dyDescent="0.25" r="374" customHeight="1" ht="17.25">
      <c r="A374" s="228" t="s">
        <v>2231</v>
      </c>
      <c r="B374" s="462" t="s">
        <v>490</v>
      </c>
      <c r="C374" s="33"/>
      <c r="D374" s="478">
        <v>3</v>
      </c>
      <c r="E374" s="478">
        <v>1000</v>
      </c>
      <c r="F374" s="230">
        <f>IF(E374&lt;&gt;"", ROUNDUP(E374/D374,0),"")</f>
        <v>25568.666666666668</v>
      </c>
      <c r="G374" s="487">
        <f>IF(E374&lt;&gt;"", (SQRT(D374*E374))/300, "")</f>
      </c>
      <c r="H374" s="480"/>
      <c r="I374" s="480"/>
      <c r="J374" s="480"/>
      <c r="K374" s="481"/>
      <c r="L374" s="750" t="s">
        <v>1099</v>
      </c>
      <c r="M374" s="718">
        <v>45444</v>
      </c>
      <c r="N374" s="754" t="s">
        <v>470</v>
      </c>
      <c r="O374" s="615" t="s">
        <v>2232</v>
      </c>
      <c r="P374" s="259" t="s">
        <v>819</v>
      </c>
      <c r="Q374" s="566"/>
      <c r="R374" s="609" t="s">
        <v>2233</v>
      </c>
      <c r="S374" s="485">
        <v>380</v>
      </c>
    </row>
    <row x14ac:dyDescent="0.25" r="375" customHeight="1" ht="17.25">
      <c r="A375" s="492" t="s">
        <v>2234</v>
      </c>
      <c r="B375" s="21" t="s">
        <v>1326</v>
      </c>
      <c r="C375" s="535" t="s">
        <v>2235</v>
      </c>
      <c r="D375" s="496">
        <v>3</v>
      </c>
      <c r="E375" s="691">
        <v>1000</v>
      </c>
      <c r="F375" s="819">
        <f>IF(E375&lt;&gt;"", ROUNDUP(E375/D375,0),"")</f>
        <v>25568.666666666668</v>
      </c>
      <c r="G375" s="487">
        <f>IF(E375&lt;&gt;"", (SQRT(D375*E375))/300, "")</f>
      </c>
      <c r="H375" s="739"/>
      <c r="I375" s="739"/>
      <c r="J375" s="617"/>
      <c r="K375" s="509"/>
      <c r="L375" s="642" t="s">
        <v>1099</v>
      </c>
      <c r="M375" s="718">
        <v>45444</v>
      </c>
      <c r="N375" s="689" t="s">
        <v>503</v>
      </c>
      <c r="O375" s="501" t="s">
        <v>2236</v>
      </c>
      <c r="P375" s="492" t="s">
        <v>819</v>
      </c>
      <c r="Q375" s="583"/>
      <c r="R375" s="584" t="s">
        <v>2237</v>
      </c>
      <c r="S375" s="485">
        <v>379</v>
      </c>
    </row>
    <row x14ac:dyDescent="0.25" r="376" customHeight="1" ht="17.25">
      <c r="A376" s="492" t="s">
        <v>2238</v>
      </c>
      <c r="B376" s="21" t="s">
        <v>2239</v>
      </c>
      <c r="C376" s="535" t="s">
        <v>2240</v>
      </c>
      <c r="D376" s="496">
        <v>98</v>
      </c>
      <c r="E376" s="631">
        <v>771</v>
      </c>
      <c r="F376" s="819">
        <f>IF(E376&lt;&gt;"", ROUNDUP(E376/D376,0),"")</f>
        <v>25568.666666666668</v>
      </c>
      <c r="G376" s="487">
        <f>IF(E376&lt;&gt;"", (SQRT(D376*E376))/300, "")</f>
      </c>
      <c r="H376" s="739"/>
      <c r="I376" s="739"/>
      <c r="J376" s="617"/>
      <c r="K376" s="509"/>
      <c r="L376" s="642" t="s">
        <v>1099</v>
      </c>
      <c r="M376" s="718">
        <v>45444</v>
      </c>
      <c r="N376" s="223" t="s">
        <v>484</v>
      </c>
      <c r="O376" s="501" t="s">
        <v>2241</v>
      </c>
      <c r="P376" s="492" t="s">
        <v>819</v>
      </c>
      <c r="Q376" s="583"/>
      <c r="R376" s="503" t="s">
        <v>2242</v>
      </c>
      <c r="S376" s="485">
        <v>378</v>
      </c>
    </row>
    <row x14ac:dyDescent="0.25" r="377" customHeight="1" ht="17.25">
      <c r="A377" s="492" t="s">
        <v>2243</v>
      </c>
      <c r="B377" s="504" t="s">
        <v>1423</v>
      </c>
      <c r="C377" s="535" t="s">
        <v>2244</v>
      </c>
      <c r="D377" s="496">
        <v>1000</v>
      </c>
      <c r="E377" s="691">
        <v>20000</v>
      </c>
      <c r="F377" s="819">
        <f>IF(E377&lt;&gt;"", ROUNDUP(E377/D377,0),"")</f>
        <v>25568.666666666668</v>
      </c>
      <c r="G377" s="487">
        <f>IF(E377&lt;&gt;"", (SQRT(D377*E377))/300, "")</f>
      </c>
      <c r="H377" s="739"/>
      <c r="I377" s="739"/>
      <c r="J377" s="739"/>
      <c r="K377" s="481"/>
      <c r="L377" s="482" t="s">
        <v>830</v>
      </c>
      <c r="M377" s="718">
        <v>45444</v>
      </c>
      <c r="N377" s="223" t="s">
        <v>484</v>
      </c>
      <c r="O377" s="501" t="s">
        <v>2245</v>
      </c>
      <c r="P377" s="492" t="s">
        <v>802</v>
      </c>
      <c r="Q377" s="583"/>
      <c r="R377" s="584" t="s">
        <v>2246</v>
      </c>
      <c r="S377" s="485">
        <v>377</v>
      </c>
    </row>
    <row x14ac:dyDescent="0.25" r="378" customHeight="1" ht="17.25">
      <c r="A378" s="228" t="s">
        <v>524</v>
      </c>
      <c r="B378" s="21" t="s">
        <v>523</v>
      </c>
      <c r="C378" s="491" t="s">
        <v>2247</v>
      </c>
      <c r="D378" s="478">
        <v>70</v>
      </c>
      <c r="E378" s="478">
        <v>15000</v>
      </c>
      <c r="F378" s="230">
        <f>IF(E378&lt;&gt;"", ROUNDUP(E378/D378,0),"")</f>
        <v>25568.666666666668</v>
      </c>
      <c r="G378" s="479">
        <f>IF(E378&lt;&gt;"", (SQRT(D378*E378))/300, "")</f>
      </c>
      <c r="H378" s="481">
        <v>88.7</v>
      </c>
      <c r="I378" s="481">
        <v>76.1</v>
      </c>
      <c r="J378" s="481">
        <v>67.2</v>
      </c>
      <c r="K378" s="481">
        <v>4.8</v>
      </c>
      <c r="L378" s="482" t="s">
        <v>830</v>
      </c>
      <c r="M378" s="231">
        <v>45444</v>
      </c>
      <c r="N378" s="223" t="s">
        <v>470</v>
      </c>
      <c r="O378" s="615" t="s">
        <v>525</v>
      </c>
      <c r="P378" s="228" t="s">
        <v>819</v>
      </c>
      <c r="Q378" s="566" t="s">
        <v>808</v>
      </c>
      <c r="R378" s="609" t="s">
        <v>2248</v>
      </c>
      <c r="S378" s="485">
        <v>376</v>
      </c>
    </row>
    <row x14ac:dyDescent="0.25" r="379" customHeight="1" ht="17.25">
      <c r="A379" s="228" t="s">
        <v>2249</v>
      </c>
      <c r="B379" s="21" t="s">
        <v>479</v>
      </c>
      <c r="C379" s="491" t="s">
        <v>2250</v>
      </c>
      <c r="D379" s="477">
        <v>236</v>
      </c>
      <c r="E379" s="477">
        <v>10200</v>
      </c>
      <c r="F379" s="230">
        <f>IF(E379&lt;&gt;"", ROUNDUP(E379/D379,0),"")</f>
        <v>25568.666666666668</v>
      </c>
      <c r="G379" s="479">
        <f>IF(E379&lt;&gt;"", (SQRT(D379*E379))/300, "")</f>
      </c>
      <c r="H379" s="481">
        <v>79.2</v>
      </c>
      <c r="I379" s="616">
        <v>63.63</v>
      </c>
      <c r="J379" s="481"/>
      <c r="K379" s="481"/>
      <c r="L379" s="482" t="s">
        <v>830</v>
      </c>
      <c r="M379" s="231">
        <v>45444</v>
      </c>
      <c r="N379" s="223" t="s">
        <v>503</v>
      </c>
      <c r="O379" s="615" t="s">
        <v>2063</v>
      </c>
      <c r="P379" s="228" t="s">
        <v>802</v>
      </c>
      <c r="Q379" s="566"/>
      <c r="R379" s="228" t="s">
        <v>2251</v>
      </c>
      <c r="S379" s="485">
        <v>375</v>
      </c>
    </row>
    <row x14ac:dyDescent="0.25" r="380" customHeight="1" ht="17.25">
      <c r="A380" s="228" t="s">
        <v>2252</v>
      </c>
      <c r="B380" s="21" t="s">
        <v>483</v>
      </c>
      <c r="C380" s="491" t="s">
        <v>2253</v>
      </c>
      <c r="D380" s="477">
        <v>7</v>
      </c>
      <c r="E380" s="477">
        <v>2600</v>
      </c>
      <c r="F380" s="230">
        <f>IF(E380&lt;&gt;"", ROUNDUP(E380/D380,0),"")</f>
        <v>25568.666666666668</v>
      </c>
      <c r="G380" s="479">
        <f>IF(E380&lt;&gt;"", (SQRT(D380*E380))/300, "")</f>
      </c>
      <c r="H380" s="481">
        <v>63.7</v>
      </c>
      <c r="I380" s="481"/>
      <c r="J380" s="481"/>
      <c r="K380" s="481"/>
      <c r="L380" s="482" t="s">
        <v>830</v>
      </c>
      <c r="M380" s="231">
        <v>45444</v>
      </c>
      <c r="N380" s="223" t="s">
        <v>484</v>
      </c>
      <c r="O380" s="615" t="s">
        <v>486</v>
      </c>
      <c r="P380" s="228" t="s">
        <v>819</v>
      </c>
      <c r="Q380" s="566"/>
      <c r="R380" s="609" t="s">
        <v>2254</v>
      </c>
      <c r="S380" s="485">
        <v>374</v>
      </c>
    </row>
    <row x14ac:dyDescent="0.25" r="381" customHeight="1" ht="17.25">
      <c r="A381" s="228" t="s">
        <v>2255</v>
      </c>
      <c r="B381" s="21" t="s">
        <v>474</v>
      </c>
      <c r="C381" s="491" t="s">
        <v>2256</v>
      </c>
      <c r="D381" s="477">
        <v>340</v>
      </c>
      <c r="E381" s="477">
        <v>9000</v>
      </c>
      <c r="F381" s="230">
        <f>IF(E381&lt;&gt;"", ROUNDUP(E381/D381,0),"")</f>
        <v>25568.666666666668</v>
      </c>
      <c r="G381" s="479">
        <f>IF(E381&lt;&gt;"", (SQRT(D381*E381))/300, "")</f>
      </c>
      <c r="H381" s="481">
        <v>81.1</v>
      </c>
      <c r="I381" s="481"/>
      <c r="J381" s="481"/>
      <c r="K381" s="481"/>
      <c r="L381" s="482" t="s">
        <v>830</v>
      </c>
      <c r="M381" s="231">
        <v>45444</v>
      </c>
      <c r="N381" s="223" t="s">
        <v>503</v>
      </c>
      <c r="O381" s="615" t="s">
        <v>2257</v>
      </c>
      <c r="P381" s="228" t="s">
        <v>819</v>
      </c>
      <c r="Q381" s="566" t="s">
        <v>808</v>
      </c>
      <c r="R381" s="609" t="s">
        <v>2258</v>
      </c>
      <c r="S381" s="485">
        <v>373</v>
      </c>
    </row>
    <row x14ac:dyDescent="0.25" r="382" customHeight="1" ht="17.25">
      <c r="A382" s="259" t="s">
        <v>2259</v>
      </c>
      <c r="B382" s="21" t="s">
        <v>1326</v>
      </c>
      <c r="C382" s="505" t="s">
        <v>2260</v>
      </c>
      <c r="D382" s="512">
        <v>3.04</v>
      </c>
      <c r="E382" s="486">
        <v>1500</v>
      </c>
      <c r="F382" s="263">
        <f>IF(E382&lt;&gt;"", ROUNDUP(E382/D382,0),"")</f>
        <v>25568.666666666668</v>
      </c>
      <c r="G382" s="652">
        <f>IF(E382&lt;&gt;"", (SQRT(D382*E382))/300, "")</f>
      </c>
      <c r="H382" s="509">
        <v>26.76</v>
      </c>
      <c r="I382" s="481"/>
      <c r="J382" s="480"/>
      <c r="K382" s="481"/>
      <c r="L382" s="482" t="s">
        <v>830</v>
      </c>
      <c r="M382" s="269">
        <v>45444</v>
      </c>
      <c r="N382" s="270" t="s">
        <v>503</v>
      </c>
      <c r="O382" s="271" t="s">
        <v>2261</v>
      </c>
      <c r="P382" s="492" t="s">
        <v>819</v>
      </c>
      <c r="Q382" s="484"/>
      <c r="R382" s="25" t="s">
        <v>2262</v>
      </c>
      <c r="S382" s="485">
        <v>372</v>
      </c>
    </row>
    <row x14ac:dyDescent="0.25" r="383" customHeight="1" ht="17.25">
      <c r="A383" s="259" t="s">
        <v>2263</v>
      </c>
      <c r="B383" s="21" t="s">
        <v>2264</v>
      </c>
      <c r="C383" s="505" t="s">
        <v>2265</v>
      </c>
      <c r="D383" s="512">
        <v>2.7</v>
      </c>
      <c r="E383" s="486">
        <v>100</v>
      </c>
      <c r="F383" s="263">
        <f>IF(E383&lt;&gt;"", ROUNDUP(E383/D383,0),"")</f>
        <v>25568.666666666668</v>
      </c>
      <c r="G383" s="652">
        <f>IF(E383&lt;&gt;"", (SQRT(D383*E383))/300, "")</f>
      </c>
      <c r="H383" s="481"/>
      <c r="I383" s="481"/>
      <c r="J383" s="480"/>
      <c r="K383" s="481"/>
      <c r="L383" s="482" t="s">
        <v>830</v>
      </c>
      <c r="M383" s="269">
        <v>45444</v>
      </c>
      <c r="N383" s="270" t="s">
        <v>503</v>
      </c>
      <c r="O383" s="271" t="s">
        <v>2266</v>
      </c>
      <c r="P383" s="492" t="s">
        <v>819</v>
      </c>
      <c r="Q383" s="484"/>
      <c r="R383" s="21" t="s">
        <v>2267</v>
      </c>
      <c r="S383" s="485">
        <v>371</v>
      </c>
    </row>
    <row x14ac:dyDescent="0.25" r="384" customHeight="1" ht="17.25">
      <c r="A384" s="259" t="s">
        <v>2268</v>
      </c>
      <c r="B384" s="21" t="s">
        <v>2269</v>
      </c>
      <c r="C384" s="505" t="s">
        <v>2270</v>
      </c>
      <c r="D384" s="512">
        <v>0.44</v>
      </c>
      <c r="E384" s="562">
        <v>162</v>
      </c>
      <c r="F384" s="263">
        <f>IF(E384&lt;&gt;"", ROUNDUP(E384/D384,0),"")</f>
        <v>25568.666666666668</v>
      </c>
      <c r="G384" s="652">
        <f>IF(E384&lt;&gt;"", (SQRT(D384*E384))/300, "")</f>
      </c>
      <c r="H384" s="481"/>
      <c r="I384" s="481"/>
      <c r="J384" s="480"/>
      <c r="K384" s="481"/>
      <c r="L384" s="482" t="s">
        <v>830</v>
      </c>
      <c r="M384" s="269">
        <v>45444</v>
      </c>
      <c r="N384" s="270" t="s">
        <v>503</v>
      </c>
      <c r="O384" s="271" t="s">
        <v>2271</v>
      </c>
      <c r="P384" s="492" t="s">
        <v>819</v>
      </c>
      <c r="Q384" s="484"/>
      <c r="R384" s="21" t="s">
        <v>2272</v>
      </c>
      <c r="S384" s="485">
        <v>370</v>
      </c>
    </row>
    <row x14ac:dyDescent="0.25" r="385" customHeight="1" ht="17.25">
      <c r="A385" s="228" t="s">
        <v>2273</v>
      </c>
      <c r="B385" s="462" t="s">
        <v>494</v>
      </c>
      <c r="C385" s="491" t="s">
        <v>2274</v>
      </c>
      <c r="D385" s="477">
        <v>72</v>
      </c>
      <c r="E385" s="477">
        <v>7000</v>
      </c>
      <c r="F385" s="230">
        <f>IF(E385&lt;&gt;"", ROUNDUP(E385/D385,0),"")</f>
        <v>25568.666666666668</v>
      </c>
      <c r="G385" s="479">
        <f>IF(E385&lt;&gt;"", (SQRT(D385*E385))/300, "")</f>
      </c>
      <c r="H385" s="481">
        <v>84.2</v>
      </c>
      <c r="I385" s="481">
        <v>55.6</v>
      </c>
      <c r="J385" s="481">
        <v>37.9</v>
      </c>
      <c r="K385" s="481"/>
      <c r="L385" s="482" t="s">
        <v>830</v>
      </c>
      <c r="M385" s="231">
        <v>45444</v>
      </c>
      <c r="N385" s="223" t="s">
        <v>503</v>
      </c>
      <c r="O385" s="608" t="s">
        <v>2275</v>
      </c>
      <c r="P385" s="228" t="s">
        <v>819</v>
      </c>
      <c r="Q385" s="484"/>
      <c r="R385" s="25" t="s">
        <v>2276</v>
      </c>
      <c r="S385" s="485">
        <v>369</v>
      </c>
    </row>
    <row x14ac:dyDescent="0.25" r="386" customHeight="1" ht="17.25">
      <c r="A386" s="228" t="s">
        <v>2277</v>
      </c>
      <c r="B386" s="462" t="s">
        <v>494</v>
      </c>
      <c r="C386" s="491" t="s">
        <v>2278</v>
      </c>
      <c r="D386" s="477">
        <v>57</v>
      </c>
      <c r="E386" s="477">
        <v>4500</v>
      </c>
      <c r="F386" s="230">
        <f>IF(E386&lt;&gt;"", ROUNDUP(E386/D386,0),"")</f>
        <v>25568.666666666668</v>
      </c>
      <c r="G386" s="479">
        <f>IF(E386&lt;&gt;"", (SQRT(D386*E386))/300, "")</f>
      </c>
      <c r="H386" s="481">
        <v>76.5</v>
      </c>
      <c r="I386" s="585">
        <v>43</v>
      </c>
      <c r="J386" s="481">
        <v>34.3</v>
      </c>
      <c r="K386" s="481"/>
      <c r="L386" s="482" t="s">
        <v>830</v>
      </c>
      <c r="M386" s="231">
        <v>45444</v>
      </c>
      <c r="N386" s="223" t="s">
        <v>503</v>
      </c>
      <c r="O386" s="608" t="s">
        <v>2275</v>
      </c>
      <c r="P386" s="228" t="s">
        <v>802</v>
      </c>
      <c r="Q386" s="484"/>
      <c r="R386" s="25" t="s">
        <v>2279</v>
      </c>
      <c r="S386" s="485">
        <v>368</v>
      </c>
    </row>
    <row x14ac:dyDescent="0.25" r="387" customHeight="1" ht="17.25">
      <c r="A387" s="259" t="s">
        <v>2280</v>
      </c>
      <c r="B387" s="462" t="s">
        <v>2281</v>
      </c>
      <c r="C387" s="505" t="s">
        <v>2282</v>
      </c>
      <c r="D387" s="486">
        <v>146</v>
      </c>
      <c r="E387" s="512"/>
      <c r="F387" s="263">
        <f>IF(E387&lt;&gt;"", ROUNDUP(E387/D387,0),"")</f>
        <v>25568.666666666668</v>
      </c>
      <c r="G387" s="652">
        <f>IF(E387&lt;&gt;"", (SQRT(D387*E387))/300, "")</f>
      </c>
      <c r="H387" s="481">
        <v>77.4</v>
      </c>
      <c r="I387" s="481"/>
      <c r="J387" s="508"/>
      <c r="K387" s="481"/>
      <c r="L387" s="482" t="s">
        <v>830</v>
      </c>
      <c r="M387" s="269">
        <v>45444</v>
      </c>
      <c r="N387" s="270" t="s">
        <v>503</v>
      </c>
      <c r="O387" s="271" t="s">
        <v>2283</v>
      </c>
      <c r="P387" s="492" t="s">
        <v>802</v>
      </c>
      <c r="Q387" s="484"/>
      <c r="R387" s="21" t="s">
        <v>2284</v>
      </c>
      <c r="S387" s="485">
        <v>367</v>
      </c>
    </row>
    <row x14ac:dyDescent="0.25" r="388" customHeight="1" ht="17.25">
      <c r="A388" s="492" t="s">
        <v>2285</v>
      </c>
      <c r="B388" s="21" t="s">
        <v>1896</v>
      </c>
      <c r="C388" s="518" t="s">
        <v>2286</v>
      </c>
      <c r="D388" s="572">
        <v>2.7</v>
      </c>
      <c r="E388" s="496">
        <v>300</v>
      </c>
      <c r="F388" s="263">
        <f>IF(E388&lt;&gt;"", ROUNDUP(E388/D388,0),"")</f>
        <v>25568.666666666668</v>
      </c>
      <c r="G388" s="652">
        <f>IF(E388&lt;&gt;"", (SQRT(D388*E388))/300, "")</f>
      </c>
      <c r="H388" s="739"/>
      <c r="I388" s="739"/>
      <c r="J388" s="739"/>
      <c r="K388" s="481"/>
      <c r="L388" s="482" t="s">
        <v>830</v>
      </c>
      <c r="M388" s="718">
        <v>45413</v>
      </c>
      <c r="N388" s="490" t="s">
        <v>503</v>
      </c>
      <c r="O388" s="501" t="s">
        <v>2287</v>
      </c>
      <c r="P388" s="492" t="s">
        <v>819</v>
      </c>
      <c r="Q388" s="583"/>
      <c r="R388" s="584" t="s">
        <v>2288</v>
      </c>
      <c r="S388" s="485">
        <v>366</v>
      </c>
    </row>
    <row x14ac:dyDescent="0.25" r="389" customHeight="1" ht="17.25">
      <c r="A389" s="228" t="s">
        <v>559</v>
      </c>
      <c r="B389" s="21" t="s">
        <v>483</v>
      </c>
      <c r="C389" s="491" t="s">
        <v>2289</v>
      </c>
      <c r="D389" s="477">
        <v>7</v>
      </c>
      <c r="E389" s="477">
        <v>4500</v>
      </c>
      <c r="F389" s="230">
        <f>IF(E389&lt;&gt;"", ROUNDUP(E389/D389,0),"")</f>
        <v>25568.666666666668</v>
      </c>
      <c r="G389" s="479">
        <f>IF(E389&lt;&gt;"", (SQRT(D389*E389))/300, "")</f>
      </c>
      <c r="H389" s="481">
        <v>58.14</v>
      </c>
      <c r="I389" s="481"/>
      <c r="J389" s="481"/>
      <c r="K389" s="481"/>
      <c r="L389" s="482" t="s">
        <v>830</v>
      </c>
      <c r="M389" s="718">
        <v>45413</v>
      </c>
      <c r="N389" s="223" t="s">
        <v>503</v>
      </c>
      <c r="O389" s="491" t="s">
        <v>2290</v>
      </c>
      <c r="P389" s="249" t="s">
        <v>819</v>
      </c>
      <c r="Q389" s="484"/>
      <c r="R389" s="21" t="s">
        <v>2291</v>
      </c>
      <c r="S389" s="485">
        <v>365</v>
      </c>
    </row>
    <row x14ac:dyDescent="0.25" r="390" customHeight="1" ht="17.25">
      <c r="A390" s="228" t="s">
        <v>2292</v>
      </c>
      <c r="B390" s="21" t="s">
        <v>2293</v>
      </c>
      <c r="C390" s="491" t="s">
        <v>2294</v>
      </c>
      <c r="D390" s="477">
        <v>65</v>
      </c>
      <c r="E390" s="477">
        <v>1400</v>
      </c>
      <c r="F390" s="230">
        <f>IF(E390&lt;&gt;"", ROUNDUP(E390/D390,0),"")</f>
        <v>25568.666666666668</v>
      </c>
      <c r="G390" s="479">
        <f>IF(E390&lt;&gt;"", (SQRT(D390*E390))/300, "")</f>
      </c>
      <c r="H390" s="481">
        <v>64.8</v>
      </c>
      <c r="I390" s="481"/>
      <c r="J390" s="481"/>
      <c r="K390" s="481"/>
      <c r="L390" s="482" t="s">
        <v>830</v>
      </c>
      <c r="M390" s="718">
        <v>45413</v>
      </c>
      <c r="N390" s="223" t="s">
        <v>503</v>
      </c>
      <c r="O390" s="491" t="s">
        <v>2295</v>
      </c>
      <c r="P390" s="249" t="s">
        <v>819</v>
      </c>
      <c r="Q390" s="484"/>
      <c r="R390" s="21" t="s">
        <v>2296</v>
      </c>
      <c r="S390" s="485">
        <v>364</v>
      </c>
    </row>
    <row x14ac:dyDescent="0.25" r="391" customHeight="1" ht="17.25">
      <c r="A391" s="228" t="s">
        <v>2297</v>
      </c>
      <c r="B391" s="21" t="s">
        <v>965</v>
      </c>
      <c r="C391" s="491" t="s">
        <v>2298</v>
      </c>
      <c r="D391" s="477">
        <v>22</v>
      </c>
      <c r="E391" s="478">
        <v>2000</v>
      </c>
      <c r="F391" s="230">
        <f>IF(E391&lt;&gt;"", ROUNDUP(E391/D391,0),"")</f>
        <v>25568.666666666668</v>
      </c>
      <c r="G391" s="479">
        <f>IF(E391&lt;&gt;"", (SQRT(D391*E391))/300, "")</f>
      </c>
      <c r="H391" s="481"/>
      <c r="I391" s="481"/>
      <c r="J391" s="481"/>
      <c r="K391" s="481"/>
      <c r="L391" s="482" t="s">
        <v>830</v>
      </c>
      <c r="M391" s="718">
        <v>45413</v>
      </c>
      <c r="N391" s="223" t="s">
        <v>503</v>
      </c>
      <c r="O391" s="491" t="s">
        <v>2299</v>
      </c>
      <c r="P391" s="249" t="s">
        <v>819</v>
      </c>
      <c r="Q391" s="484"/>
      <c r="R391" s="21" t="s">
        <v>2300</v>
      </c>
      <c r="S391" s="485">
        <v>363</v>
      </c>
    </row>
    <row x14ac:dyDescent="0.25" r="392" customHeight="1" ht="17.25">
      <c r="A392" s="259" t="s">
        <v>2301</v>
      </c>
      <c r="B392" s="21" t="s">
        <v>1591</v>
      </c>
      <c r="C392" s="505" t="s">
        <v>2302</v>
      </c>
      <c r="D392" s="496">
        <v>35</v>
      </c>
      <c r="E392" s="478">
        <v>4800</v>
      </c>
      <c r="F392" s="263">
        <f>IF(E392&lt;&gt;"", ROUNDUP(E392/D392,0),"")</f>
        <v>25568.666666666668</v>
      </c>
      <c r="G392" s="790">
        <f>IF(E392&lt;&gt;"", (SQRT(D392*E392))/300, "")</f>
      </c>
      <c r="H392" s="480"/>
      <c r="I392" s="480"/>
      <c r="J392" s="480"/>
      <c r="K392" s="481"/>
      <c r="L392" s="482" t="s">
        <v>830</v>
      </c>
      <c r="M392" s="718">
        <v>45413</v>
      </c>
      <c r="N392" s="270" t="s">
        <v>503</v>
      </c>
      <c r="O392" s="271" t="s">
        <v>2303</v>
      </c>
      <c r="P392" s="249" t="s">
        <v>819</v>
      </c>
      <c r="Q392" s="272"/>
      <c r="R392" s="259"/>
      <c r="S392" s="485">
        <v>362</v>
      </c>
    </row>
    <row x14ac:dyDescent="0.25" r="393" customHeight="1" ht="17.25">
      <c r="A393" s="492" t="s">
        <v>2304</v>
      </c>
      <c r="B393" s="462" t="s">
        <v>1983</v>
      </c>
      <c r="C393" s="518" t="s">
        <v>2305</v>
      </c>
      <c r="D393" s="526">
        <v>2000</v>
      </c>
      <c r="E393" s="573">
        <v>20000</v>
      </c>
      <c r="F393" s="263">
        <f>IF(E393&lt;&gt;"", ROUNDUP(E393/D393,0),"")</f>
        <v>25568.666666666668</v>
      </c>
      <c r="G393" s="820">
        <f>IF(E393&lt;&gt;"", (SQRT(D393*E393))/300, "")</f>
      </c>
      <c r="H393" s="509">
        <v>85.1</v>
      </c>
      <c r="I393" s="509"/>
      <c r="J393" s="509">
        <v>48.2</v>
      </c>
      <c r="K393" s="481"/>
      <c r="L393" s="482" t="s">
        <v>830</v>
      </c>
      <c r="M393" s="718">
        <v>45413</v>
      </c>
      <c r="N393" s="490" t="s">
        <v>503</v>
      </c>
      <c r="O393" s="495" t="s">
        <v>2306</v>
      </c>
      <c r="P393" s="492" t="s">
        <v>802</v>
      </c>
      <c r="Q393" s="502"/>
      <c r="R393" s="613" t="s">
        <v>2307</v>
      </c>
      <c r="S393" s="485">
        <v>361</v>
      </c>
    </row>
    <row x14ac:dyDescent="0.25" r="394" customHeight="1" ht="17.25">
      <c r="A394" s="492" t="s">
        <v>2308</v>
      </c>
      <c r="B394" s="462" t="s">
        <v>1983</v>
      </c>
      <c r="C394" s="518" t="s">
        <v>2305</v>
      </c>
      <c r="D394" s="821">
        <v>1000</v>
      </c>
      <c r="E394" s="573">
        <v>15000</v>
      </c>
      <c r="F394" s="263">
        <f>IF(E394&lt;&gt;"", ROUNDUP(E394/D394,0),"")</f>
        <v>25568.666666666668</v>
      </c>
      <c r="G394" s="820">
        <f>IF(E394&lt;&gt;"", (SQRT(D394*E394))/300, "")</f>
      </c>
      <c r="H394" s="509">
        <v>83.8</v>
      </c>
      <c r="I394" s="509">
        <v>58.1</v>
      </c>
      <c r="J394" s="509">
        <v>43.5</v>
      </c>
      <c r="K394" s="481"/>
      <c r="L394" s="482" t="s">
        <v>830</v>
      </c>
      <c r="M394" s="718">
        <v>45413</v>
      </c>
      <c r="N394" s="490" t="s">
        <v>503</v>
      </c>
      <c r="O394" s="495" t="s">
        <v>2306</v>
      </c>
      <c r="P394" s="492" t="s">
        <v>819</v>
      </c>
      <c r="Q394" s="502"/>
      <c r="R394" s="492"/>
      <c r="S394" s="485">
        <v>360</v>
      </c>
    </row>
    <row x14ac:dyDescent="0.25" r="395" customHeight="1" ht="17.25">
      <c r="A395" s="592" t="s">
        <v>2309</v>
      </c>
      <c r="B395" s="21" t="s">
        <v>498</v>
      </c>
      <c r="C395" s="685" t="s">
        <v>2310</v>
      </c>
      <c r="D395" s="631">
        <v>34</v>
      </c>
      <c r="E395" s="631">
        <v>9200</v>
      </c>
      <c r="F395" s="263">
        <f>IF(E395&lt;&gt;"", ROUNDUP(E395/D395,0),"")</f>
        <v>25568.666666666668</v>
      </c>
      <c r="G395" s="778">
        <f>IF(E395&lt;&gt;"", (SQRT(D395*E395))/300, "")</f>
      </c>
      <c r="H395" s="509">
        <v>65.8</v>
      </c>
      <c r="I395" s="509"/>
      <c r="J395" s="509"/>
      <c r="K395" s="481"/>
      <c r="L395" s="482" t="s">
        <v>830</v>
      </c>
      <c r="M395" s="231">
        <v>45413</v>
      </c>
      <c r="N395" s="689" t="s">
        <v>503</v>
      </c>
      <c r="O395" s="589" t="s">
        <v>2311</v>
      </c>
      <c r="P395" s="492" t="s">
        <v>819</v>
      </c>
      <c r="Q395" s="779"/>
      <c r="R395" s="16" t="s">
        <v>2312</v>
      </c>
      <c r="S395" s="485">
        <v>359</v>
      </c>
    </row>
    <row x14ac:dyDescent="0.25" r="396" customHeight="1" ht="17.25">
      <c r="A396" s="228" t="s">
        <v>2313</v>
      </c>
      <c r="B396" s="462" t="s">
        <v>828</v>
      </c>
      <c r="C396" s="677" t="s">
        <v>2314</v>
      </c>
      <c r="D396" s="478">
        <v>1500</v>
      </c>
      <c r="E396" s="478">
        <v>30000</v>
      </c>
      <c r="F396" s="230">
        <f>IF(E396&lt;&gt;"", ROUNDUP(E396/D396,0),"")</f>
        <v>25568.666666666668</v>
      </c>
      <c r="G396" s="710">
        <f>IF(E396&lt;&gt;"", (SQRT(D396*E396))/300, "")</f>
      </c>
      <c r="H396" s="481"/>
      <c r="I396" s="481"/>
      <c r="J396" s="585">
        <v>72</v>
      </c>
      <c r="K396" s="481"/>
      <c r="L396" s="482" t="s">
        <v>830</v>
      </c>
      <c r="M396" s="231">
        <v>45413</v>
      </c>
      <c r="N396" s="223" t="s">
        <v>484</v>
      </c>
      <c r="O396" s="615" t="s">
        <v>2315</v>
      </c>
      <c r="P396" s="228" t="s">
        <v>802</v>
      </c>
      <c r="Q396" s="484"/>
      <c r="R396" s="21" t="s">
        <v>2316</v>
      </c>
      <c r="S396" s="485">
        <v>358</v>
      </c>
    </row>
    <row x14ac:dyDescent="0.25" r="397" customHeight="1" ht="17.25">
      <c r="A397" s="592" t="s">
        <v>2317</v>
      </c>
      <c r="B397" s="21" t="s">
        <v>630</v>
      </c>
      <c r="C397" s="685" t="s">
        <v>2318</v>
      </c>
      <c r="D397" s="631">
        <v>7</v>
      </c>
      <c r="E397" s="631">
        <v>145</v>
      </c>
      <c r="F397" s="263">
        <f>IF(E397&lt;&gt;"", ROUNDUP(E397/D397,0),"")</f>
        <v>25568.666666666668</v>
      </c>
      <c r="G397" s="778">
        <f>IF(E397&lt;&gt;"", (SQRT(D397*E397))/300, "")</f>
      </c>
      <c r="H397" s="509"/>
      <c r="I397" s="509"/>
      <c r="J397" s="509"/>
      <c r="K397" s="481"/>
      <c r="L397" s="482" t="s">
        <v>830</v>
      </c>
      <c r="M397" s="231">
        <v>45413</v>
      </c>
      <c r="N397" s="689" t="s">
        <v>503</v>
      </c>
      <c r="O397" s="589" t="s">
        <v>2319</v>
      </c>
      <c r="P397" s="492" t="s">
        <v>2320</v>
      </c>
      <c r="Q397" s="779"/>
      <c r="R397" s="14" t="s">
        <v>2321</v>
      </c>
      <c r="S397" s="485">
        <v>357</v>
      </c>
    </row>
    <row x14ac:dyDescent="0.25" r="398" customHeight="1" ht="17.25">
      <c r="A398" s="228" t="s">
        <v>2322</v>
      </c>
      <c r="B398" s="462" t="s">
        <v>828</v>
      </c>
      <c r="C398" s="677" t="s">
        <v>2038</v>
      </c>
      <c r="D398" s="478">
        <v>8</v>
      </c>
      <c r="E398" s="478">
        <v>10000</v>
      </c>
      <c r="F398" s="230">
        <f>IF(E398&lt;&gt;"", ROUNDUP(E398/D398,0),"")</f>
        <v>25568.666666666668</v>
      </c>
      <c r="G398" s="479">
        <f>IF(E398&lt;&gt;"", (SQRT(D398*E398))/300, "")</f>
      </c>
      <c r="H398" s="481">
        <v>78.9</v>
      </c>
      <c r="I398" s="481">
        <v>59.1</v>
      </c>
      <c r="J398" s="481">
        <v>39.5</v>
      </c>
      <c r="K398" s="481"/>
      <c r="L398" s="482" t="s">
        <v>830</v>
      </c>
      <c r="M398" s="231">
        <v>45413</v>
      </c>
      <c r="N398" s="270" t="s">
        <v>503</v>
      </c>
      <c r="O398" s="608" t="s">
        <v>2323</v>
      </c>
      <c r="P398" s="228" t="s">
        <v>802</v>
      </c>
      <c r="Q398" s="484"/>
      <c r="R398" s="25" t="s">
        <v>2324</v>
      </c>
      <c r="S398" s="485">
        <v>356</v>
      </c>
    </row>
    <row x14ac:dyDescent="0.25" r="399" customHeight="1" ht="17.25">
      <c r="A399" s="228" t="s">
        <v>269</v>
      </c>
      <c r="B399" s="462" t="s">
        <v>490</v>
      </c>
      <c r="C399" s="677" t="s">
        <v>954</v>
      </c>
      <c r="D399" s="762">
        <v>200</v>
      </c>
      <c r="E399" s="762">
        <v>20000</v>
      </c>
      <c r="F399" s="753">
        <f>IF(E399&lt;&gt;"", ROUNDUP(E399/D399,0),"")</f>
        <v>25568.666666666668</v>
      </c>
      <c r="G399" s="479">
        <f>IF(E399&lt;&gt;"", (SQRT(D399*E399))/300, "")</f>
      </c>
      <c r="H399" s="481">
        <v>88.7</v>
      </c>
      <c r="I399" s="481">
        <v>72.6</v>
      </c>
      <c r="J399" s="481">
        <v>53.6</v>
      </c>
      <c r="K399" s="481">
        <v>3.1</v>
      </c>
      <c r="L399" s="482" t="s">
        <v>830</v>
      </c>
      <c r="M399" s="231">
        <v>45413</v>
      </c>
      <c r="N399" s="223" t="s">
        <v>470</v>
      </c>
      <c r="O399" s="615" t="s">
        <v>2325</v>
      </c>
      <c r="P399" s="228" t="s">
        <v>802</v>
      </c>
      <c r="Q399" s="484" t="s">
        <v>808</v>
      </c>
      <c r="R399" s="25" t="s">
        <v>2326</v>
      </c>
      <c r="S399" s="485">
        <v>355</v>
      </c>
    </row>
    <row x14ac:dyDescent="0.25" r="400" customHeight="1" ht="17.25">
      <c r="A400" s="259" t="s">
        <v>2327</v>
      </c>
      <c r="B400" s="21" t="s">
        <v>552</v>
      </c>
      <c r="C400" s="586" t="s">
        <v>2328</v>
      </c>
      <c r="D400" s="486">
        <v>11</v>
      </c>
      <c r="E400" s="486">
        <v>5500</v>
      </c>
      <c r="F400" s="263">
        <f>IF(E400&lt;&gt;"", ROUNDUP(E400/D400,0),"")</f>
        <v>25568.666666666668</v>
      </c>
      <c r="G400" s="822">
        <f>IF(E400&lt;&gt;"", (SQRT(D400*E400))/300, "")</f>
      </c>
      <c r="H400" s="480">
        <v>58.37</v>
      </c>
      <c r="I400" s="480"/>
      <c r="J400" s="480"/>
      <c r="K400" s="481"/>
      <c r="L400" s="482" t="s">
        <v>830</v>
      </c>
      <c r="M400" s="231">
        <v>45413</v>
      </c>
      <c r="N400" s="270" t="s">
        <v>503</v>
      </c>
      <c r="O400" s="271" t="s">
        <v>2329</v>
      </c>
      <c r="P400" s="259" t="s">
        <v>819</v>
      </c>
      <c r="Q400" s="272"/>
      <c r="R400" s="560" t="s">
        <v>2330</v>
      </c>
      <c r="S400" s="485">
        <v>354</v>
      </c>
    </row>
    <row x14ac:dyDescent="0.25" r="401" customHeight="1" ht="17.25">
      <c r="A401" s="228" t="s">
        <v>2331</v>
      </c>
      <c r="B401" s="21" t="s">
        <v>2332</v>
      </c>
      <c r="C401" s="491" t="s">
        <v>2333</v>
      </c>
      <c r="D401" s="477">
        <v>13</v>
      </c>
      <c r="E401" s="477">
        <v>380</v>
      </c>
      <c r="F401" s="230">
        <f>IF(E401&lt;&gt;"", ROUNDUP(E401/D401,0),"")</f>
        <v>25568.666666666668</v>
      </c>
      <c r="G401" s="479">
        <f>IF(E401&lt;&gt;"", (SQRT(D401*E401))/300, "")</f>
      </c>
      <c r="H401" s="481"/>
      <c r="I401" s="481"/>
      <c r="J401" s="481"/>
      <c r="K401" s="481"/>
      <c r="L401" s="482" t="s">
        <v>830</v>
      </c>
      <c r="M401" s="231">
        <v>45413</v>
      </c>
      <c r="N401" s="223" t="s">
        <v>503</v>
      </c>
      <c r="O401" s="608" t="s">
        <v>2334</v>
      </c>
      <c r="P401" s="228" t="s">
        <v>819</v>
      </c>
      <c r="Q401" s="566"/>
      <c r="R401" s="609" t="s">
        <v>2335</v>
      </c>
      <c r="S401" s="485">
        <v>353</v>
      </c>
    </row>
    <row x14ac:dyDescent="0.25" r="402" customHeight="1" ht="17.25">
      <c r="A402" s="492" t="s">
        <v>2336</v>
      </c>
      <c r="B402" s="462" t="s">
        <v>1983</v>
      </c>
      <c r="C402" s="535" t="s">
        <v>2337</v>
      </c>
      <c r="D402" s="572">
        <v>34.4</v>
      </c>
      <c r="E402" s="496">
        <v>3600</v>
      </c>
      <c r="F402" s="263">
        <f>IF(E402&lt;&gt;"", ROUNDUP(E402/D402,0),"")</f>
        <v>25568.666666666668</v>
      </c>
      <c r="G402" s="823">
        <f>IF(E402&lt;&gt;"", (SQRT(D402*E402))/300, "")</f>
      </c>
      <c r="H402" s="509">
        <v>76.8</v>
      </c>
      <c r="I402" s="509">
        <v>52.3</v>
      </c>
      <c r="J402" s="509"/>
      <c r="K402" s="481"/>
      <c r="L402" s="482" t="s">
        <v>830</v>
      </c>
      <c r="M402" s="231">
        <v>45413</v>
      </c>
      <c r="N402" s="490" t="s">
        <v>503</v>
      </c>
      <c r="O402" s="495" t="s">
        <v>2338</v>
      </c>
      <c r="P402" s="492" t="s">
        <v>819</v>
      </c>
      <c r="Q402" s="502"/>
      <c r="R402" s="492" t="s">
        <v>2339</v>
      </c>
      <c r="S402" s="485">
        <v>352</v>
      </c>
    </row>
    <row x14ac:dyDescent="0.25" r="403" customHeight="1" ht="17.25">
      <c r="A403" s="492" t="s">
        <v>2340</v>
      </c>
      <c r="B403" s="21" t="s">
        <v>834</v>
      </c>
      <c r="C403" s="535" t="s">
        <v>2341</v>
      </c>
      <c r="D403" s="496">
        <v>3</v>
      </c>
      <c r="E403" s="496">
        <v>1600</v>
      </c>
      <c r="F403" s="263">
        <f>IF(E403&lt;&gt;"", ROUNDUP(E403/D403,0),"")</f>
        <v>25568.666666666668</v>
      </c>
      <c r="G403" s="770">
        <f>IF(E403&lt;&gt;"", (SQRT(D403*E403))/300, "")</f>
      </c>
      <c r="H403" s="509"/>
      <c r="I403" s="509"/>
      <c r="J403" s="509"/>
      <c r="K403" s="481"/>
      <c r="L403" s="482" t="s">
        <v>830</v>
      </c>
      <c r="M403" s="231">
        <v>45413</v>
      </c>
      <c r="N403" s="223" t="s">
        <v>503</v>
      </c>
      <c r="O403" s="495" t="s">
        <v>2342</v>
      </c>
      <c r="P403" s="492" t="s">
        <v>819</v>
      </c>
      <c r="Q403" s="502"/>
      <c r="R403" s="492" t="s">
        <v>2343</v>
      </c>
      <c r="S403" s="485">
        <v>351</v>
      </c>
    </row>
    <row x14ac:dyDescent="0.25" r="404" customHeight="1" ht="17.25">
      <c r="A404" s="824" t="s">
        <v>2344</v>
      </c>
      <c r="B404" s="462" t="s">
        <v>479</v>
      </c>
      <c r="C404" s="677" t="s">
        <v>1377</v>
      </c>
      <c r="D404" s="23">
        <v>236</v>
      </c>
      <c r="E404" s="477">
        <v>8100</v>
      </c>
      <c r="F404" s="230">
        <f>IF(E404&lt;&gt;"", ROUNDUP(E404/D404,0),"")</f>
        <v>25568.666666666668</v>
      </c>
      <c r="G404" s="479">
        <f>IF(E404&lt;&gt;"", (SQRT(D404*E404))/300, "")</f>
      </c>
      <c r="H404" s="481">
        <v>78.5</v>
      </c>
      <c r="I404" s="481">
        <v>54.8</v>
      </c>
      <c r="J404" s="481"/>
      <c r="K404" s="481"/>
      <c r="L404" s="482" t="s">
        <v>830</v>
      </c>
      <c r="M404" s="231">
        <v>45413</v>
      </c>
      <c r="N404" s="223" t="s">
        <v>503</v>
      </c>
      <c r="O404" s="608" t="s">
        <v>2345</v>
      </c>
      <c r="P404" s="228" t="s">
        <v>802</v>
      </c>
      <c r="Q404" s="566"/>
      <c r="R404" s="228" t="s">
        <v>2346</v>
      </c>
      <c r="S404" s="485">
        <v>350</v>
      </c>
    </row>
    <row x14ac:dyDescent="0.25" r="405" customHeight="1" ht="17.25">
      <c r="A405" s="492" t="s">
        <v>2347</v>
      </c>
      <c r="B405" s="21" t="s">
        <v>859</v>
      </c>
      <c r="C405" s="518" t="s">
        <v>2348</v>
      </c>
      <c r="D405" s="519">
        <v>1.6</v>
      </c>
      <c r="E405" s="496">
        <v>2300</v>
      </c>
      <c r="F405" s="263">
        <f>IF(E405&lt;&gt;"", ROUNDUP(E405/D405,0),"")</f>
        <v>25568.666666666668</v>
      </c>
      <c r="G405" s="770">
        <f>IF(E405&lt;&gt;"", (SQRT(D405*E405))/300, "")</f>
      </c>
      <c r="H405" s="509">
        <v>41.07</v>
      </c>
      <c r="I405" s="509"/>
      <c r="J405" s="509"/>
      <c r="K405" s="481"/>
      <c r="L405" s="482" t="s">
        <v>830</v>
      </c>
      <c r="M405" s="718">
        <v>45413</v>
      </c>
      <c r="N405" s="223" t="s">
        <v>503</v>
      </c>
      <c r="O405" s="495" t="s">
        <v>2349</v>
      </c>
      <c r="P405" s="492" t="s">
        <v>819</v>
      </c>
      <c r="Q405" s="583"/>
      <c r="R405" s="503" t="s">
        <v>2350</v>
      </c>
      <c r="S405" s="485">
        <v>349</v>
      </c>
    </row>
    <row x14ac:dyDescent="0.25" r="406" customHeight="1" ht="17.25">
      <c r="A406" s="492" t="s">
        <v>2351</v>
      </c>
      <c r="B406" s="21" t="s">
        <v>1788</v>
      </c>
      <c r="C406" s="518" t="s">
        <v>2352</v>
      </c>
      <c r="D406" s="519">
        <v>7.63</v>
      </c>
      <c r="E406" s="496">
        <v>2500</v>
      </c>
      <c r="F406" s="263">
        <f>IF(E406&lt;&gt;"", ROUNDUP(E406/D406,0),"")</f>
        <v>25568.666666666668</v>
      </c>
      <c r="G406" s="770">
        <f>IF(E406&lt;&gt;"", (SQRT(D406*E406))/300, "")</f>
      </c>
      <c r="H406" s="509"/>
      <c r="I406" s="509"/>
      <c r="J406" s="509"/>
      <c r="K406" s="481"/>
      <c r="L406" s="482" t="s">
        <v>830</v>
      </c>
      <c r="M406" s="718">
        <v>45413</v>
      </c>
      <c r="N406" s="490" t="s">
        <v>503</v>
      </c>
      <c r="O406" s="495" t="s">
        <v>2353</v>
      </c>
      <c r="P406" s="492" t="s">
        <v>819</v>
      </c>
      <c r="Q406" s="583"/>
      <c r="R406" s="584" t="s">
        <v>2354</v>
      </c>
      <c r="S406" s="485">
        <v>348</v>
      </c>
    </row>
    <row x14ac:dyDescent="0.25" r="407" customHeight="1" ht="17.25">
      <c r="A407" s="228" t="s">
        <v>2355</v>
      </c>
      <c r="B407" s="21" t="s">
        <v>2356</v>
      </c>
      <c r="C407" s="33"/>
      <c r="D407" s="24">
        <v>2.7</v>
      </c>
      <c r="E407" s="23">
        <v>15</v>
      </c>
      <c r="F407" s="263">
        <f>IF(E407&lt;&gt;"", ROUNDUP(E407/D407,0),"")</f>
        <v>25568.666666666668</v>
      </c>
      <c r="G407" s="825">
        <f>IF(E407&lt;&gt;"", (SQRT(D407*E407))/300, "")</f>
      </c>
      <c r="H407" s="480"/>
      <c r="I407" s="480"/>
      <c r="J407" s="480"/>
      <c r="K407" s="481"/>
      <c r="L407" s="482" t="s">
        <v>830</v>
      </c>
      <c r="M407" s="718">
        <v>45413</v>
      </c>
      <c r="N407" s="500" t="s">
        <v>470</v>
      </c>
      <c r="O407" s="491" t="s">
        <v>2357</v>
      </c>
      <c r="P407" s="259" t="s">
        <v>819</v>
      </c>
      <c r="Q407" s="566"/>
      <c r="R407" s="228" t="s">
        <v>2358</v>
      </c>
      <c r="S407" s="485">
        <v>347</v>
      </c>
    </row>
    <row x14ac:dyDescent="0.25" r="408" customHeight="1" ht="17.25">
      <c r="A408" s="228" t="s">
        <v>2359</v>
      </c>
      <c r="B408" s="21" t="s">
        <v>1117</v>
      </c>
      <c r="C408" s="491" t="s">
        <v>2360</v>
      </c>
      <c r="D408" s="23">
        <v>34</v>
      </c>
      <c r="E408" s="23">
        <v>3500</v>
      </c>
      <c r="F408" s="230">
        <f>IF(E408&lt;&gt;"", ROUNDUP(E408/D408,0),"")</f>
        <v>25568.666666666668</v>
      </c>
      <c r="G408" s="487">
        <f>IF(E408&lt;&gt;"", (SQRT(D408*E408))/300, "")</f>
      </c>
      <c r="H408" s="656">
        <v>50</v>
      </c>
      <c r="I408" s="480"/>
      <c r="J408" s="480"/>
      <c r="K408" s="481"/>
      <c r="L408" s="750" t="s">
        <v>2361</v>
      </c>
      <c r="M408" s="718">
        <v>45413</v>
      </c>
      <c r="N408" s="490" t="s">
        <v>503</v>
      </c>
      <c r="O408" s="491" t="s">
        <v>2362</v>
      </c>
      <c r="P408" s="259" t="s">
        <v>819</v>
      </c>
      <c r="Q408" s="566"/>
      <c r="R408" s="228" t="s">
        <v>2363</v>
      </c>
      <c r="S408" s="485">
        <v>346</v>
      </c>
    </row>
    <row x14ac:dyDescent="0.25" r="409" customHeight="1" ht="17.25">
      <c r="A409" s="259" t="s">
        <v>2364</v>
      </c>
      <c r="B409" s="462" t="s">
        <v>494</v>
      </c>
      <c r="C409" s="586" t="s">
        <v>2365</v>
      </c>
      <c r="D409" s="562">
        <v>300</v>
      </c>
      <c r="E409" s="562">
        <v>6000</v>
      </c>
      <c r="F409" s="263">
        <f>IF(E409&lt;&gt;"", ROUNDUP(E409/D409,0),"")</f>
        <v>25568.666666666668</v>
      </c>
      <c r="G409" s="825">
        <f>IF(E409&lt;&gt;"", (SQRT(D409*E409))/300, "")</f>
      </c>
      <c r="H409" s="480"/>
      <c r="I409" s="480"/>
      <c r="J409" s="480"/>
      <c r="K409" s="481"/>
      <c r="L409" s="482" t="s">
        <v>830</v>
      </c>
      <c r="M409" s="718">
        <v>45413</v>
      </c>
      <c r="N409" s="270" t="s">
        <v>503</v>
      </c>
      <c r="O409" s="511" t="s">
        <v>2366</v>
      </c>
      <c r="P409" s="259" t="s">
        <v>819</v>
      </c>
      <c r="Q409" s="590"/>
      <c r="R409" s="591" t="s">
        <v>2367</v>
      </c>
      <c r="S409" s="485">
        <v>345</v>
      </c>
    </row>
    <row x14ac:dyDescent="0.25" r="410" customHeight="1" ht="17.25">
      <c r="A410" s="592" t="s">
        <v>2368</v>
      </c>
      <c r="B410" s="462" t="s">
        <v>828</v>
      </c>
      <c r="C410" s="685" t="s">
        <v>2369</v>
      </c>
      <c r="D410" s="691">
        <v>200</v>
      </c>
      <c r="E410" s="691">
        <v>30000</v>
      </c>
      <c r="F410" s="263">
        <f>IF(E410&lt;&gt;"", ROUNDUP(E410/D410,0),"")</f>
        <v>25568.666666666668</v>
      </c>
      <c r="G410" s="826">
        <f>IF(E410&lt;&gt;"", (SQRT(D410*E410))/300, "")</f>
      </c>
      <c r="H410" s="32"/>
      <c r="I410" s="32"/>
      <c r="J410" s="32"/>
      <c r="K410" s="481"/>
      <c r="L410" s="482" t="s">
        <v>830</v>
      </c>
      <c r="M410" s="718">
        <v>45413</v>
      </c>
      <c r="N410" s="500" t="s">
        <v>470</v>
      </c>
      <c r="O410" s="589" t="s">
        <v>2370</v>
      </c>
      <c r="P410" s="592" t="s">
        <v>819</v>
      </c>
      <c r="Q410" s="779"/>
      <c r="R410" s="16" t="s">
        <v>2371</v>
      </c>
      <c r="S410" s="485">
        <v>344</v>
      </c>
    </row>
    <row x14ac:dyDescent="0.25" r="411" customHeight="1" ht="17.25">
      <c r="A411" s="259" t="s">
        <v>2372</v>
      </c>
      <c r="B411" s="561" t="s">
        <v>834</v>
      </c>
      <c r="C411" s="586" t="s">
        <v>2373</v>
      </c>
      <c r="D411" s="512">
        <v>0.033</v>
      </c>
      <c r="E411" s="562">
        <v>50</v>
      </c>
      <c r="F411" s="651">
        <f>IF(E411&lt;&gt;"", ROUNDUP(E411/D411,0),"")</f>
        <v>25568.666666666668</v>
      </c>
      <c r="G411" s="827">
        <f>IF(E411&lt;&gt;"", (SQRT(D411*E411))/300, "")</f>
      </c>
      <c r="H411" s="480"/>
      <c r="I411" s="508"/>
      <c r="J411" s="508"/>
      <c r="K411" s="481"/>
      <c r="L411" s="482" t="s">
        <v>830</v>
      </c>
      <c r="M411" s="718">
        <v>45383</v>
      </c>
      <c r="N411" s="270" t="s">
        <v>503</v>
      </c>
      <c r="O411" s="511" t="s">
        <v>2374</v>
      </c>
      <c r="P411" s="259" t="s">
        <v>819</v>
      </c>
      <c r="Q411" s="272"/>
      <c r="R411" s="259" t="s">
        <v>2375</v>
      </c>
      <c r="S411" s="485">
        <v>343</v>
      </c>
    </row>
    <row x14ac:dyDescent="0.25" r="412" customHeight="1" ht="17.25">
      <c r="A412" s="259" t="s">
        <v>2376</v>
      </c>
      <c r="B412" s="504" t="s">
        <v>2010</v>
      </c>
      <c r="C412" s="586" t="s">
        <v>2377</v>
      </c>
      <c r="D412" s="486">
        <v>52</v>
      </c>
      <c r="E412" s="486">
        <v>2000</v>
      </c>
      <c r="F412" s="651">
        <f>IF(E412&lt;&gt;"", ROUNDUP(E412/D412,0),"")</f>
        <v>25568.666666666668</v>
      </c>
      <c r="G412" s="827">
        <f>IF(E412&lt;&gt;"", (SQRT(D412*E412))/300, "")</f>
      </c>
      <c r="H412" s="656">
        <v>64</v>
      </c>
      <c r="I412" s="508"/>
      <c r="J412" s="508"/>
      <c r="K412" s="481"/>
      <c r="L412" s="482" t="s">
        <v>830</v>
      </c>
      <c r="M412" s="718">
        <v>45383</v>
      </c>
      <c r="N412" s="270" t="s">
        <v>503</v>
      </c>
      <c r="O412" s="511" t="s">
        <v>2378</v>
      </c>
      <c r="P412" s="259" t="s">
        <v>819</v>
      </c>
      <c r="Q412" s="272"/>
      <c r="R412" s="259" t="s">
        <v>2379</v>
      </c>
      <c r="S412" s="485">
        <v>342</v>
      </c>
    </row>
    <row x14ac:dyDescent="0.25" r="413" customHeight="1" ht="17.25">
      <c r="A413" s="259" t="s">
        <v>2380</v>
      </c>
      <c r="B413" s="462" t="s">
        <v>494</v>
      </c>
      <c r="C413" s="586" t="s">
        <v>2381</v>
      </c>
      <c r="D413" s="486">
        <v>111</v>
      </c>
      <c r="E413" s="562">
        <v>3000</v>
      </c>
      <c r="F413" s="263">
        <f>IF(E413&lt;&gt;"", ROUNDUP(E413/D413,0),"")</f>
        <v>25568.666666666668</v>
      </c>
      <c r="G413" s="828">
        <f>IF(E413&lt;&gt;"", (SQRT(D413*E413))/300, "")</f>
      </c>
      <c r="H413" s="480">
        <v>80.4</v>
      </c>
      <c r="I413" s="480">
        <v>49.9</v>
      </c>
      <c r="J413" s="480">
        <v>35.9</v>
      </c>
      <c r="K413" s="481"/>
      <c r="L413" s="482" t="s">
        <v>830</v>
      </c>
      <c r="M413" s="718">
        <v>45383</v>
      </c>
      <c r="N413" s="270" t="s">
        <v>503</v>
      </c>
      <c r="O413" s="271" t="s">
        <v>2382</v>
      </c>
      <c r="P413" s="259" t="s">
        <v>819</v>
      </c>
      <c r="Q413" s="590"/>
      <c r="R413" s="249" t="s">
        <v>2383</v>
      </c>
      <c r="S413" s="485">
        <v>341</v>
      </c>
    </row>
    <row x14ac:dyDescent="0.25" r="414" customHeight="1" ht="17.25">
      <c r="A414" s="492" t="s">
        <v>2384</v>
      </c>
      <c r="B414" s="21" t="s">
        <v>2385</v>
      </c>
      <c r="C414" s="535" t="s">
        <v>2386</v>
      </c>
      <c r="D414" s="496">
        <v>480</v>
      </c>
      <c r="E414" s="496">
        <v>3500</v>
      </c>
      <c r="F414" s="263">
        <f>IF(E414&lt;&gt;"", ROUNDUP(E414/D414,0),"")</f>
        <v>25568.666666666668</v>
      </c>
      <c r="G414" s="770">
        <f>IF(E414&lt;&gt;"", (SQRT(D414*E414))/300, "")</f>
      </c>
      <c r="H414" s="509">
        <v>67.3</v>
      </c>
      <c r="I414" s="509"/>
      <c r="J414" s="509"/>
      <c r="K414" s="481"/>
      <c r="L414" s="482" t="s">
        <v>830</v>
      </c>
      <c r="M414" s="718">
        <v>45383</v>
      </c>
      <c r="N414" s="490" t="s">
        <v>503</v>
      </c>
      <c r="O414" s="495" t="s">
        <v>2387</v>
      </c>
      <c r="P414" s="492" t="s">
        <v>2320</v>
      </c>
      <c r="Q414" s="502"/>
      <c r="R414" s="492" t="s">
        <v>2388</v>
      </c>
      <c r="S414" s="485">
        <v>340</v>
      </c>
    </row>
    <row x14ac:dyDescent="0.25" r="415" customHeight="1" ht="17.25">
      <c r="A415" s="492" t="s">
        <v>2389</v>
      </c>
      <c r="B415" s="462" t="s">
        <v>2204</v>
      </c>
      <c r="C415" s="662"/>
      <c r="D415" s="496">
        <v>600</v>
      </c>
      <c r="E415" s="496">
        <v>10000</v>
      </c>
      <c r="F415" s="263">
        <f>IF(E415&lt;&gt;"", ROUNDUP(E415/D415,0),"")</f>
        <v>25568.666666666668</v>
      </c>
      <c r="G415" s="770">
        <f>IF(E415&lt;&gt;"", (SQRT(D415*E415))/300, "")</f>
      </c>
      <c r="H415" s="509">
        <v>84.78</v>
      </c>
      <c r="I415" s="509"/>
      <c r="J415" s="509">
        <v>42.93</v>
      </c>
      <c r="K415" s="481"/>
      <c r="L415" s="482" t="s">
        <v>830</v>
      </c>
      <c r="M415" s="718">
        <v>45383</v>
      </c>
      <c r="N415" s="490" t="s">
        <v>503</v>
      </c>
      <c r="O415" s="495" t="s">
        <v>2390</v>
      </c>
      <c r="P415" s="492" t="s">
        <v>802</v>
      </c>
      <c r="Q415" s="502"/>
      <c r="R415" s="613" t="s">
        <v>2391</v>
      </c>
      <c r="S415" s="485">
        <v>339</v>
      </c>
    </row>
    <row x14ac:dyDescent="0.25" r="416" customHeight="1" ht="17.25">
      <c r="A416" s="492" t="s">
        <v>2392</v>
      </c>
      <c r="B416" s="21" t="s">
        <v>1326</v>
      </c>
      <c r="C416" s="535" t="s">
        <v>2393</v>
      </c>
      <c r="D416" s="572">
        <v>3.04</v>
      </c>
      <c r="E416" s="496">
        <v>1500</v>
      </c>
      <c r="F416" s="263">
        <f>IF(E416&lt;&gt;"", ROUNDUP(E416/D416,0),"")</f>
        <v>25568.666666666668</v>
      </c>
      <c r="G416" s="770">
        <f>IF(E416&lt;&gt;"", (SQRT(D416*E416))/300, "")</f>
      </c>
      <c r="H416" s="509">
        <v>26.76</v>
      </c>
      <c r="I416" s="509"/>
      <c r="J416" s="509"/>
      <c r="K416" s="481"/>
      <c r="L416" s="482" t="s">
        <v>830</v>
      </c>
      <c r="M416" s="718">
        <v>45383</v>
      </c>
      <c r="N416" s="490" t="s">
        <v>503</v>
      </c>
      <c r="O416" s="495" t="s">
        <v>2261</v>
      </c>
      <c r="P416" s="492" t="s">
        <v>819</v>
      </c>
      <c r="Q416" s="502"/>
      <c r="R416" s="613" t="s">
        <v>2394</v>
      </c>
      <c r="S416" s="485">
        <v>338</v>
      </c>
    </row>
    <row x14ac:dyDescent="0.25" r="417" customHeight="1" ht="17.25">
      <c r="A417" s="492" t="s">
        <v>2395</v>
      </c>
      <c r="B417" s="21" t="s">
        <v>834</v>
      </c>
      <c r="C417" s="535" t="s">
        <v>2396</v>
      </c>
      <c r="D417" s="496">
        <v>14</v>
      </c>
      <c r="E417" s="496">
        <v>4800</v>
      </c>
      <c r="F417" s="263">
        <f>IF(E417&lt;&gt;"", ROUNDUP(E417/D417,0),"")</f>
        <v>25568.666666666668</v>
      </c>
      <c r="G417" s="770">
        <f>IF(E417&lt;&gt;"", (SQRT(D417*E417))/300, "")</f>
      </c>
      <c r="H417" s="509">
        <v>78.2</v>
      </c>
      <c r="I417" s="509">
        <v>55.7</v>
      </c>
      <c r="J417" s="509"/>
      <c r="K417" s="509"/>
      <c r="L417" s="510" t="s">
        <v>836</v>
      </c>
      <c r="M417" s="718">
        <v>45383</v>
      </c>
      <c r="N417" s="490" t="s">
        <v>503</v>
      </c>
      <c r="O417" s="495" t="s">
        <v>2397</v>
      </c>
      <c r="P417" s="492" t="s">
        <v>819</v>
      </c>
      <c r="Q417" s="502"/>
      <c r="R417" s="492" t="s">
        <v>2398</v>
      </c>
      <c r="S417" s="485">
        <v>337</v>
      </c>
    </row>
    <row x14ac:dyDescent="0.25" r="418" customHeight="1" ht="17.25">
      <c r="A418" s="228" t="s">
        <v>2399</v>
      </c>
      <c r="B418" s="21" t="s">
        <v>834</v>
      </c>
      <c r="C418" s="535" t="s">
        <v>2400</v>
      </c>
      <c r="D418" s="620">
        <v>3.8</v>
      </c>
      <c r="E418" s="477">
        <v>3300</v>
      </c>
      <c r="F418" s="230">
        <f>IF(E418&lt;&gt;"", ROUNDUP(E418/D418,0),"")</f>
        <v>25568.666666666668</v>
      </c>
      <c r="G418" s="479">
        <f>IF(E418&lt;&gt;"", (SQRT(D418*E418))/300, "")</f>
      </c>
      <c r="H418" s="481">
        <v>68.8</v>
      </c>
      <c r="I418" s="481">
        <v>45.7</v>
      </c>
      <c r="J418" s="481"/>
      <c r="K418" s="509"/>
      <c r="L418" s="510" t="s">
        <v>836</v>
      </c>
      <c r="M418" s="269">
        <v>45383</v>
      </c>
      <c r="N418" s="223" t="s">
        <v>503</v>
      </c>
      <c r="O418" s="615" t="s">
        <v>2397</v>
      </c>
      <c r="P418" s="228" t="s">
        <v>819</v>
      </c>
      <c r="Q418" s="502"/>
      <c r="R418" s="492" t="s">
        <v>2401</v>
      </c>
      <c r="S418" s="485">
        <v>336</v>
      </c>
    </row>
    <row x14ac:dyDescent="0.25" r="419" customHeight="1" ht="17.25">
      <c r="A419" s="228" t="s">
        <v>175</v>
      </c>
      <c r="B419" s="462" t="s">
        <v>498</v>
      </c>
      <c r="C419" s="491" t="s">
        <v>2402</v>
      </c>
      <c r="D419" s="477">
        <v>70</v>
      </c>
      <c r="E419" s="477">
        <v>15000</v>
      </c>
      <c r="F419" s="230">
        <f>IF(E419&lt;&gt;"", ROUNDUP(E419/D419,0),"")</f>
        <v>25568.666666666668</v>
      </c>
      <c r="G419" s="479">
        <f>IF(E419&lt;&gt;"", (SQRT(D419*E419))/300, "")</f>
      </c>
      <c r="H419" s="585">
        <v>82</v>
      </c>
      <c r="I419" s="481">
        <v>52.8</v>
      </c>
      <c r="J419" s="481"/>
      <c r="K419" s="481"/>
      <c r="L419" s="482" t="s">
        <v>830</v>
      </c>
      <c r="M419" s="231">
        <v>45383</v>
      </c>
      <c r="N419" s="223" t="s">
        <v>503</v>
      </c>
      <c r="O419" s="608" t="s">
        <v>2403</v>
      </c>
      <c r="P419" s="228" t="s">
        <v>819</v>
      </c>
      <c r="Q419" s="566" t="s">
        <v>808</v>
      </c>
      <c r="R419" s="228" t="s">
        <v>2404</v>
      </c>
      <c r="S419" s="485">
        <v>335</v>
      </c>
    </row>
    <row x14ac:dyDescent="0.25" r="420" customHeight="1" ht="17.25">
      <c r="A420" s="228" t="s">
        <v>2405</v>
      </c>
      <c r="B420" s="21" t="s">
        <v>615</v>
      </c>
      <c r="C420" s="491" t="s">
        <v>2406</v>
      </c>
      <c r="D420" s="486">
        <v>7</v>
      </c>
      <c r="E420" s="486">
        <v>1050</v>
      </c>
      <c r="F420" s="749">
        <f>IF(E420&lt;&gt;"", ROUNDUP(E420/D420,0),"")</f>
        <v>25568.666666666668</v>
      </c>
      <c r="G420" s="666">
        <f>IF(E420&lt;&gt;"", (SQRT(D420*E420))/300, "")</f>
      </c>
      <c r="H420" s="480">
        <v>57.72</v>
      </c>
      <c r="I420" s="480"/>
      <c r="J420" s="480"/>
      <c r="K420" s="481"/>
      <c r="L420" s="482" t="s">
        <v>830</v>
      </c>
      <c r="M420" s="269">
        <v>45383</v>
      </c>
      <c r="N420" s="500" t="s">
        <v>503</v>
      </c>
      <c r="O420" s="615" t="s">
        <v>2407</v>
      </c>
      <c r="P420" s="259" t="s">
        <v>819</v>
      </c>
      <c r="Q420" s="566"/>
      <c r="R420" s="228" t="s">
        <v>2408</v>
      </c>
      <c r="S420" s="485">
        <v>334</v>
      </c>
    </row>
    <row x14ac:dyDescent="0.25" r="421" customHeight="1" ht="17.25">
      <c r="A421" s="228" t="s">
        <v>2409</v>
      </c>
      <c r="B421" s="462" t="s">
        <v>983</v>
      </c>
      <c r="C421" s="33"/>
      <c r="D421" s="486">
        <v>7</v>
      </c>
      <c r="E421" s="486">
        <v>1800</v>
      </c>
      <c r="F421" s="263">
        <f>IF(E421&lt;&gt;"", ROUNDUP(E421/D421,0),"")</f>
        <v>25568.666666666668</v>
      </c>
      <c r="G421" s="666">
        <f>IF(E421&lt;&gt;"", (SQRT(D421*E421))/300, "")</f>
      </c>
      <c r="H421" s="480">
        <v>41.318</v>
      </c>
      <c r="I421" s="480"/>
      <c r="J421" s="480"/>
      <c r="K421" s="481"/>
      <c r="L421" s="482" t="s">
        <v>830</v>
      </c>
      <c r="M421" s="269">
        <v>45383</v>
      </c>
      <c r="N421" s="500" t="s">
        <v>470</v>
      </c>
      <c r="O421" s="608" t="s">
        <v>2410</v>
      </c>
      <c r="P421" s="259" t="s">
        <v>819</v>
      </c>
      <c r="Q421" s="566"/>
      <c r="R421" s="609" t="s">
        <v>2411</v>
      </c>
      <c r="S421" s="485">
        <v>333</v>
      </c>
    </row>
    <row x14ac:dyDescent="0.25" r="422" customHeight="1" ht="17.25">
      <c r="A422" s="228" t="s">
        <v>2412</v>
      </c>
      <c r="B422" s="21" t="s">
        <v>1953</v>
      </c>
      <c r="C422" s="491" t="s">
        <v>2413</v>
      </c>
      <c r="D422" s="620">
        <v>8.4</v>
      </c>
      <c r="E422" s="620"/>
      <c r="F422" s="230"/>
      <c r="G422" s="479">
        <f>IF(E422&lt;&gt;"", (SQRT(D422*E422))/300, "")</f>
      </c>
      <c r="H422" s="480"/>
      <c r="I422" s="480"/>
      <c r="J422" s="480"/>
      <c r="K422" s="481"/>
      <c r="L422" s="482" t="s">
        <v>830</v>
      </c>
      <c r="M422" s="829">
        <v>45383</v>
      </c>
      <c r="N422" s="490" t="s">
        <v>503</v>
      </c>
      <c r="O422" s="608" t="s">
        <v>2414</v>
      </c>
      <c r="P422" s="259" t="s">
        <v>819</v>
      </c>
      <c r="Q422" s="566"/>
      <c r="R422" s="228" t="s">
        <v>2415</v>
      </c>
      <c r="S422" s="485">
        <v>332</v>
      </c>
    </row>
    <row x14ac:dyDescent="0.25" r="423" customHeight="1" ht="17.25">
      <c r="A423" s="259" t="s">
        <v>2416</v>
      </c>
      <c r="B423" s="21" t="s">
        <v>1293</v>
      </c>
      <c r="C423" s="586" t="s">
        <v>2417</v>
      </c>
      <c r="D423" s="562">
        <v>300</v>
      </c>
      <c r="E423" s="691">
        <v>10000</v>
      </c>
      <c r="F423" s="263">
        <f>IF(E423&lt;&gt;"", ROUNDUP(E423/D423,0),"")</f>
        <v>25568.666666666668</v>
      </c>
      <c r="G423" s="666">
        <f>IF(E423&lt;&gt;"", (SQRT(D423*E423))/300, "")</f>
      </c>
      <c r="H423" s="480">
        <v>83.2</v>
      </c>
      <c r="I423" s="480"/>
      <c r="J423" s="480">
        <v>38.2</v>
      </c>
      <c r="K423" s="481"/>
      <c r="L423" s="482" t="s">
        <v>830</v>
      </c>
      <c r="M423" s="829">
        <v>45383</v>
      </c>
      <c r="N423" s="270" t="s">
        <v>503</v>
      </c>
      <c r="O423" s="271" t="s">
        <v>2418</v>
      </c>
      <c r="P423" s="259" t="s">
        <v>819</v>
      </c>
      <c r="Q423" s="590"/>
      <c r="R423" s="591" t="s">
        <v>2419</v>
      </c>
      <c r="S423" s="485">
        <v>331</v>
      </c>
    </row>
    <row x14ac:dyDescent="0.25" r="424" customHeight="1" ht="17.25">
      <c r="A424" s="592" t="s">
        <v>2420</v>
      </c>
      <c r="B424" s="21" t="s">
        <v>834</v>
      </c>
      <c r="C424" s="830" t="s">
        <v>2421</v>
      </c>
      <c r="D424" s="631">
        <v>141</v>
      </c>
      <c r="E424" s="691">
        <v>2000</v>
      </c>
      <c r="F424" s="263">
        <f>IF(E424&lt;&gt;"", ROUNDUP(E424/D424,0),"")</f>
        <v>25568.666666666668</v>
      </c>
      <c r="G424" s="666">
        <f>IF(E424&lt;&gt;"", (SQRT(D424*E424))/300, "")</f>
      </c>
      <c r="H424" s="32"/>
      <c r="I424" s="32"/>
      <c r="J424" s="32"/>
      <c r="K424" s="481"/>
      <c r="L424" s="482" t="s">
        <v>830</v>
      </c>
      <c r="M424" s="829">
        <v>45383</v>
      </c>
      <c r="N424" s="689" t="s">
        <v>503</v>
      </c>
      <c r="O424" s="589" t="s">
        <v>2422</v>
      </c>
      <c r="P424" s="592" t="s">
        <v>802</v>
      </c>
      <c r="Q424" s="779"/>
      <c r="R424" s="16" t="s">
        <v>2423</v>
      </c>
      <c r="S424" s="485">
        <v>330</v>
      </c>
    </row>
    <row x14ac:dyDescent="0.25" r="425" customHeight="1" ht="17.25">
      <c r="A425" s="492" t="s">
        <v>2424</v>
      </c>
      <c r="B425" s="21" t="s">
        <v>595</v>
      </c>
      <c r="C425" s="535" t="s">
        <v>2425</v>
      </c>
      <c r="D425" s="496">
        <v>11</v>
      </c>
      <c r="E425" s="477">
        <v>2000</v>
      </c>
      <c r="F425" s="230">
        <f>IF(E425&lt;&gt;"", ROUNDUP(E425/D425,0),"")</f>
        <v>25568.666666666668</v>
      </c>
      <c r="G425" s="666">
        <f>IF(E425&lt;&gt;"", (SQRT(D425*E425))/300, "")</f>
      </c>
      <c r="H425" s="480">
        <v>53.84</v>
      </c>
      <c r="I425" s="480"/>
      <c r="J425" s="480"/>
      <c r="K425" s="481"/>
      <c r="L425" s="482" t="s">
        <v>830</v>
      </c>
      <c r="M425" s="829">
        <v>45383</v>
      </c>
      <c r="N425" s="490" t="s">
        <v>503</v>
      </c>
      <c r="O425" s="501" t="s">
        <v>2426</v>
      </c>
      <c r="P425" s="259" t="s">
        <v>819</v>
      </c>
      <c r="Q425" s="502"/>
      <c r="R425" s="492"/>
      <c r="S425" s="485">
        <v>329</v>
      </c>
    </row>
    <row x14ac:dyDescent="0.25" r="426" customHeight="1" ht="17.25">
      <c r="A426" s="592" t="s">
        <v>2427</v>
      </c>
      <c r="B426" s="21" t="s">
        <v>2428</v>
      </c>
      <c r="C426" s="685" t="s">
        <v>2429</v>
      </c>
      <c r="D426" s="631">
        <v>35</v>
      </c>
      <c r="E426" s="691">
        <v>2000</v>
      </c>
      <c r="F426" s="263">
        <f>IF(E426&lt;&gt;"", ROUNDUP(E426/D426,0),"")</f>
        <v>25568.666666666668</v>
      </c>
      <c r="G426" s="666">
        <f>IF(E426&lt;&gt;"", (SQRT(D426*E426))/300, "")</f>
      </c>
      <c r="H426" s="32"/>
      <c r="I426" s="32"/>
      <c r="J426" s="32"/>
      <c r="K426" s="481"/>
      <c r="L426" s="482" t="s">
        <v>830</v>
      </c>
      <c r="M426" s="829">
        <v>45383</v>
      </c>
      <c r="N426" s="689" t="s">
        <v>503</v>
      </c>
      <c r="O426" s="589" t="s">
        <v>2430</v>
      </c>
      <c r="P426" s="592" t="s">
        <v>802</v>
      </c>
      <c r="Q426" s="779"/>
      <c r="R426" s="16" t="s">
        <v>2431</v>
      </c>
      <c r="S426" s="485">
        <v>328</v>
      </c>
    </row>
    <row x14ac:dyDescent="0.25" r="427" customHeight="1" ht="17.25">
      <c r="A427" s="259" t="s">
        <v>2432</v>
      </c>
      <c r="B427" s="21" t="s">
        <v>1591</v>
      </c>
      <c r="C427" s="505" t="s">
        <v>2433</v>
      </c>
      <c r="D427" s="496">
        <v>104</v>
      </c>
      <c r="E427" s="478">
        <v>4000</v>
      </c>
      <c r="F427" s="263">
        <f>IF(E427&lt;&gt;"", ROUNDUP(E427/D427,0),"")</f>
        <v>25568.666666666668</v>
      </c>
      <c r="G427" s="666">
        <f>IF(E427&lt;&gt;"", (SQRT(D427*E427))/300, "")</f>
      </c>
      <c r="H427" s="480"/>
      <c r="I427" s="480"/>
      <c r="J427" s="480"/>
      <c r="K427" s="481"/>
      <c r="L427" s="482" t="s">
        <v>830</v>
      </c>
      <c r="M427" s="269">
        <v>45383</v>
      </c>
      <c r="N427" s="270" t="s">
        <v>503</v>
      </c>
      <c r="O427" s="271" t="s">
        <v>2434</v>
      </c>
      <c r="P427" s="249" t="s">
        <v>819</v>
      </c>
      <c r="Q427" s="272"/>
      <c r="R427" s="259" t="s">
        <v>2435</v>
      </c>
      <c r="S427" s="485">
        <v>327</v>
      </c>
    </row>
    <row x14ac:dyDescent="0.25" r="428" customHeight="1" ht="17.25">
      <c r="A428" s="228" t="s">
        <v>2436</v>
      </c>
      <c r="B428" s="462" t="s">
        <v>490</v>
      </c>
      <c r="C428" s="491" t="s">
        <v>2437</v>
      </c>
      <c r="D428" s="226">
        <v>70</v>
      </c>
      <c r="E428" s="478">
        <v>13000</v>
      </c>
      <c r="F428" s="230">
        <f>IF(E428&lt;&gt;"", ROUNDUP(E428/D428,0),"")</f>
        <v>25568.666666666668</v>
      </c>
      <c r="G428" s="479">
        <f>IF(E428&lt;&gt;"", (SQRT(D428*E428))/300, "")</f>
      </c>
      <c r="H428" s="481">
        <v>86.5</v>
      </c>
      <c r="I428" s="481">
        <v>63.7</v>
      </c>
      <c r="J428" s="481">
        <v>49.1</v>
      </c>
      <c r="K428" s="481"/>
      <c r="L428" s="482" t="s">
        <v>830</v>
      </c>
      <c r="M428" s="231">
        <v>45383</v>
      </c>
      <c r="N428" s="223" t="s">
        <v>503</v>
      </c>
      <c r="O428" s="615" t="s">
        <v>2438</v>
      </c>
      <c r="P428" s="228" t="s">
        <v>802</v>
      </c>
      <c r="Q428" s="484" t="s">
        <v>808</v>
      </c>
      <c r="R428" s="25" t="s">
        <v>2439</v>
      </c>
      <c r="S428" s="485">
        <v>326</v>
      </c>
    </row>
    <row x14ac:dyDescent="0.25" r="429" customHeight="1" ht="17.25">
      <c r="A429" s="228" t="s">
        <v>2440</v>
      </c>
      <c r="B429" s="462" t="s">
        <v>1052</v>
      </c>
      <c r="C429" s="491" t="s">
        <v>2441</v>
      </c>
      <c r="D429" s="620">
        <v>2.4</v>
      </c>
      <c r="E429" s="477">
        <v>1100</v>
      </c>
      <c r="F429" s="749">
        <f>IF(E429&lt;&gt;"", ROUNDUP(E429/D429,0),"")</f>
        <v>25568.666666666668</v>
      </c>
      <c r="G429" s="666">
        <f>IF(E429&lt;&gt;"", (SQRT(D429*E429))/300, "")</f>
      </c>
      <c r="H429" s="481"/>
      <c r="I429" s="481"/>
      <c r="J429" s="481"/>
      <c r="K429" s="481"/>
      <c r="L429" s="482" t="s">
        <v>830</v>
      </c>
      <c r="M429" s="231">
        <v>45383</v>
      </c>
      <c r="N429" s="270" t="s">
        <v>503</v>
      </c>
      <c r="O429" s="491" t="s">
        <v>2442</v>
      </c>
      <c r="P429" s="228" t="s">
        <v>819</v>
      </c>
      <c r="Q429" s="484"/>
      <c r="R429" s="21" t="s">
        <v>2443</v>
      </c>
      <c r="S429" s="485">
        <v>325</v>
      </c>
    </row>
    <row x14ac:dyDescent="0.25" r="430" customHeight="1" ht="17.25">
      <c r="A430" s="492" t="s">
        <v>2444</v>
      </c>
      <c r="B430" s="21" t="s">
        <v>1326</v>
      </c>
      <c r="C430" s="535" t="s">
        <v>2445</v>
      </c>
      <c r="D430" s="23">
        <v>13</v>
      </c>
      <c r="E430" s="23">
        <v>2000</v>
      </c>
      <c r="F430" s="230">
        <f>IF(E430&lt;&gt;"", ROUNDUP(E430/D430,0),"")</f>
        <v>25568.666666666668</v>
      </c>
      <c r="G430" s="666">
        <f>IF(E430&lt;&gt;"", (SQRT(D430*E430))/300, "")</f>
      </c>
      <c r="H430" s="480"/>
      <c r="I430" s="480"/>
      <c r="J430" s="480"/>
      <c r="K430" s="481"/>
      <c r="L430" s="750" t="s">
        <v>2446</v>
      </c>
      <c r="M430" s="231">
        <v>45383</v>
      </c>
      <c r="N430" s="490" t="s">
        <v>503</v>
      </c>
      <c r="O430" s="495" t="s">
        <v>2447</v>
      </c>
      <c r="P430" s="259" t="s">
        <v>819</v>
      </c>
      <c r="Q430" s="583"/>
      <c r="R430" s="503" t="s">
        <v>2448</v>
      </c>
      <c r="S430" s="485">
        <v>324</v>
      </c>
    </row>
    <row x14ac:dyDescent="0.25" r="431" customHeight="1" ht="17.25">
      <c r="A431" s="228" t="s">
        <v>2449</v>
      </c>
      <c r="B431" s="21" t="s">
        <v>965</v>
      </c>
      <c r="C431" s="491" t="s">
        <v>2450</v>
      </c>
      <c r="D431" s="477">
        <v>141</v>
      </c>
      <c r="E431" s="478">
        <v>2000</v>
      </c>
      <c r="F431" s="230">
        <f>IF(E431&lt;&gt;"", ROUNDUP(E431/D431,0),"")</f>
        <v>25568.666666666668</v>
      </c>
      <c r="G431" s="666">
        <f>IF(E431&lt;&gt;"", (SQRT(D431*E431))/300, "")</f>
      </c>
      <c r="H431" s="481">
        <v>77.75</v>
      </c>
      <c r="I431" s="481"/>
      <c r="J431" s="481"/>
      <c r="K431" s="481"/>
      <c r="L431" s="482" t="s">
        <v>830</v>
      </c>
      <c r="M431" s="231">
        <v>45383</v>
      </c>
      <c r="N431" s="223" t="s">
        <v>503</v>
      </c>
      <c r="O431" s="491" t="s">
        <v>2451</v>
      </c>
      <c r="P431" s="228" t="s">
        <v>802</v>
      </c>
      <c r="Q431" s="484"/>
      <c r="R431" s="21" t="s">
        <v>2452</v>
      </c>
      <c r="S431" s="485">
        <v>323</v>
      </c>
    </row>
    <row x14ac:dyDescent="0.25" r="432" customHeight="1" ht="17.25">
      <c r="A432" s="228" t="s">
        <v>2453</v>
      </c>
      <c r="B432" s="21" t="s">
        <v>1857</v>
      </c>
      <c r="C432" s="677" t="s">
        <v>2454</v>
      </c>
      <c r="D432" s="477">
        <v>7</v>
      </c>
      <c r="E432" s="477">
        <v>200</v>
      </c>
      <c r="F432" s="230">
        <f>IF(E432&lt;&gt;"", ROUNDUP(E432/D432,0),"")</f>
        <v>25568.666666666668</v>
      </c>
      <c r="G432" s="666">
        <f>IF(E432&lt;&gt;"", (SQRT(D432*E432))/300, "")</f>
      </c>
      <c r="H432" s="481"/>
      <c r="I432" s="481"/>
      <c r="J432" s="481"/>
      <c r="K432" s="481"/>
      <c r="L432" s="482" t="s">
        <v>830</v>
      </c>
      <c r="M432" s="231">
        <v>45383</v>
      </c>
      <c r="N432" s="223" t="s">
        <v>503</v>
      </c>
      <c r="O432" s="615" t="s">
        <v>2455</v>
      </c>
      <c r="P432" s="228" t="s">
        <v>819</v>
      </c>
      <c r="Q432" s="484"/>
      <c r="R432" s="21" t="s">
        <v>2456</v>
      </c>
      <c r="S432" s="485">
        <v>322</v>
      </c>
    </row>
    <row x14ac:dyDescent="0.25" r="433" customHeight="1" ht="17.25">
      <c r="A433" s="228" t="s">
        <v>2457</v>
      </c>
      <c r="B433" s="21" t="s">
        <v>2458</v>
      </c>
      <c r="C433" s="491" t="s">
        <v>2459</v>
      </c>
      <c r="D433" s="477">
        <v>8</v>
      </c>
      <c r="E433" s="477">
        <v>1250</v>
      </c>
      <c r="F433" s="753">
        <f>IF(E433&lt;&gt;"", ROUNDUP(E433/D433,0),"")</f>
        <v>25568.666666666668</v>
      </c>
      <c r="G433" s="666">
        <f>IF(E433&lt;&gt;"", (SQRT(D433*E433))/300, "")</f>
      </c>
      <c r="H433" s="481">
        <v>49.2</v>
      </c>
      <c r="I433" s="481"/>
      <c r="J433" s="481"/>
      <c r="K433" s="481"/>
      <c r="L433" s="482" t="s">
        <v>830</v>
      </c>
      <c r="M433" s="231">
        <v>45383</v>
      </c>
      <c r="N433" s="223" t="s">
        <v>503</v>
      </c>
      <c r="O433" s="608" t="s">
        <v>2460</v>
      </c>
      <c r="P433" s="228" t="s">
        <v>802</v>
      </c>
      <c r="Q433" s="566"/>
      <c r="R433" s="228"/>
      <c r="S433" s="485">
        <v>321</v>
      </c>
    </row>
    <row x14ac:dyDescent="0.25" r="434" customHeight="1" ht="17.25">
      <c r="A434" s="228" t="s">
        <v>2461</v>
      </c>
      <c r="B434" s="462" t="s">
        <v>1052</v>
      </c>
      <c r="C434" s="677" t="s">
        <v>2462</v>
      </c>
      <c r="D434" s="477">
        <v>70</v>
      </c>
      <c r="E434" s="477">
        <v>2000</v>
      </c>
      <c r="F434" s="753">
        <f>IF(E434&lt;&gt;"", ROUNDUP(E434/D434,0),"")</f>
        <v>25568.666666666668</v>
      </c>
      <c r="G434" s="666">
        <f>IF(E434&lt;&gt;"", (SQRT(D434*E434))/300, "")</f>
      </c>
      <c r="H434" s="481"/>
      <c r="I434" s="481"/>
      <c r="J434" s="481"/>
      <c r="K434" s="481"/>
      <c r="L434" s="482" t="s">
        <v>830</v>
      </c>
      <c r="M434" s="231">
        <v>45383</v>
      </c>
      <c r="N434" s="223" t="s">
        <v>503</v>
      </c>
      <c r="O434" s="608" t="s">
        <v>2462</v>
      </c>
      <c r="P434" s="21" t="s">
        <v>819</v>
      </c>
      <c r="Q434" s="566"/>
      <c r="R434" s="228" t="s">
        <v>2463</v>
      </c>
      <c r="S434" s="485">
        <v>320</v>
      </c>
    </row>
    <row x14ac:dyDescent="0.25" r="435" customHeight="1" ht="17.25">
      <c r="A435" s="228" t="s">
        <v>2464</v>
      </c>
      <c r="B435" s="21" t="s">
        <v>1591</v>
      </c>
      <c r="C435" s="491" t="s">
        <v>2465</v>
      </c>
      <c r="D435" s="477">
        <v>104</v>
      </c>
      <c r="E435" s="478">
        <v>4000</v>
      </c>
      <c r="F435" s="753">
        <f>IF(E435&lt;&gt;"", ROUNDUP(E435/D435,0),"")</f>
        <v>25568.666666666668</v>
      </c>
      <c r="G435" s="666">
        <f>IF(E435&lt;&gt;"", (SQRT(D435*E435))/300, "")</f>
      </c>
      <c r="H435" s="481">
        <v>75.7</v>
      </c>
      <c r="I435" s="481"/>
      <c r="J435" s="481"/>
      <c r="K435" s="481"/>
      <c r="L435" s="482" t="s">
        <v>830</v>
      </c>
      <c r="M435" s="231">
        <v>45383</v>
      </c>
      <c r="N435" s="223" t="s">
        <v>503</v>
      </c>
      <c r="O435" s="608" t="s">
        <v>2466</v>
      </c>
      <c r="P435" s="21" t="s">
        <v>819</v>
      </c>
      <c r="Q435" s="566"/>
      <c r="R435" s="228" t="s">
        <v>2467</v>
      </c>
      <c r="S435" s="485">
        <v>319</v>
      </c>
    </row>
    <row x14ac:dyDescent="0.25" r="436" customHeight="1" ht="17.25">
      <c r="A436" s="228" t="s">
        <v>2468</v>
      </c>
      <c r="B436" s="21" t="s">
        <v>2469</v>
      </c>
      <c r="C436" s="33"/>
      <c r="D436" s="477">
        <v>33</v>
      </c>
      <c r="E436" s="477">
        <v>2000</v>
      </c>
      <c r="F436" s="230">
        <f>IF(E436&lt;&gt;"", ROUNDUP(E436/D436,0),"")</f>
        <v>25568.666666666668</v>
      </c>
      <c r="G436" s="666">
        <f>IF(E436&lt;&gt;"", (SQRT(D436*E436))/300, "")</f>
      </c>
      <c r="H436" s="481"/>
      <c r="I436" s="481"/>
      <c r="J436" s="481"/>
      <c r="K436" s="481"/>
      <c r="L436" s="482" t="s">
        <v>830</v>
      </c>
      <c r="M436" s="231">
        <v>45383</v>
      </c>
      <c r="N436" s="223" t="s">
        <v>503</v>
      </c>
      <c r="O436" s="491" t="s">
        <v>2470</v>
      </c>
      <c r="P436" s="21" t="s">
        <v>819</v>
      </c>
      <c r="Q436" s="484"/>
      <c r="R436" s="21" t="s">
        <v>2471</v>
      </c>
      <c r="S436" s="485">
        <v>318</v>
      </c>
    </row>
    <row x14ac:dyDescent="0.25" r="437" customHeight="1" ht="17.25">
      <c r="A437" s="228" t="s">
        <v>2472</v>
      </c>
      <c r="B437" s="21" t="s">
        <v>1220</v>
      </c>
      <c r="C437" s="491" t="s">
        <v>2473</v>
      </c>
      <c r="D437" s="477">
        <v>1</v>
      </c>
      <c r="E437" s="477">
        <v>60</v>
      </c>
      <c r="F437" s="230">
        <f>IF(E437&lt;&gt;"", ROUNDUP(E437/D437,0),"")</f>
        <v>25568.666666666668</v>
      </c>
      <c r="G437" s="666">
        <f>IF(E437&lt;&gt;"", (SQRT(D437*E437))/300, "")</f>
      </c>
      <c r="H437" s="481"/>
      <c r="I437" s="481"/>
      <c r="J437" s="481"/>
      <c r="K437" s="481"/>
      <c r="L437" s="482" t="s">
        <v>830</v>
      </c>
      <c r="M437" s="231">
        <v>45383</v>
      </c>
      <c r="N437" s="223" t="s">
        <v>503</v>
      </c>
      <c r="O437" s="491" t="s">
        <v>2474</v>
      </c>
      <c r="P437" s="21" t="s">
        <v>819</v>
      </c>
      <c r="Q437" s="484"/>
      <c r="R437" s="21" t="s">
        <v>2475</v>
      </c>
      <c r="S437" s="485">
        <v>317</v>
      </c>
    </row>
    <row x14ac:dyDescent="0.25" r="438" customHeight="1" ht="17.25">
      <c r="A438" s="228" t="s">
        <v>2476</v>
      </c>
      <c r="B438" s="21" t="s">
        <v>483</v>
      </c>
      <c r="C438" s="677" t="s">
        <v>2477</v>
      </c>
      <c r="D438" s="620">
        <v>15.5</v>
      </c>
      <c r="E438" s="477">
        <v>2035</v>
      </c>
      <c r="F438" s="230">
        <f>IF(E438&lt;&gt;"", ROUNDUP(E438/D438,0),"")</f>
        <v>25568.666666666668</v>
      </c>
      <c r="G438" s="666">
        <f>IF(E438&lt;&gt;"", (SQRT(D438*E438))/300, "")</f>
      </c>
      <c r="H438" s="481"/>
      <c r="I438" s="481"/>
      <c r="J438" s="481"/>
      <c r="K438" s="481"/>
      <c r="L438" s="482" t="s">
        <v>830</v>
      </c>
      <c r="M438" s="231">
        <v>45352</v>
      </c>
      <c r="N438" s="223" t="s">
        <v>503</v>
      </c>
      <c r="O438" s="615" t="s">
        <v>2478</v>
      </c>
      <c r="P438" s="228" t="s">
        <v>819</v>
      </c>
      <c r="Q438" s="566"/>
      <c r="R438" s="228"/>
      <c r="S438" s="485">
        <v>316</v>
      </c>
    </row>
    <row x14ac:dyDescent="0.25" r="439" customHeight="1" ht="17.25">
      <c r="A439" s="228" t="s">
        <v>2479</v>
      </c>
      <c r="B439" s="21" t="s">
        <v>1326</v>
      </c>
      <c r="C439" s="33"/>
      <c r="D439" s="477">
        <v>3</v>
      </c>
      <c r="E439" s="478">
        <v>134</v>
      </c>
      <c r="F439" s="230">
        <f>IF(E439&lt;&gt;"", ROUNDUP(E439/D439,0),"")</f>
        <v>25568.666666666668</v>
      </c>
      <c r="G439" s="666">
        <f>IF(E439&lt;&gt;"", (SQRT(D439*E439))/300, "")</f>
      </c>
      <c r="H439" s="481"/>
      <c r="I439" s="481"/>
      <c r="J439" s="481"/>
      <c r="K439" s="481"/>
      <c r="L439" s="482" t="s">
        <v>830</v>
      </c>
      <c r="M439" s="231">
        <v>45352</v>
      </c>
      <c r="N439" s="754" t="s">
        <v>470</v>
      </c>
      <c r="O439" s="491" t="s">
        <v>2480</v>
      </c>
      <c r="P439" s="21" t="s">
        <v>819</v>
      </c>
      <c r="Q439" s="484"/>
      <c r="R439" s="21" t="s">
        <v>2481</v>
      </c>
      <c r="S439" s="485">
        <v>315</v>
      </c>
    </row>
    <row x14ac:dyDescent="0.25" r="440" customHeight="1" ht="17.25">
      <c r="A440" s="228" t="s">
        <v>2482</v>
      </c>
      <c r="B440" s="462" t="s">
        <v>494</v>
      </c>
      <c r="C440" s="491" t="s">
        <v>2483</v>
      </c>
      <c r="D440" s="620">
        <v>14.3</v>
      </c>
      <c r="E440" s="478">
        <v>1500</v>
      </c>
      <c r="F440" s="230">
        <f>IF(E440&lt;&gt;"", ROUNDUP(E440/D440,0),"")</f>
        <v>25568.666666666668</v>
      </c>
      <c r="G440" s="666">
        <f>IF(E440&lt;&gt;"", (SQRT(D440*E440))/300, "")</f>
      </c>
      <c r="H440" s="481">
        <v>62.5</v>
      </c>
      <c r="I440" s="481"/>
      <c r="J440" s="481"/>
      <c r="K440" s="481"/>
      <c r="L440" s="482" t="s">
        <v>830</v>
      </c>
      <c r="M440" s="231">
        <v>45352</v>
      </c>
      <c r="N440" s="223" t="s">
        <v>503</v>
      </c>
      <c r="O440" s="491" t="s">
        <v>2483</v>
      </c>
      <c r="P440" s="21" t="s">
        <v>802</v>
      </c>
      <c r="Q440" s="484"/>
      <c r="R440" s="21" t="s">
        <v>2484</v>
      </c>
      <c r="S440" s="485">
        <v>314</v>
      </c>
    </row>
    <row x14ac:dyDescent="0.25" r="441" customHeight="1" ht="17.25">
      <c r="A441" s="228" t="s">
        <v>2485</v>
      </c>
      <c r="B441" s="21" t="s">
        <v>811</v>
      </c>
      <c r="C441" s="491" t="s">
        <v>2486</v>
      </c>
      <c r="D441" s="226">
        <v>180</v>
      </c>
      <c r="E441" s="226">
        <v>6000</v>
      </c>
      <c r="F441" s="230">
        <f>IF(E441&lt;&gt;"", ROUNDUP(E441/D441,0),"")</f>
        <v>25568.666666666668</v>
      </c>
      <c r="G441" s="666">
        <f>IF(E441&lt;&gt;"", (SQRT(D441*E441))/300, "")</f>
      </c>
      <c r="H441" s="481">
        <v>81.3</v>
      </c>
      <c r="I441" s="481"/>
      <c r="J441" s="481"/>
      <c r="K441" s="481"/>
      <c r="L441" s="482" t="s">
        <v>830</v>
      </c>
      <c r="M441" s="231">
        <v>45352</v>
      </c>
      <c r="N441" s="223" t="s">
        <v>503</v>
      </c>
      <c r="O441" s="615" t="s">
        <v>2487</v>
      </c>
      <c r="P441" s="228" t="s">
        <v>802</v>
      </c>
      <c r="Q441" s="566"/>
      <c r="R441" s="228" t="s">
        <v>2488</v>
      </c>
      <c r="S441" s="485">
        <v>313</v>
      </c>
    </row>
    <row x14ac:dyDescent="0.25" r="442" customHeight="1" ht="17.25">
      <c r="A442" s="228" t="s">
        <v>2489</v>
      </c>
      <c r="B442" s="21" t="s">
        <v>864</v>
      </c>
      <c r="C442" s="491" t="s">
        <v>2490</v>
      </c>
      <c r="D442" s="23">
        <v>52</v>
      </c>
      <c r="E442" s="226">
        <v>1200</v>
      </c>
      <c r="F442" s="230">
        <f>IF(E442&lt;&gt;"", ROUNDUP(E442/D442,0),"")</f>
        <v>25568.666666666668</v>
      </c>
      <c r="G442" s="666">
        <f>IF(E442&lt;&gt;"", (SQRT(D442*E442))/300, "")</f>
      </c>
      <c r="H442" s="481">
        <v>67.4</v>
      </c>
      <c r="I442" s="481"/>
      <c r="J442" s="481"/>
      <c r="K442" s="481"/>
      <c r="L442" s="482" t="s">
        <v>830</v>
      </c>
      <c r="M442" s="231">
        <v>45352</v>
      </c>
      <c r="N442" s="223" t="s">
        <v>503</v>
      </c>
      <c r="O442" s="615" t="s">
        <v>2491</v>
      </c>
      <c r="P442" s="228" t="s">
        <v>802</v>
      </c>
      <c r="Q442" s="566"/>
      <c r="R442" s="609" t="s">
        <v>2492</v>
      </c>
      <c r="S442" s="485">
        <v>312</v>
      </c>
    </row>
    <row x14ac:dyDescent="0.25" r="443" customHeight="1" ht="17.25">
      <c r="A443" s="228" t="s">
        <v>2493</v>
      </c>
      <c r="B443" s="21" t="s">
        <v>2494</v>
      </c>
      <c r="C443" s="677" t="s">
        <v>2495</v>
      </c>
      <c r="D443" s="23">
        <v>132</v>
      </c>
      <c r="E443" s="23">
        <v>12000</v>
      </c>
      <c r="F443" s="230">
        <f>IF(E443&lt;&gt;"", ROUNDUP(E443/D443,0),"")</f>
        <v>25568.666666666668</v>
      </c>
      <c r="G443" s="666">
        <f>IF(E443&lt;&gt;"", (SQRT(D443*E443))/300, "")</f>
      </c>
      <c r="H443" s="481">
        <v>73.7</v>
      </c>
      <c r="I443" s="481"/>
      <c r="J443" s="481"/>
      <c r="K443" s="481"/>
      <c r="L443" s="482" t="s">
        <v>830</v>
      </c>
      <c r="M443" s="231">
        <v>45352</v>
      </c>
      <c r="N443" s="223" t="s">
        <v>503</v>
      </c>
      <c r="O443" s="615" t="s">
        <v>2496</v>
      </c>
      <c r="P443" s="228" t="s">
        <v>802</v>
      </c>
      <c r="Q443" s="566"/>
      <c r="R443" s="228" t="s">
        <v>2497</v>
      </c>
      <c r="S443" s="485">
        <v>311</v>
      </c>
    </row>
    <row x14ac:dyDescent="0.25" r="444" customHeight="1" ht="17.25">
      <c r="A444" s="259" t="s">
        <v>2498</v>
      </c>
      <c r="B444" s="462" t="s">
        <v>609</v>
      </c>
      <c r="C444" s="586" t="s">
        <v>2499</v>
      </c>
      <c r="D444" s="512">
        <v>2.7</v>
      </c>
      <c r="E444" s="486">
        <v>560</v>
      </c>
      <c r="F444" s="263">
        <f>IF(E444&lt;&gt;"", ROUNDUP(E444/D444,0),"")</f>
        <v>25568.666666666668</v>
      </c>
      <c r="G444" s="666">
        <f>IF(E444&lt;&gt;"", (SQRT(D444*E444))/300, "")</f>
      </c>
      <c r="H444" s="480"/>
      <c r="I444" s="480"/>
      <c r="J444" s="480"/>
      <c r="K444" s="480"/>
      <c r="L444" s="807" t="s">
        <v>1328</v>
      </c>
      <c r="M444" s="231">
        <v>45352</v>
      </c>
      <c r="N444" s="270" t="s">
        <v>503</v>
      </c>
      <c r="O444" s="271" t="s">
        <v>2500</v>
      </c>
      <c r="P444" s="259" t="s">
        <v>819</v>
      </c>
      <c r="Q444" s="272"/>
      <c r="R444" s="259" t="s">
        <v>2501</v>
      </c>
      <c r="S444" s="485">
        <v>310</v>
      </c>
    </row>
    <row x14ac:dyDescent="0.25" r="445" customHeight="1" ht="17.25">
      <c r="A445" s="492" t="s">
        <v>2502</v>
      </c>
      <c r="B445" s="21" t="s">
        <v>2503</v>
      </c>
      <c r="C445" s="518" t="s">
        <v>2504</v>
      </c>
      <c r="D445" s="529">
        <v>10</v>
      </c>
      <c r="E445" s="762">
        <v>800</v>
      </c>
      <c r="F445" s="263">
        <f>IF(E445&lt;&gt;"", ROUNDUP(E445/D445,0),"")</f>
        <v>25568.666666666668</v>
      </c>
      <c r="G445" s="666">
        <f>IF(E445&lt;&gt;"", (SQRT(D445*E445))/300, "")</f>
      </c>
      <c r="H445" s="480"/>
      <c r="I445" s="480"/>
      <c r="J445" s="480"/>
      <c r="K445" s="481"/>
      <c r="L445" s="482" t="s">
        <v>830</v>
      </c>
      <c r="M445" s="231">
        <v>45352</v>
      </c>
      <c r="N445" s="490" t="s">
        <v>503</v>
      </c>
      <c r="O445" s="501" t="s">
        <v>2505</v>
      </c>
      <c r="P445" s="259" t="s">
        <v>819</v>
      </c>
      <c r="Q445" s="502"/>
      <c r="R445" s="492" t="s">
        <v>2506</v>
      </c>
      <c r="S445" s="485">
        <v>309</v>
      </c>
    </row>
    <row x14ac:dyDescent="0.25" r="446" customHeight="1" ht="17.25">
      <c r="A446" s="492" t="s">
        <v>2507</v>
      </c>
      <c r="B446" s="21" t="s">
        <v>2508</v>
      </c>
      <c r="C446" s="518" t="s">
        <v>2509</v>
      </c>
      <c r="D446" s="477">
        <v>7</v>
      </c>
      <c r="E446" s="478">
        <v>3000</v>
      </c>
      <c r="F446" s="230">
        <f>IF(E446&lt;&gt;"", ROUNDUP(E446/D446,0),"")</f>
        <v>25568.666666666668</v>
      </c>
      <c r="G446" s="666">
        <f>IF(E446&lt;&gt;"", (SQRT(D446*E446))/300, "")</f>
      </c>
      <c r="H446" s="480">
        <v>61.31</v>
      </c>
      <c r="I446" s="480"/>
      <c r="J446" s="480"/>
      <c r="K446" s="481"/>
      <c r="L446" s="482" t="s">
        <v>830</v>
      </c>
      <c r="M446" s="231">
        <v>45352</v>
      </c>
      <c r="N446" s="490" t="s">
        <v>503</v>
      </c>
      <c r="O446" s="495" t="s">
        <v>2510</v>
      </c>
      <c r="P446" s="259" t="s">
        <v>819</v>
      </c>
      <c r="Q446" s="502"/>
      <c r="R446" s="492" t="s">
        <v>2511</v>
      </c>
      <c r="S446" s="485">
        <v>308</v>
      </c>
    </row>
    <row x14ac:dyDescent="0.25" r="447" customHeight="1" ht="17.25">
      <c r="A447" s="492" t="s">
        <v>2512</v>
      </c>
      <c r="B447" s="21" t="s">
        <v>859</v>
      </c>
      <c r="C447" s="518" t="s">
        <v>2513</v>
      </c>
      <c r="D447" s="519">
        <v>0.378</v>
      </c>
      <c r="E447" s="573">
        <v>3</v>
      </c>
      <c r="F447" s="263">
        <f>IF(E447&lt;&gt;"", ROUNDUP(E447/D447,0),"")</f>
        <v>25568.666666666668</v>
      </c>
      <c r="G447" s="666">
        <f>IF(E447&lt;&gt;"", (SQRT(D447*E447))/300, "")</f>
      </c>
      <c r="H447" s="480"/>
      <c r="I447" s="480"/>
      <c r="J447" s="480"/>
      <c r="K447" s="481"/>
      <c r="L447" s="482" t="s">
        <v>830</v>
      </c>
      <c r="M447" s="231">
        <v>45352</v>
      </c>
      <c r="N447" s="490" t="s">
        <v>503</v>
      </c>
      <c r="O447" s="495" t="s">
        <v>2514</v>
      </c>
      <c r="P447" s="259" t="s">
        <v>819</v>
      </c>
      <c r="Q447" s="502"/>
      <c r="R447" s="492" t="s">
        <v>2515</v>
      </c>
      <c r="S447" s="485">
        <v>307</v>
      </c>
    </row>
    <row x14ac:dyDescent="0.25" r="448" customHeight="1" ht="17.25">
      <c r="A448" s="492" t="s">
        <v>2516</v>
      </c>
      <c r="B448" s="21" t="s">
        <v>1788</v>
      </c>
      <c r="C448" s="518" t="s">
        <v>2517</v>
      </c>
      <c r="D448" s="519">
        <v>7.52</v>
      </c>
      <c r="E448" s="496">
        <v>1700</v>
      </c>
      <c r="F448" s="263">
        <f>IF(E448&lt;&gt;"", ROUNDUP(E448/D448,0),"")</f>
        <v>25568.666666666668</v>
      </c>
      <c r="G448" s="666">
        <f>IF(E448&lt;&gt;"", (SQRT(D448*E448))/300, "")</f>
      </c>
      <c r="H448" s="480">
        <v>40.14</v>
      </c>
      <c r="I448" s="480"/>
      <c r="J448" s="480"/>
      <c r="K448" s="481"/>
      <c r="L448" s="482" t="s">
        <v>830</v>
      </c>
      <c r="M448" s="231">
        <v>45352</v>
      </c>
      <c r="N448" s="490" t="s">
        <v>503</v>
      </c>
      <c r="O448" s="495" t="s">
        <v>2518</v>
      </c>
      <c r="P448" s="259" t="s">
        <v>819</v>
      </c>
      <c r="Q448" s="502"/>
      <c r="R448" s="492" t="s">
        <v>2519</v>
      </c>
      <c r="S448" s="485">
        <v>306</v>
      </c>
    </row>
    <row x14ac:dyDescent="0.25" r="449" customHeight="1" ht="17.25">
      <c r="A449" s="228" t="s">
        <v>2520</v>
      </c>
      <c r="B449" s="21" t="s">
        <v>1326</v>
      </c>
      <c r="C449" s="33"/>
      <c r="D449" s="477">
        <v>30</v>
      </c>
      <c r="E449" s="477">
        <v>2010</v>
      </c>
      <c r="F449" s="230">
        <f>IF(E449&lt;&gt;"", ROUNDUP(E449/D449,0),"")</f>
        <v>25568.666666666668</v>
      </c>
      <c r="G449" s="666">
        <f>IF(E449&lt;&gt;"", (SQRT(D449*E449))/300, "")</f>
      </c>
      <c r="H449" s="480"/>
      <c r="I449" s="480"/>
      <c r="J449" s="480"/>
      <c r="K449" s="481"/>
      <c r="L449" s="750" t="s">
        <v>1099</v>
      </c>
      <c r="M449" s="231">
        <v>45352</v>
      </c>
      <c r="N449" s="500" t="s">
        <v>470</v>
      </c>
      <c r="O449" s="491" t="s">
        <v>2521</v>
      </c>
      <c r="P449" s="259" t="s">
        <v>819</v>
      </c>
      <c r="Q449" s="484"/>
      <c r="R449" s="21" t="s">
        <v>2522</v>
      </c>
      <c r="S449" s="485">
        <v>305</v>
      </c>
    </row>
    <row x14ac:dyDescent="0.25" r="450" customHeight="1" ht="17.25">
      <c r="A450" s="228" t="s">
        <v>2523</v>
      </c>
      <c r="B450" s="21" t="s">
        <v>2524</v>
      </c>
      <c r="C450" s="491" t="s">
        <v>2525</v>
      </c>
      <c r="D450" s="477">
        <v>8</v>
      </c>
      <c r="E450" s="478">
        <v>160</v>
      </c>
      <c r="F450" s="230">
        <f>IF(E450&lt;&gt;"", ROUNDUP(E450/D450,0),"")</f>
        <v>25568.666666666668</v>
      </c>
      <c r="G450" s="666">
        <f>IF(E450&lt;&gt;"", (SQRT(D450*E450))/300, "")</f>
      </c>
      <c r="H450" s="480"/>
      <c r="I450" s="480"/>
      <c r="J450" s="480"/>
      <c r="K450" s="481"/>
      <c r="L450" s="482" t="s">
        <v>830</v>
      </c>
      <c r="M450" s="231">
        <v>45352</v>
      </c>
      <c r="N450" s="223" t="s">
        <v>484</v>
      </c>
      <c r="O450" s="491" t="s">
        <v>2526</v>
      </c>
      <c r="P450" s="259" t="s">
        <v>819</v>
      </c>
      <c r="Q450" s="484"/>
      <c r="R450" s="21" t="s">
        <v>2527</v>
      </c>
      <c r="S450" s="485">
        <v>304</v>
      </c>
    </row>
    <row x14ac:dyDescent="0.25" r="451" customHeight="1" ht="17.25">
      <c r="A451" s="492" t="s">
        <v>2528</v>
      </c>
      <c r="B451" s="21" t="s">
        <v>1591</v>
      </c>
      <c r="C451" s="518" t="s">
        <v>1591</v>
      </c>
      <c r="D451" s="496">
        <v>35</v>
      </c>
      <c r="E451" s="478">
        <v>700</v>
      </c>
      <c r="F451" s="819">
        <f>IF(E451&lt;&gt;"", ROUNDUP(E451/D451,0),"")</f>
        <v>25568.666666666668</v>
      </c>
      <c r="G451" s="666">
        <f>IF(E451&lt;&gt;"", (SQRT(D451*E451))/300, "")</f>
      </c>
      <c r="H451" s="480"/>
      <c r="I451" s="480">
        <v>37.9</v>
      </c>
      <c r="J451" s="480"/>
      <c r="K451" s="481"/>
      <c r="L451" s="482" t="s">
        <v>830</v>
      </c>
      <c r="M451" s="231">
        <v>45352</v>
      </c>
      <c r="N451" s="490" t="s">
        <v>503</v>
      </c>
      <c r="O451" s="495" t="s">
        <v>2529</v>
      </c>
      <c r="P451" s="259" t="s">
        <v>819</v>
      </c>
      <c r="Q451" s="502"/>
      <c r="R451" s="492" t="s">
        <v>2530</v>
      </c>
      <c r="S451" s="485">
        <v>303</v>
      </c>
    </row>
    <row x14ac:dyDescent="0.25" r="452" customHeight="1" ht="17.25">
      <c r="A452" s="831" t="s">
        <v>2531</v>
      </c>
      <c r="B452" s="462" t="s">
        <v>479</v>
      </c>
      <c r="C452" s="518" t="s">
        <v>2532</v>
      </c>
      <c r="D452" s="529">
        <v>7</v>
      </c>
      <c r="E452" s="496">
        <v>2000</v>
      </c>
      <c r="F452" s="263">
        <f>IF(E452&lt;&gt;"", ROUNDUP(E452/D452,0),"")</f>
        <v>25568.666666666668</v>
      </c>
      <c r="G452" s="666">
        <f>IF(E452&lt;&gt;"", (SQRT(D452*E452))/300, "")</f>
      </c>
      <c r="H452" s="480"/>
      <c r="I452" s="480"/>
      <c r="J452" s="480"/>
      <c r="K452" s="481"/>
      <c r="L452" s="482" t="s">
        <v>830</v>
      </c>
      <c r="M452" s="231">
        <v>45352</v>
      </c>
      <c r="N452" s="490" t="s">
        <v>503</v>
      </c>
      <c r="O452" s="495" t="s">
        <v>2533</v>
      </c>
      <c r="P452" s="259" t="s">
        <v>819</v>
      </c>
      <c r="Q452" s="502"/>
      <c r="R452" s="492" t="s">
        <v>2534</v>
      </c>
      <c r="S452" s="485">
        <v>302</v>
      </c>
    </row>
    <row x14ac:dyDescent="0.25" r="453" customHeight="1" ht="17.25">
      <c r="A453" s="228" t="s">
        <v>2535</v>
      </c>
      <c r="B453" s="21" t="s">
        <v>2536</v>
      </c>
      <c r="C453" s="491" t="s">
        <v>2537</v>
      </c>
      <c r="D453" s="477">
        <v>7</v>
      </c>
      <c r="E453" s="477">
        <v>2000</v>
      </c>
      <c r="F453" s="230">
        <f>IF(E453&lt;&gt;"", ROUNDUP(E453/D453,0),"")</f>
        <v>25568.666666666668</v>
      </c>
      <c r="G453" s="666">
        <f>IF(E453&lt;&gt;"", (SQRT(D453*E453))/300, "")</f>
      </c>
      <c r="H453" s="480"/>
      <c r="I453" s="480"/>
      <c r="J453" s="480"/>
      <c r="K453" s="481"/>
      <c r="L453" s="482" t="s">
        <v>830</v>
      </c>
      <c r="M453" s="231">
        <v>45352</v>
      </c>
      <c r="N453" s="490" t="s">
        <v>503</v>
      </c>
      <c r="O453" s="491" t="s">
        <v>2538</v>
      </c>
      <c r="P453" s="259" t="s">
        <v>819</v>
      </c>
      <c r="Q453" s="484"/>
      <c r="R453" s="21" t="s">
        <v>2539</v>
      </c>
      <c r="S453" s="485">
        <v>301</v>
      </c>
    </row>
    <row x14ac:dyDescent="0.25" r="454" customHeight="1" ht="17.25">
      <c r="A454" s="228" t="s">
        <v>2540</v>
      </c>
      <c r="B454" s="462" t="s">
        <v>609</v>
      </c>
      <c r="C454" s="33"/>
      <c r="D454" s="477">
        <v>70</v>
      </c>
      <c r="E454" s="477">
        <v>2000</v>
      </c>
      <c r="F454" s="230">
        <f>IF(E454&lt;&gt;"", ROUNDUP(E454/D454,0),"")</f>
        <v>25568.666666666668</v>
      </c>
      <c r="G454" s="666">
        <f>IF(E454&lt;&gt;"", (SQRT(D454*E454))/300, "")</f>
      </c>
      <c r="H454" s="480"/>
      <c r="I454" s="480"/>
      <c r="J454" s="480"/>
      <c r="K454" s="481"/>
      <c r="L454" s="482" t="s">
        <v>830</v>
      </c>
      <c r="M454" s="231">
        <v>45352</v>
      </c>
      <c r="N454" s="490" t="s">
        <v>503</v>
      </c>
      <c r="O454" s="491" t="s">
        <v>2541</v>
      </c>
      <c r="P454" s="259" t="s">
        <v>819</v>
      </c>
      <c r="Q454" s="484"/>
      <c r="R454" s="21" t="s">
        <v>2542</v>
      </c>
      <c r="S454" s="485">
        <v>300</v>
      </c>
    </row>
    <row x14ac:dyDescent="0.25" r="455" customHeight="1" ht="17.25">
      <c r="A455" s="228" t="s">
        <v>2543</v>
      </c>
      <c r="B455" s="21" t="s">
        <v>1996</v>
      </c>
      <c r="C455" s="491" t="s">
        <v>2544</v>
      </c>
      <c r="D455" s="226">
        <v>1200</v>
      </c>
      <c r="E455" s="226">
        <v>20000</v>
      </c>
      <c r="F455" s="794">
        <f>IF(E455&lt;&gt;"", ROUNDUP(E455/D455,0),"")</f>
        <v>25568.666666666668</v>
      </c>
      <c r="G455" s="666">
        <f>IF(E455&lt;&gt;"", (SQRT(D455*E455))/300, "")</f>
      </c>
      <c r="H455" s="480">
        <v>85.5</v>
      </c>
      <c r="I455" s="480"/>
      <c r="J455" s="480">
        <v>38.4</v>
      </c>
      <c r="K455" s="481"/>
      <c r="L455" s="482" t="s">
        <v>830</v>
      </c>
      <c r="M455" s="231">
        <v>45352</v>
      </c>
      <c r="N455" s="490" t="s">
        <v>503</v>
      </c>
      <c r="O455" s="615" t="s">
        <v>2545</v>
      </c>
      <c r="P455" s="259" t="s">
        <v>819</v>
      </c>
      <c r="Q455" s="566"/>
      <c r="R455" s="228"/>
      <c r="S455" s="485">
        <v>299</v>
      </c>
    </row>
    <row x14ac:dyDescent="0.25" r="456" customHeight="1" ht="17.25">
      <c r="A456" s="228" t="s">
        <v>109</v>
      </c>
      <c r="B456" s="21" t="s">
        <v>2546</v>
      </c>
      <c r="C456" s="491" t="s">
        <v>2547</v>
      </c>
      <c r="D456" s="631">
        <v>7</v>
      </c>
      <c r="E456" s="631">
        <v>2500</v>
      </c>
      <c r="F456" s="263">
        <f>IF(E456&lt;&gt;"", ROUNDUP(E456/D456,0),"")</f>
        <v>25568.666666666668</v>
      </c>
      <c r="G456" s="666">
        <f>IF(E456&lt;&gt;"", (SQRT(D456*E456))/300, "")</f>
      </c>
      <c r="H456" s="480"/>
      <c r="I456" s="480"/>
      <c r="J456" s="480"/>
      <c r="K456" s="481"/>
      <c r="L456" s="482" t="s">
        <v>830</v>
      </c>
      <c r="M456" s="231">
        <v>45352</v>
      </c>
      <c r="N456" s="223" t="s">
        <v>503</v>
      </c>
      <c r="O456" s="491" t="s">
        <v>2548</v>
      </c>
      <c r="P456" s="259" t="s">
        <v>819</v>
      </c>
      <c r="Q456" s="484"/>
      <c r="R456" s="21" t="s">
        <v>2549</v>
      </c>
      <c r="S456" s="485">
        <v>298</v>
      </c>
    </row>
    <row x14ac:dyDescent="0.25" r="457" customHeight="1" ht="17.25">
      <c r="A457" s="228" t="s">
        <v>320</v>
      </c>
      <c r="B457" s="21" t="s">
        <v>523</v>
      </c>
      <c r="C457" s="491" t="s">
        <v>1389</v>
      </c>
      <c r="D457" s="226">
        <v>2500</v>
      </c>
      <c r="E457" s="478">
        <v>40000</v>
      </c>
      <c r="F457" s="832">
        <f>IF(E457&lt;&gt;"", ROUNDUP(E457/D457,0),"")</f>
        <v>25568.666666666668</v>
      </c>
      <c r="G457" s="479">
        <f>IF(E457&lt;&gt;"", (SQRT(D457*E457))/300, "")</f>
      </c>
      <c r="H457" s="481">
        <v>86.8</v>
      </c>
      <c r="I457" s="481">
        <v>68.5</v>
      </c>
      <c r="J457" s="481">
        <v>59.5</v>
      </c>
      <c r="K457" s="481"/>
      <c r="L457" s="482" t="s">
        <v>830</v>
      </c>
      <c r="M457" s="231">
        <v>45352</v>
      </c>
      <c r="N457" s="223" t="s">
        <v>503</v>
      </c>
      <c r="O457" s="833" t="s">
        <v>2550</v>
      </c>
      <c r="P457" s="228" t="s">
        <v>802</v>
      </c>
      <c r="Q457" s="484" t="s">
        <v>808</v>
      </c>
      <c r="R457" s="21" t="s">
        <v>2551</v>
      </c>
      <c r="S457" s="485">
        <v>297</v>
      </c>
    </row>
    <row x14ac:dyDescent="0.25" r="458" customHeight="1" ht="17.25">
      <c r="A458" s="228" t="s">
        <v>2552</v>
      </c>
      <c r="B458" s="21" t="s">
        <v>474</v>
      </c>
      <c r="C458" s="33"/>
      <c r="D458" s="477">
        <v>15</v>
      </c>
      <c r="E458" s="477">
        <v>8000</v>
      </c>
      <c r="F458" s="230">
        <f>IF(E458&lt;&gt;"", ROUNDUP(E458/D458,0),"")</f>
        <v>25568.666666666668</v>
      </c>
      <c r="G458" s="666">
        <f>IF(E458&lt;&gt;"", (SQRT(D458*E458))/300, "")</f>
      </c>
      <c r="H458" s="481">
        <v>64.2</v>
      </c>
      <c r="I458" s="481"/>
      <c r="J458" s="481"/>
      <c r="K458" s="481"/>
      <c r="L458" s="482" t="s">
        <v>830</v>
      </c>
      <c r="M458" s="718">
        <v>45323</v>
      </c>
      <c r="N458" s="500" t="s">
        <v>503</v>
      </c>
      <c r="O458" s="615" t="s">
        <v>2553</v>
      </c>
      <c r="P458" s="228" t="s">
        <v>819</v>
      </c>
      <c r="Q458" s="566"/>
      <c r="R458" s="228"/>
      <c r="S458" s="485">
        <v>296</v>
      </c>
    </row>
    <row x14ac:dyDescent="0.25" r="459" customHeight="1" ht="17.25">
      <c r="A459" s="228" t="s">
        <v>2554</v>
      </c>
      <c r="B459" s="21" t="s">
        <v>2555</v>
      </c>
      <c r="C459" s="677" t="s">
        <v>2556</v>
      </c>
      <c r="D459" s="477">
        <v>7</v>
      </c>
      <c r="E459" s="477">
        <v>1020</v>
      </c>
      <c r="F459" s="230">
        <f>IF(E459&lt;&gt;"", ROUNDUP(E459/D459,0),"")</f>
        <v>25568.666666666668</v>
      </c>
      <c r="G459" s="666">
        <f>IF(E459&lt;&gt;"", (SQRT(D459*E459))/300, "")</f>
      </c>
      <c r="H459" s="480"/>
      <c r="I459" s="480"/>
      <c r="J459" s="480"/>
      <c r="K459" s="481"/>
      <c r="L459" s="482" t="s">
        <v>830</v>
      </c>
      <c r="M459" s="718">
        <v>45323</v>
      </c>
      <c r="N459" s="490" t="s">
        <v>503</v>
      </c>
      <c r="O459" s="491" t="s">
        <v>2557</v>
      </c>
      <c r="P459" s="259" t="s">
        <v>819</v>
      </c>
      <c r="Q459" s="566"/>
      <c r="R459" s="228" t="s">
        <v>2558</v>
      </c>
      <c r="S459" s="485">
        <v>295</v>
      </c>
    </row>
    <row x14ac:dyDescent="0.25" r="460" customHeight="1" ht="17.25">
      <c r="A460" s="228" t="s">
        <v>2559</v>
      </c>
      <c r="B460" s="462" t="s">
        <v>828</v>
      </c>
      <c r="C460" s="677"/>
      <c r="D460" s="477">
        <v>7</v>
      </c>
      <c r="E460" s="477">
        <v>300</v>
      </c>
      <c r="F460" s="749">
        <f>IF(E460&lt;&gt;"", ROUNDUP(E460/D460,0),"")</f>
        <v>25568.666666666668</v>
      </c>
      <c r="G460" s="666">
        <f>IF(E460&lt;&gt;"", (SQRT(D460*E460))/300, "")</f>
      </c>
      <c r="H460" s="656">
        <v>35</v>
      </c>
      <c r="I460" s="480"/>
      <c r="J460" s="480"/>
      <c r="K460" s="481"/>
      <c r="L460" s="482" t="s">
        <v>830</v>
      </c>
      <c r="M460" s="718">
        <v>45323</v>
      </c>
      <c r="N460" s="490" t="s">
        <v>503</v>
      </c>
      <c r="O460" s="491" t="s">
        <v>2560</v>
      </c>
      <c r="P460" s="259" t="s">
        <v>819</v>
      </c>
      <c r="Q460" s="566"/>
      <c r="R460" s="228" t="s">
        <v>2561</v>
      </c>
      <c r="S460" s="485">
        <v>294</v>
      </c>
    </row>
    <row x14ac:dyDescent="0.25" r="461" customHeight="1" ht="17.25">
      <c r="A461" s="228" t="s">
        <v>2562</v>
      </c>
      <c r="B461" s="462" t="s">
        <v>828</v>
      </c>
      <c r="C461" s="677"/>
      <c r="D461" s="477">
        <v>14</v>
      </c>
      <c r="E461" s="477">
        <v>300</v>
      </c>
      <c r="F461" s="749">
        <f>IF(E461&lt;&gt;"", ROUNDUP(E461/D461,0),"")</f>
        <v>25568.666666666668</v>
      </c>
      <c r="G461" s="666">
        <f>IF(E461&lt;&gt;"", (SQRT(D461*E461))/300, "")</f>
      </c>
      <c r="H461" s="480">
        <v>49.5</v>
      </c>
      <c r="I461" s="480"/>
      <c r="J461" s="480"/>
      <c r="K461" s="481"/>
      <c r="L461" s="482" t="s">
        <v>830</v>
      </c>
      <c r="M461" s="718">
        <v>45323</v>
      </c>
      <c r="N461" s="490" t="s">
        <v>503</v>
      </c>
      <c r="O461" s="491" t="s">
        <v>2560</v>
      </c>
      <c r="P461" s="259" t="s">
        <v>819</v>
      </c>
      <c r="Q461" s="566"/>
      <c r="R461" s="228" t="s">
        <v>2563</v>
      </c>
      <c r="S461" s="485">
        <v>293</v>
      </c>
    </row>
    <row x14ac:dyDescent="0.25" r="462" customHeight="1" ht="17.25">
      <c r="A462" s="228" t="s">
        <v>2564</v>
      </c>
      <c r="B462" s="21" t="s">
        <v>834</v>
      </c>
      <c r="C462" s="677" t="s">
        <v>2565</v>
      </c>
      <c r="D462" s="477">
        <v>70</v>
      </c>
      <c r="E462" s="477">
        <v>2000</v>
      </c>
      <c r="F462" s="749">
        <f>IF(E462&lt;&gt;"", ROUNDUP(E462/D462,0),"")</f>
        <v>25568.666666666668</v>
      </c>
      <c r="G462" s="666">
        <f>IF(E462&lt;&gt;"", (SQRT(D462*E462))/300, "")</f>
      </c>
      <c r="H462" s="480"/>
      <c r="I462" s="480"/>
      <c r="J462" s="480"/>
      <c r="K462" s="481"/>
      <c r="L462" s="482" t="s">
        <v>830</v>
      </c>
      <c r="M462" s="718">
        <v>45323</v>
      </c>
      <c r="N462" s="490" t="s">
        <v>503</v>
      </c>
      <c r="O462" s="491" t="s">
        <v>2474</v>
      </c>
      <c r="P462" s="259" t="s">
        <v>819</v>
      </c>
      <c r="Q462" s="566"/>
      <c r="R462" s="228"/>
      <c r="S462" s="485">
        <v>292</v>
      </c>
    </row>
    <row x14ac:dyDescent="0.25" r="463" customHeight="1" ht="17.25">
      <c r="A463" s="228" t="s">
        <v>2566</v>
      </c>
      <c r="B463" s="21" t="s">
        <v>1718</v>
      </c>
      <c r="C463" s="677" t="s">
        <v>2567</v>
      </c>
      <c r="D463" s="477">
        <v>1400</v>
      </c>
      <c r="E463" s="478">
        <v>20000</v>
      </c>
      <c r="F463" s="715">
        <f>IF(E463&lt;&gt;"", ROUNDUP(E463/D463,0),"")</f>
        <v>25568.666666666668</v>
      </c>
      <c r="G463" s="666">
        <f>IF(E463&lt;&gt;"", (SQRT(D463*E463))/300, "")</f>
      </c>
      <c r="H463" s="480"/>
      <c r="I463" s="480"/>
      <c r="J463" s="480"/>
      <c r="K463" s="481"/>
      <c r="L463" s="482" t="s">
        <v>830</v>
      </c>
      <c r="M463" s="718">
        <v>45323</v>
      </c>
      <c r="N463" s="270" t="s">
        <v>484</v>
      </c>
      <c r="O463" s="615" t="s">
        <v>2568</v>
      </c>
      <c r="P463" s="259" t="s">
        <v>2569</v>
      </c>
      <c r="Q463" s="566"/>
      <c r="R463" s="228" t="s">
        <v>2570</v>
      </c>
      <c r="S463" s="485">
        <v>291</v>
      </c>
    </row>
    <row x14ac:dyDescent="0.25" r="464" customHeight="1" ht="17.25">
      <c r="A464" s="492" t="s">
        <v>2571</v>
      </c>
      <c r="B464" s="21" t="s">
        <v>1591</v>
      </c>
      <c r="C464" s="535" t="s">
        <v>2572</v>
      </c>
      <c r="D464" s="496">
        <v>13</v>
      </c>
      <c r="E464" s="496">
        <v>1000</v>
      </c>
      <c r="F464" s="263">
        <f>IF(E464&lt;&gt;"", ROUNDUP(E464/D464,0),"")</f>
        <v>25568.666666666668</v>
      </c>
      <c r="G464" s="666">
        <f>IF(E464&lt;&gt;"", (SQRT(D464*E464))/300, "")</f>
      </c>
      <c r="H464" s="509"/>
      <c r="I464" s="509"/>
      <c r="J464" s="509"/>
      <c r="K464" s="481"/>
      <c r="L464" s="482" t="s">
        <v>830</v>
      </c>
      <c r="M464" s="718">
        <v>45323</v>
      </c>
      <c r="N464" s="490" t="s">
        <v>503</v>
      </c>
      <c r="O464" s="495" t="s">
        <v>2573</v>
      </c>
      <c r="P464" s="492" t="s">
        <v>819</v>
      </c>
      <c r="Q464" s="502"/>
      <c r="R464" s="492" t="s">
        <v>2574</v>
      </c>
      <c r="S464" s="485">
        <v>290</v>
      </c>
    </row>
    <row x14ac:dyDescent="0.25" r="465" customHeight="1" ht="17.25">
      <c r="A465" s="228" t="s">
        <v>2575</v>
      </c>
      <c r="B465" s="21" t="s">
        <v>528</v>
      </c>
      <c r="C465" s="677" t="s">
        <v>2576</v>
      </c>
      <c r="D465" s="620">
        <v>1.8</v>
      </c>
      <c r="E465" s="477">
        <v>180</v>
      </c>
      <c r="F465" s="715">
        <f>IF(E465&lt;&gt;"", ROUNDUP(E465/D465,0),"")</f>
        <v>25568.666666666668</v>
      </c>
      <c r="G465" s="666">
        <f>IF(E465&lt;&gt;"", (SQRT(D465*E465))/300, "")</f>
      </c>
      <c r="H465" s="480"/>
      <c r="I465" s="480"/>
      <c r="J465" s="480"/>
      <c r="K465" s="509"/>
      <c r="L465" s="510" t="s">
        <v>2577</v>
      </c>
      <c r="M465" s="718">
        <v>45323</v>
      </c>
      <c r="N465" s="490" t="s">
        <v>503</v>
      </c>
      <c r="O465" s="615" t="s">
        <v>670</v>
      </c>
      <c r="P465" s="259" t="s">
        <v>819</v>
      </c>
      <c r="Q465" s="566"/>
      <c r="R465" s="228" t="s">
        <v>2578</v>
      </c>
      <c r="S465" s="485">
        <v>289</v>
      </c>
    </row>
    <row x14ac:dyDescent="0.25" r="466" customHeight="1" ht="17.25">
      <c r="A466" s="228" t="s">
        <v>2579</v>
      </c>
      <c r="B466" s="21" t="s">
        <v>2469</v>
      </c>
      <c r="C466" s="491" t="s">
        <v>2580</v>
      </c>
      <c r="D466" s="630">
        <v>34.2</v>
      </c>
      <c r="E466" s="631">
        <v>1000</v>
      </c>
      <c r="F466" s="263">
        <f>IF(E466&lt;&gt;"", ROUNDUP(E466/D466,0),"")</f>
        <v>25568.666666666668</v>
      </c>
      <c r="G466" s="666">
        <f>IF(E466&lt;&gt;"", (SQRT(D466*E466))/300, "")</f>
      </c>
      <c r="H466" s="480"/>
      <c r="I466" s="480"/>
      <c r="J466" s="480"/>
      <c r="K466" s="481"/>
      <c r="L466" s="482" t="s">
        <v>830</v>
      </c>
      <c r="M466" s="718">
        <v>45323</v>
      </c>
      <c r="N466" s="223" t="s">
        <v>503</v>
      </c>
      <c r="O466" s="491" t="s">
        <v>2470</v>
      </c>
      <c r="P466" s="259" t="s">
        <v>819</v>
      </c>
      <c r="Q466" s="484"/>
      <c r="R466" s="21" t="s">
        <v>2581</v>
      </c>
      <c r="S466" s="485">
        <v>288</v>
      </c>
    </row>
    <row x14ac:dyDescent="0.25" r="467" customHeight="1" ht="17.25">
      <c r="A467" s="228" t="s">
        <v>625</v>
      </c>
      <c r="B467" s="21" t="s">
        <v>2582</v>
      </c>
      <c r="C467" s="677"/>
      <c r="D467" s="477">
        <v>15</v>
      </c>
      <c r="E467" s="477">
        <v>4300</v>
      </c>
      <c r="F467" s="715">
        <f>IF(E467&lt;&gt;"", ROUNDUP(E467/D467,0),"")</f>
        <v>25568.666666666668</v>
      </c>
      <c r="G467" s="666">
        <f>IF(E467&lt;&gt;"", (SQRT(D467*E467))/300, "")</f>
      </c>
      <c r="H467" s="480"/>
      <c r="I467" s="480"/>
      <c r="J467" s="480"/>
      <c r="K467" s="481"/>
      <c r="L467" s="750" t="s">
        <v>1328</v>
      </c>
      <c r="M467" s="718">
        <v>45323</v>
      </c>
      <c r="N467" s="490" t="s">
        <v>503</v>
      </c>
      <c r="O467" s="615" t="s">
        <v>626</v>
      </c>
      <c r="P467" s="259" t="s">
        <v>819</v>
      </c>
      <c r="Q467" s="566"/>
      <c r="R467" s="228" t="s">
        <v>2583</v>
      </c>
      <c r="S467" s="485">
        <v>287</v>
      </c>
    </row>
    <row x14ac:dyDescent="0.25" r="468" customHeight="1" ht="17.25">
      <c r="A468" s="492" t="s">
        <v>2584</v>
      </c>
      <c r="B468" s="462" t="s">
        <v>1502</v>
      </c>
      <c r="C468" s="834"/>
      <c r="D468" s="496">
        <v>530</v>
      </c>
      <c r="E468" s="573">
        <v>300</v>
      </c>
      <c r="F468" s="651">
        <f>IF(E468&lt;&gt;"", ROUNDUP(E468/D468,0),"")</f>
        <v>25568.666666666668</v>
      </c>
      <c r="G468" s="666">
        <f>IF(E468&lt;&gt;"", (SQRT(D468*E468))/300, "")</f>
      </c>
      <c r="H468" s="480"/>
      <c r="I468" s="480"/>
      <c r="J468" s="480"/>
      <c r="K468" s="481"/>
      <c r="L468" s="482" t="s">
        <v>830</v>
      </c>
      <c r="M468" s="718">
        <v>45323</v>
      </c>
      <c r="N468" s="500" t="s">
        <v>470</v>
      </c>
      <c r="O468" s="495" t="s">
        <v>2585</v>
      </c>
      <c r="P468" s="259" t="s">
        <v>819</v>
      </c>
      <c r="Q468" s="502"/>
      <c r="R468" s="492" t="s">
        <v>2586</v>
      </c>
      <c r="S468" s="485">
        <v>286</v>
      </c>
    </row>
    <row x14ac:dyDescent="0.25" r="469" customHeight="1" ht="17.25">
      <c r="A469" s="492" t="s">
        <v>2587</v>
      </c>
      <c r="B469" s="462" t="s">
        <v>1502</v>
      </c>
      <c r="C469" s="834"/>
      <c r="D469" s="496">
        <v>175</v>
      </c>
      <c r="E469" s="573">
        <v>300</v>
      </c>
      <c r="F469" s="651">
        <f>IF(E469&lt;&gt;"", ROUNDUP(E469/D469,0),"")</f>
        <v>25568.666666666668</v>
      </c>
      <c r="G469" s="666">
        <f>IF(E469&lt;&gt;"", (SQRT(D469*E469))/300, "")</f>
      </c>
      <c r="H469" s="480"/>
      <c r="I469" s="480"/>
      <c r="J469" s="480"/>
      <c r="K469" s="481"/>
      <c r="L469" s="482" t="s">
        <v>830</v>
      </c>
      <c r="M469" s="718">
        <v>45323</v>
      </c>
      <c r="N469" s="500" t="s">
        <v>470</v>
      </c>
      <c r="O469" s="495" t="s">
        <v>2585</v>
      </c>
      <c r="P469" s="259" t="s">
        <v>819</v>
      </c>
      <c r="Q469" s="502"/>
      <c r="R469" s="492" t="s">
        <v>2588</v>
      </c>
      <c r="S469" s="485">
        <v>285</v>
      </c>
    </row>
    <row x14ac:dyDescent="0.25" r="470" customHeight="1" ht="17.25">
      <c r="A470" s="228" t="s">
        <v>2589</v>
      </c>
      <c r="B470" s="21" t="s">
        <v>965</v>
      </c>
      <c r="C470" s="491" t="s">
        <v>1297</v>
      </c>
      <c r="D470" s="478">
        <v>7</v>
      </c>
      <c r="E470" s="478">
        <v>3000</v>
      </c>
      <c r="F470" s="230">
        <f>IF(E470&lt;&gt;"", ROUNDUP(E470/D470,0),"")</f>
        <v>25568.666666666668</v>
      </c>
      <c r="G470" s="666">
        <f>IF(E470&lt;&gt;"", (SQRT(D470*E470))/300, "")</f>
      </c>
      <c r="H470" s="480">
        <v>72.2</v>
      </c>
      <c r="I470" s="480"/>
      <c r="J470" s="480"/>
      <c r="K470" s="481"/>
      <c r="L470" s="482" t="s">
        <v>830</v>
      </c>
      <c r="M470" s="231">
        <v>45323</v>
      </c>
      <c r="N470" s="490" t="s">
        <v>503</v>
      </c>
      <c r="O470" s="491" t="s">
        <v>2590</v>
      </c>
      <c r="P470" s="259" t="s">
        <v>819</v>
      </c>
      <c r="Q470" s="566"/>
      <c r="R470" s="228" t="s">
        <v>2591</v>
      </c>
      <c r="S470" s="485">
        <v>284</v>
      </c>
    </row>
    <row x14ac:dyDescent="0.25" r="471" customHeight="1" ht="17.25">
      <c r="A471" s="228" t="s">
        <v>2592</v>
      </c>
      <c r="B471" s="21" t="s">
        <v>965</v>
      </c>
      <c r="C471" s="491" t="s">
        <v>2593</v>
      </c>
      <c r="D471" s="478">
        <v>300</v>
      </c>
      <c r="E471" s="478">
        <v>8000</v>
      </c>
      <c r="F471" s="230">
        <f>IF(E471&lt;&gt;"", ROUNDUP(E471/D471,0),"")</f>
        <v>25568.666666666668</v>
      </c>
      <c r="G471" s="479">
        <f>IF(E471&lt;&gt;"", (SQRT(D471*E471))/300, "")</f>
      </c>
      <c r="H471" s="481">
        <v>81.2</v>
      </c>
      <c r="I471" s="481"/>
      <c r="J471" s="481"/>
      <c r="K471" s="481"/>
      <c r="L471" s="482" t="s">
        <v>830</v>
      </c>
      <c r="M471" s="231">
        <v>45323</v>
      </c>
      <c r="N471" s="223" t="s">
        <v>503</v>
      </c>
      <c r="O471" s="491" t="s">
        <v>2590</v>
      </c>
      <c r="P471" s="228" t="s">
        <v>819</v>
      </c>
      <c r="Q471" s="566" t="s">
        <v>808</v>
      </c>
      <c r="R471" s="228" t="s">
        <v>2594</v>
      </c>
      <c r="S471" s="485">
        <v>283</v>
      </c>
    </row>
    <row x14ac:dyDescent="0.25" r="472" customHeight="1" ht="17.25">
      <c r="A472" s="228" t="s">
        <v>2595</v>
      </c>
      <c r="B472" s="21" t="s">
        <v>2596</v>
      </c>
      <c r="C472" s="33"/>
      <c r="D472" s="477">
        <v>40</v>
      </c>
      <c r="E472" s="647"/>
      <c r="F472" s="230">
        <f>IF(E472&lt;&gt;"", ROUNDUP(E472/D472,0),"")</f>
        <v>25568.666666666668</v>
      </c>
      <c r="G472" s="479">
        <f>IF(E472&lt;&gt;"", (SQRT(D472*E472))/300, "")</f>
      </c>
      <c r="H472" s="480"/>
      <c r="I472" s="480"/>
      <c r="J472" s="480"/>
      <c r="K472" s="481"/>
      <c r="L472" s="482" t="s">
        <v>830</v>
      </c>
      <c r="M472" s="231">
        <v>45323</v>
      </c>
      <c r="N472" s="223" t="s">
        <v>503</v>
      </c>
      <c r="O472" s="491" t="s">
        <v>2597</v>
      </c>
      <c r="P472" s="259" t="s">
        <v>819</v>
      </c>
      <c r="Q472" s="484"/>
      <c r="R472" s="21" t="s">
        <v>2598</v>
      </c>
      <c r="S472" s="485">
        <v>282</v>
      </c>
    </row>
    <row x14ac:dyDescent="0.25" r="473" customHeight="1" ht="17.25">
      <c r="A473" s="228" t="s">
        <v>2599</v>
      </c>
      <c r="B473" s="21" t="s">
        <v>1326</v>
      </c>
      <c r="C473" s="33"/>
      <c r="D473" s="478">
        <v>20</v>
      </c>
      <c r="E473" s="647"/>
      <c r="F473" s="230">
        <f>IF(E473&lt;&gt;"", ROUNDUP(E473/D473,0),"")</f>
        <v>25568.666666666668</v>
      </c>
      <c r="G473" s="479">
        <f>IF(E473&lt;&gt;"", (SQRT(D473*E473))/300, "")</f>
      </c>
      <c r="H473" s="480"/>
      <c r="I473" s="480"/>
      <c r="J473" s="480"/>
      <c r="K473" s="481"/>
      <c r="L473" s="482" t="s">
        <v>830</v>
      </c>
      <c r="M473" s="231">
        <v>45323</v>
      </c>
      <c r="N473" s="754" t="s">
        <v>470</v>
      </c>
      <c r="O473" s="491" t="s">
        <v>2600</v>
      </c>
      <c r="P473" s="259" t="s">
        <v>819</v>
      </c>
      <c r="Q473" s="484"/>
      <c r="R473" s="21" t="s">
        <v>2601</v>
      </c>
      <c r="S473" s="485">
        <v>281</v>
      </c>
    </row>
    <row x14ac:dyDescent="0.25" r="474" customHeight="1" ht="17.25">
      <c r="A474" s="228" t="s">
        <v>2602</v>
      </c>
      <c r="B474" s="21" t="s">
        <v>1293</v>
      </c>
      <c r="C474" s="491" t="s">
        <v>2603</v>
      </c>
      <c r="D474" s="477">
        <v>7</v>
      </c>
      <c r="E474" s="477">
        <v>4500</v>
      </c>
      <c r="F474" s="230">
        <f>IF(E474&lt;&gt;"", ROUNDUP(E474/D474,0),"")</f>
        <v>25568.666666666668</v>
      </c>
      <c r="G474" s="666">
        <f>IF(E474&lt;&gt;"", (SQRT(D474*E474))/300, "")</f>
      </c>
      <c r="H474" s="480">
        <v>63.1</v>
      </c>
      <c r="I474" s="480"/>
      <c r="J474" s="480"/>
      <c r="K474" s="481"/>
      <c r="L474" s="482" t="s">
        <v>830</v>
      </c>
      <c r="M474" s="231">
        <v>45323</v>
      </c>
      <c r="N474" s="223" t="s">
        <v>503</v>
      </c>
      <c r="O474" s="491" t="s">
        <v>2418</v>
      </c>
      <c r="P474" s="259" t="s">
        <v>819</v>
      </c>
      <c r="Q474" s="484"/>
      <c r="R474" s="21"/>
      <c r="S474" s="485">
        <v>280</v>
      </c>
    </row>
    <row x14ac:dyDescent="0.25" r="475" customHeight="1" ht="17.25">
      <c r="A475" s="228" t="s">
        <v>2604</v>
      </c>
      <c r="B475" s="21" t="s">
        <v>1293</v>
      </c>
      <c r="C475" s="491" t="s">
        <v>2605</v>
      </c>
      <c r="D475" s="477">
        <v>21</v>
      </c>
      <c r="E475" s="477">
        <v>5000</v>
      </c>
      <c r="F475" s="230">
        <f>IF(E475&lt;&gt;"", ROUNDUP(E475/D475,0),"")</f>
        <v>25568.666666666668</v>
      </c>
      <c r="G475" s="666">
        <f>IF(E475&lt;&gt;"", (SQRT(D475*E475))/300, "")</f>
      </c>
      <c r="H475" s="480">
        <v>73.5</v>
      </c>
      <c r="I475" s="480"/>
      <c r="J475" s="656">
        <v>34</v>
      </c>
      <c r="K475" s="481"/>
      <c r="L475" s="482" t="s">
        <v>830</v>
      </c>
      <c r="M475" s="231">
        <v>45323</v>
      </c>
      <c r="N475" s="223" t="s">
        <v>503</v>
      </c>
      <c r="O475" s="491" t="s">
        <v>2418</v>
      </c>
      <c r="P475" s="259" t="s">
        <v>819</v>
      </c>
      <c r="Q475" s="484"/>
      <c r="R475" s="21" t="s">
        <v>2606</v>
      </c>
      <c r="S475" s="485">
        <v>279</v>
      </c>
    </row>
    <row x14ac:dyDescent="0.25" r="476" customHeight="1" ht="17.25">
      <c r="A476" s="228" t="s">
        <v>2607</v>
      </c>
      <c r="B476" s="462" t="s">
        <v>828</v>
      </c>
      <c r="C476" s="491" t="s">
        <v>2608</v>
      </c>
      <c r="D476" s="477">
        <v>7</v>
      </c>
      <c r="E476" s="478">
        <v>6000</v>
      </c>
      <c r="F476" s="230">
        <f>IF(E476&lt;&gt;"", ROUNDUP(E476/D476,0),"")</f>
        <v>25568.666666666668</v>
      </c>
      <c r="G476" s="666">
        <f>IF(E476&lt;&gt;"", (SQRT(D476*E476))/300, "")</f>
      </c>
      <c r="H476" s="480">
        <v>64.3</v>
      </c>
      <c r="I476" s="480">
        <v>33.7</v>
      </c>
      <c r="J476" s="480"/>
      <c r="K476" s="481"/>
      <c r="L476" s="482" t="s">
        <v>830</v>
      </c>
      <c r="M476" s="231">
        <v>45323</v>
      </c>
      <c r="N476" s="223" t="s">
        <v>503</v>
      </c>
      <c r="O476" s="491" t="s">
        <v>2609</v>
      </c>
      <c r="P476" s="259" t="s">
        <v>819</v>
      </c>
      <c r="Q476" s="484"/>
      <c r="R476" s="21" t="s">
        <v>2610</v>
      </c>
      <c r="S476" s="485">
        <v>278</v>
      </c>
    </row>
    <row x14ac:dyDescent="0.25" r="477" customHeight="1" ht="17.25">
      <c r="A477" s="228" t="s">
        <v>2611</v>
      </c>
      <c r="B477" s="462" t="s">
        <v>828</v>
      </c>
      <c r="C477" s="491" t="s">
        <v>2038</v>
      </c>
      <c r="D477" s="478">
        <v>200</v>
      </c>
      <c r="E477" s="478">
        <v>30000</v>
      </c>
      <c r="F477" s="230">
        <f>IF(E477&lt;&gt;"", ROUNDUP(E477/D477,0),"")</f>
        <v>25568.666666666668</v>
      </c>
      <c r="G477" s="479">
        <f>IF(E477&lt;&gt;"", (SQRT(D477*E477))/300, "")</f>
      </c>
      <c r="H477" s="481">
        <v>85.9</v>
      </c>
      <c r="I477" s="585">
        <v>69</v>
      </c>
      <c r="J477" s="481">
        <v>46.2</v>
      </c>
      <c r="K477" s="481"/>
      <c r="L477" s="482" t="s">
        <v>830</v>
      </c>
      <c r="M477" s="231">
        <v>45323</v>
      </c>
      <c r="N477" s="223" t="s">
        <v>503</v>
      </c>
      <c r="O477" s="491" t="s">
        <v>2323</v>
      </c>
      <c r="P477" s="228" t="s">
        <v>802</v>
      </c>
      <c r="Q477" s="484" t="s">
        <v>808</v>
      </c>
      <c r="R477" s="25" t="s">
        <v>2612</v>
      </c>
      <c r="S477" s="485">
        <v>277</v>
      </c>
    </row>
    <row x14ac:dyDescent="0.25" r="478" customHeight="1" ht="17.25">
      <c r="A478" s="228" t="s">
        <v>2613</v>
      </c>
      <c r="B478" s="462" t="s">
        <v>494</v>
      </c>
      <c r="C478" s="491" t="s">
        <v>2614</v>
      </c>
      <c r="D478" s="631">
        <v>72</v>
      </c>
      <c r="E478" s="631">
        <v>3000</v>
      </c>
      <c r="F478" s="263">
        <f>IF(E478&lt;&gt;"", ROUNDUP(E478/D478,0),"")</f>
        <v>25568.666666666668</v>
      </c>
      <c r="G478" s="666">
        <f>IF(E478&lt;&gt;"", (SQRT(D478*E478))/300, "")</f>
      </c>
      <c r="H478" s="480">
        <v>77.5</v>
      </c>
      <c r="I478" s="480">
        <v>52.6</v>
      </c>
      <c r="J478" s="480">
        <v>36.3</v>
      </c>
      <c r="K478" s="481"/>
      <c r="L478" s="482" t="s">
        <v>830</v>
      </c>
      <c r="M478" s="231">
        <v>45323</v>
      </c>
      <c r="N478" s="223" t="s">
        <v>503</v>
      </c>
      <c r="O478" s="491" t="s">
        <v>2615</v>
      </c>
      <c r="P478" s="259" t="s">
        <v>819</v>
      </c>
      <c r="Q478" s="484"/>
      <c r="R478" s="21"/>
      <c r="S478" s="485">
        <v>276</v>
      </c>
    </row>
    <row x14ac:dyDescent="0.25" r="479" customHeight="1" ht="17.25">
      <c r="A479" s="259" t="s">
        <v>2616</v>
      </c>
      <c r="B479" s="21" t="s">
        <v>498</v>
      </c>
      <c r="C479" s="505" t="s">
        <v>2617</v>
      </c>
      <c r="D479" s="496">
        <v>1</v>
      </c>
      <c r="E479" s="477">
        <v>1000</v>
      </c>
      <c r="F479" s="263">
        <f>IF(E479&lt;&gt;"", ROUNDUP(E479/D479,0),"")</f>
        <v>25568.666666666668</v>
      </c>
      <c r="G479" s="666">
        <f>IF(E479&lt;&gt;"", (SQRT(D479*E479))/300, "")</f>
      </c>
      <c r="H479" s="480"/>
      <c r="I479" s="480"/>
      <c r="J479" s="480"/>
      <c r="K479" s="481"/>
      <c r="L479" s="482" t="s">
        <v>830</v>
      </c>
      <c r="M479" s="231">
        <v>45323</v>
      </c>
      <c r="N479" s="270" t="s">
        <v>503</v>
      </c>
      <c r="O479" s="511" t="s">
        <v>2618</v>
      </c>
      <c r="P479" s="249" t="s">
        <v>819</v>
      </c>
      <c r="Q479" s="272"/>
      <c r="R479" s="259" t="s">
        <v>2619</v>
      </c>
      <c r="S479" s="485">
        <v>275</v>
      </c>
    </row>
    <row x14ac:dyDescent="0.25" r="480" customHeight="1" ht="17.25">
      <c r="A480" s="228" t="s">
        <v>2620</v>
      </c>
      <c r="B480" s="21" t="s">
        <v>2621</v>
      </c>
      <c r="C480" s="491" t="s">
        <v>2622</v>
      </c>
      <c r="D480" s="620"/>
      <c r="E480" s="620"/>
      <c r="F480" s="230"/>
      <c r="G480" s="479">
        <f>IF(E480&lt;&gt;"", (SQRT(D480*E480))/300, "")</f>
      </c>
      <c r="H480" s="481"/>
      <c r="I480" s="481"/>
      <c r="J480" s="481"/>
      <c r="K480" s="481"/>
      <c r="L480" s="482" t="s">
        <v>830</v>
      </c>
      <c r="M480" s="231">
        <v>45323</v>
      </c>
      <c r="N480" s="223" t="s">
        <v>503</v>
      </c>
      <c r="O480" s="491" t="s">
        <v>2623</v>
      </c>
      <c r="P480" s="228" t="s">
        <v>819</v>
      </c>
      <c r="Q480" s="484"/>
      <c r="R480" s="25" t="s">
        <v>2624</v>
      </c>
      <c r="S480" s="485">
        <v>274</v>
      </c>
    </row>
    <row x14ac:dyDescent="0.25" r="481" customHeight="1" ht="17.25">
      <c r="A481" s="228" t="s">
        <v>2625</v>
      </c>
      <c r="B481" s="21" t="s">
        <v>2626</v>
      </c>
      <c r="C481" s="33"/>
      <c r="D481" s="477">
        <v>7</v>
      </c>
      <c r="E481" s="477">
        <v>2000</v>
      </c>
      <c r="F481" s="230">
        <f>IF(E481&lt;&gt;"", ROUNDUP(E481/D481,0),"")</f>
        <v>25568.666666666668</v>
      </c>
      <c r="G481" s="666">
        <f>IF(E481&lt;&gt;"", (SQRT(D481*E481))/300, "")</f>
      </c>
      <c r="H481" s="480"/>
      <c r="I481" s="480"/>
      <c r="J481" s="480"/>
      <c r="K481" s="481"/>
      <c r="L481" s="750" t="s">
        <v>2361</v>
      </c>
      <c r="M481" s="231">
        <v>45323</v>
      </c>
      <c r="N481" s="223" t="s">
        <v>503</v>
      </c>
      <c r="O481" s="491" t="s">
        <v>2627</v>
      </c>
      <c r="P481" s="259" t="s">
        <v>819</v>
      </c>
      <c r="Q481" s="484"/>
      <c r="R481" s="21" t="s">
        <v>2628</v>
      </c>
      <c r="S481" s="485">
        <v>273</v>
      </c>
    </row>
    <row x14ac:dyDescent="0.25" r="482" customHeight="1" ht="17.25">
      <c r="A482" s="228" t="s">
        <v>2629</v>
      </c>
      <c r="B482" s="21" t="s">
        <v>1487</v>
      </c>
      <c r="C482" s="491" t="s">
        <v>2630</v>
      </c>
      <c r="D482" s="620">
        <v>7.5</v>
      </c>
      <c r="E482" s="477">
        <v>980</v>
      </c>
      <c r="F482" s="230">
        <f>IF(E482&lt;&gt;"", ROUNDUP(E482/D482,0),"")</f>
        <v>25568.666666666668</v>
      </c>
      <c r="G482" s="666">
        <f>IF(E482&lt;&gt;"", (SQRT(D482*E482))/300, "")</f>
      </c>
      <c r="H482" s="480"/>
      <c r="I482" s="480"/>
      <c r="J482" s="480"/>
      <c r="K482" s="481"/>
      <c r="L482" s="482" t="s">
        <v>830</v>
      </c>
      <c r="M482" s="231">
        <v>45323</v>
      </c>
      <c r="N482" s="223" t="s">
        <v>503</v>
      </c>
      <c r="O482" s="491" t="s">
        <v>2631</v>
      </c>
      <c r="P482" s="259" t="s">
        <v>819</v>
      </c>
      <c r="Q482" s="484"/>
      <c r="R482" s="21" t="s">
        <v>2632</v>
      </c>
      <c r="S482" s="485">
        <v>272</v>
      </c>
    </row>
    <row x14ac:dyDescent="0.25" r="483" customHeight="1" ht="17.25">
      <c r="A483" s="228" t="s">
        <v>2633</v>
      </c>
      <c r="B483" s="462" t="s">
        <v>508</v>
      </c>
      <c r="C483" s="491" t="s">
        <v>1138</v>
      </c>
      <c r="D483" s="620">
        <v>0.2</v>
      </c>
      <c r="E483" s="477">
        <v>100</v>
      </c>
      <c r="F483" s="230">
        <f>IF(E483&lt;&gt;"", ROUNDUP(E483/D483,0),"")</f>
        <v>25568.666666666668</v>
      </c>
      <c r="G483" s="666">
        <f>IF(E483&lt;&gt;"", (SQRT(D483*E483))/300, "")</f>
      </c>
      <c r="H483" s="480"/>
      <c r="I483" s="480"/>
      <c r="J483" s="480"/>
      <c r="K483" s="481"/>
      <c r="L483" s="750" t="s">
        <v>1099</v>
      </c>
      <c r="M483" s="231">
        <v>45323</v>
      </c>
      <c r="N483" s="223" t="s">
        <v>503</v>
      </c>
      <c r="O483" s="491" t="s">
        <v>2634</v>
      </c>
      <c r="P483" s="259" t="s">
        <v>819</v>
      </c>
      <c r="Q483" s="484"/>
      <c r="R483" s="21" t="s">
        <v>2635</v>
      </c>
      <c r="S483" s="485">
        <v>271</v>
      </c>
    </row>
    <row x14ac:dyDescent="0.25" r="484" customHeight="1" ht="17.25">
      <c r="A484" s="228" t="s">
        <v>583</v>
      </c>
      <c r="B484" s="21" t="s">
        <v>939</v>
      </c>
      <c r="C484" s="491" t="s">
        <v>2636</v>
      </c>
      <c r="D484" s="477">
        <v>7</v>
      </c>
      <c r="E484" s="477">
        <v>2500</v>
      </c>
      <c r="F484" s="230">
        <f>IF(E484&lt;&gt;"", ROUNDUP(E484/D484,0),"")</f>
        <v>25568.666666666668</v>
      </c>
      <c r="G484" s="666">
        <f>IF(E484&lt;&gt;"", (SQRT(D484*E484))/300, "")</f>
      </c>
      <c r="H484" s="480"/>
      <c r="I484" s="480"/>
      <c r="J484" s="480"/>
      <c r="K484" s="481"/>
      <c r="L484" s="482" t="s">
        <v>830</v>
      </c>
      <c r="M484" s="231">
        <v>45323</v>
      </c>
      <c r="N484" s="223" t="s">
        <v>503</v>
      </c>
      <c r="O484" s="491" t="s">
        <v>2637</v>
      </c>
      <c r="P484" s="259" t="s">
        <v>819</v>
      </c>
      <c r="Q484" s="484"/>
      <c r="R484" s="21" t="s">
        <v>2638</v>
      </c>
      <c r="S484" s="485">
        <v>270</v>
      </c>
    </row>
    <row x14ac:dyDescent="0.25" r="485" customHeight="1" ht="17.25">
      <c r="A485" s="228" t="s">
        <v>2639</v>
      </c>
      <c r="B485" s="21" t="s">
        <v>474</v>
      </c>
      <c r="C485" s="491" t="s">
        <v>2640</v>
      </c>
      <c r="D485" s="477">
        <v>1</v>
      </c>
      <c r="E485" s="478">
        <v>20</v>
      </c>
      <c r="F485" s="230">
        <f>IF(E485&lt;&gt;"", ROUNDUP(E485/D485,0),"")</f>
        <v>25568.666666666668</v>
      </c>
      <c r="G485" s="666">
        <f>IF(E485&lt;&gt;"", (SQRT(D485*E485))/300, "")</f>
      </c>
      <c r="H485" s="480"/>
      <c r="I485" s="480"/>
      <c r="J485" s="480"/>
      <c r="K485" s="481"/>
      <c r="L485" s="750" t="s">
        <v>1099</v>
      </c>
      <c r="M485" s="231">
        <v>45323</v>
      </c>
      <c r="N485" s="270" t="s">
        <v>484</v>
      </c>
      <c r="O485" s="491" t="s">
        <v>2641</v>
      </c>
      <c r="P485" s="259" t="s">
        <v>819</v>
      </c>
      <c r="Q485" s="566"/>
      <c r="R485" s="609" t="s">
        <v>2642</v>
      </c>
      <c r="S485" s="485">
        <v>269</v>
      </c>
    </row>
    <row x14ac:dyDescent="0.25" r="486" customHeight="1" ht="17.25">
      <c r="A486" s="228" t="s">
        <v>2643</v>
      </c>
      <c r="B486" s="21" t="s">
        <v>630</v>
      </c>
      <c r="C486" s="491" t="s">
        <v>2644</v>
      </c>
      <c r="D486" s="620">
        <v>6.3</v>
      </c>
      <c r="E486" s="477">
        <v>481</v>
      </c>
      <c r="F486" s="230">
        <f>IF(E486&lt;&gt;"", ROUNDUP(E486/D486,0),"")</f>
        <v>25568.666666666668</v>
      </c>
      <c r="G486" s="666">
        <f>IF(E486&lt;&gt;"", (SQRT(D486*E486))/300, "")</f>
      </c>
      <c r="H486" s="480"/>
      <c r="I486" s="480"/>
      <c r="J486" s="480"/>
      <c r="K486" s="481"/>
      <c r="L486" s="482" t="s">
        <v>830</v>
      </c>
      <c r="M486" s="231">
        <v>45292</v>
      </c>
      <c r="N486" s="490" t="s">
        <v>503</v>
      </c>
      <c r="O486" s="491" t="s">
        <v>2645</v>
      </c>
      <c r="P486" s="259" t="s">
        <v>819</v>
      </c>
      <c r="Q486" s="566"/>
      <c r="R486" s="228" t="s">
        <v>2646</v>
      </c>
      <c r="S486" s="485">
        <v>268</v>
      </c>
    </row>
    <row x14ac:dyDescent="0.25" r="487" customHeight="1" ht="17.25">
      <c r="A487" s="228" t="s">
        <v>2647</v>
      </c>
      <c r="B487" s="21" t="s">
        <v>2648</v>
      </c>
      <c r="C487" s="491" t="s">
        <v>2649</v>
      </c>
      <c r="D487" s="477">
        <v>34</v>
      </c>
      <c r="E487" s="478">
        <v>2018</v>
      </c>
      <c r="F487" s="230">
        <f>IF(E487&lt;&gt;"", ROUNDUP(E487/D487,0),"")</f>
        <v>25568.666666666668</v>
      </c>
      <c r="G487" s="666">
        <f>IF(E487&lt;&gt;"", (SQRT(D487*E487))/300, "")</f>
      </c>
      <c r="H487" s="480"/>
      <c r="I487" s="480"/>
      <c r="J487" s="480"/>
      <c r="K487" s="481"/>
      <c r="L487" s="489" t="s">
        <v>2025</v>
      </c>
      <c r="M487" s="231">
        <v>45292</v>
      </c>
      <c r="N487" s="490" t="s">
        <v>503</v>
      </c>
      <c r="O487" s="491" t="s">
        <v>2650</v>
      </c>
      <c r="P487" s="259" t="s">
        <v>819</v>
      </c>
      <c r="Q487" s="566"/>
      <c r="R487" s="609" t="s">
        <v>2651</v>
      </c>
      <c r="S487" s="485">
        <v>267</v>
      </c>
    </row>
    <row x14ac:dyDescent="0.25" r="488" customHeight="1" ht="17.25">
      <c r="A488" s="228" t="s">
        <v>2652</v>
      </c>
      <c r="B488" s="21" t="s">
        <v>965</v>
      </c>
      <c r="C488" s="491" t="s">
        <v>2653</v>
      </c>
      <c r="D488" s="477">
        <v>70</v>
      </c>
      <c r="E488" s="478">
        <v>3000</v>
      </c>
      <c r="F488" s="230">
        <f>IF(E488&lt;&gt;"", ROUNDUP(E488/D488,0),"")</f>
        <v>25568.666666666668</v>
      </c>
      <c r="G488" s="666">
        <f>IF(E488&lt;&gt;"", (SQRT(D488*E488))/300, "")</f>
      </c>
      <c r="H488" s="480"/>
      <c r="I488" s="480"/>
      <c r="J488" s="480"/>
      <c r="K488" s="481"/>
      <c r="L488" s="482" t="s">
        <v>830</v>
      </c>
      <c r="M488" s="231">
        <v>45292</v>
      </c>
      <c r="N488" s="490" t="s">
        <v>503</v>
      </c>
      <c r="O488" s="491" t="s">
        <v>2653</v>
      </c>
      <c r="P488" s="259" t="s">
        <v>819</v>
      </c>
      <c r="Q488" s="566"/>
      <c r="R488" s="609" t="s">
        <v>2654</v>
      </c>
      <c r="S488" s="485">
        <v>266</v>
      </c>
    </row>
    <row x14ac:dyDescent="0.25" r="489" customHeight="1" ht="17.25">
      <c r="A489" s="228" t="s">
        <v>2655</v>
      </c>
      <c r="B489" s="462" t="s">
        <v>2656</v>
      </c>
      <c r="C489" s="491" t="s">
        <v>2657</v>
      </c>
      <c r="D489" s="477">
        <v>13</v>
      </c>
      <c r="E489" s="477">
        <v>3000</v>
      </c>
      <c r="F489" s="230">
        <f>IF(E489&lt;&gt;"", ROUNDUP(E489/D489,0),"")</f>
        <v>25568.666666666668</v>
      </c>
      <c r="G489" s="666">
        <f>IF(E489&lt;&gt;"", (SQRT(D489*E489))/300, "")</f>
      </c>
      <c r="H489" s="480">
        <v>63.02</v>
      </c>
      <c r="I489" s="480"/>
      <c r="J489" s="480"/>
      <c r="K489" s="481"/>
      <c r="L489" s="482" t="s">
        <v>830</v>
      </c>
      <c r="M489" s="231">
        <v>45292</v>
      </c>
      <c r="N489" s="490" t="s">
        <v>503</v>
      </c>
      <c r="O489" s="491" t="s">
        <v>2658</v>
      </c>
      <c r="P489" s="259" t="s">
        <v>819</v>
      </c>
      <c r="Q489" s="566"/>
      <c r="R489" s="228" t="s">
        <v>2659</v>
      </c>
      <c r="S489" s="485">
        <v>265</v>
      </c>
    </row>
    <row x14ac:dyDescent="0.25" r="490" customHeight="1" ht="17.25">
      <c r="A490" s="228" t="s">
        <v>2660</v>
      </c>
      <c r="B490" s="462" t="s">
        <v>2656</v>
      </c>
      <c r="C490" s="33"/>
      <c r="D490" s="478">
        <v>200</v>
      </c>
      <c r="E490" s="478">
        <v>4000</v>
      </c>
      <c r="F490" s="230">
        <f>IF(E490&lt;&gt;"", ROUNDUP(E490/D490,0),"")</f>
        <v>25568.666666666668</v>
      </c>
      <c r="G490" s="666">
        <f>IF(E490&lt;&gt;"", (SQRT(D490*E490))/300, "")</f>
      </c>
      <c r="H490" s="480"/>
      <c r="I490" s="480"/>
      <c r="J490" s="480"/>
      <c r="K490" s="481"/>
      <c r="L490" s="482" t="s">
        <v>830</v>
      </c>
      <c r="M490" s="231">
        <v>45292</v>
      </c>
      <c r="N490" s="490" t="s">
        <v>503</v>
      </c>
      <c r="O490" s="491" t="s">
        <v>2661</v>
      </c>
      <c r="P490" s="259" t="s">
        <v>819</v>
      </c>
      <c r="Q490" s="566"/>
      <c r="R490" s="609" t="s">
        <v>2662</v>
      </c>
      <c r="S490" s="485">
        <v>264</v>
      </c>
    </row>
    <row x14ac:dyDescent="0.25" r="491" customHeight="1" ht="17.25">
      <c r="A491" s="228" t="s">
        <v>2663</v>
      </c>
      <c r="B491" s="21" t="s">
        <v>1326</v>
      </c>
      <c r="C491" s="491" t="s">
        <v>2664</v>
      </c>
      <c r="D491" s="23">
        <v>7</v>
      </c>
      <c r="E491" s="477">
        <v>2000</v>
      </c>
      <c r="F491" s="230">
        <f>IF(E491&lt;&gt;"", ROUNDUP(E491/D491,0),"")</f>
        <v>25568.666666666668</v>
      </c>
      <c r="G491" s="666">
        <f>IF(E491&lt;&gt;"", (SQRT(D491*E491))/300, "")</f>
      </c>
      <c r="H491" s="480"/>
      <c r="I491" s="480"/>
      <c r="J491" s="480"/>
      <c r="K491" s="481"/>
      <c r="L491" s="482" t="s">
        <v>830</v>
      </c>
      <c r="M491" s="231">
        <v>45292</v>
      </c>
      <c r="N491" s="490" t="s">
        <v>503</v>
      </c>
      <c r="O491" s="491" t="s">
        <v>2665</v>
      </c>
      <c r="P491" s="259" t="s">
        <v>819</v>
      </c>
      <c r="Q491" s="566" t="s">
        <v>901</v>
      </c>
      <c r="R491" s="228" t="s">
        <v>2666</v>
      </c>
      <c r="S491" s="485">
        <v>263</v>
      </c>
    </row>
    <row x14ac:dyDescent="0.25" r="492" customHeight="1" ht="17.25">
      <c r="A492" s="228" t="s">
        <v>2667</v>
      </c>
      <c r="B492" s="462" t="s">
        <v>498</v>
      </c>
      <c r="C492" s="491" t="s">
        <v>2668</v>
      </c>
      <c r="D492" s="23">
        <v>70</v>
      </c>
      <c r="E492" s="477">
        <v>2000</v>
      </c>
      <c r="F492" s="230">
        <f>IF(E492&lt;&gt;"", ROUNDUP(E492/D492,0),"")</f>
        <v>25568.666666666668</v>
      </c>
      <c r="G492" s="666">
        <f>IF(E492&lt;&gt;"", (SQRT(D492*E492))/300, "")</f>
      </c>
      <c r="H492" s="480"/>
      <c r="I492" s="480"/>
      <c r="J492" s="480"/>
      <c r="K492" s="481"/>
      <c r="L492" s="482" t="s">
        <v>830</v>
      </c>
      <c r="M492" s="231">
        <v>45292</v>
      </c>
      <c r="N492" s="490" t="s">
        <v>503</v>
      </c>
      <c r="O492" s="491" t="s">
        <v>2669</v>
      </c>
      <c r="P492" s="259" t="s">
        <v>819</v>
      </c>
      <c r="Q492" s="566"/>
      <c r="R492" s="228" t="s">
        <v>2670</v>
      </c>
      <c r="S492" s="485">
        <v>262</v>
      </c>
    </row>
    <row x14ac:dyDescent="0.25" r="493" customHeight="1" ht="17.25">
      <c r="A493" s="228" t="s">
        <v>2671</v>
      </c>
      <c r="B493" s="21" t="s">
        <v>1788</v>
      </c>
      <c r="C493" s="491" t="s">
        <v>2352</v>
      </c>
      <c r="D493" s="24">
        <v>7.52</v>
      </c>
      <c r="E493" s="477">
        <v>1100</v>
      </c>
      <c r="F493" s="230">
        <f>IF(E493&lt;&gt;"", ROUNDUP(E493/D493,0),"")</f>
        <v>25568.666666666668</v>
      </c>
      <c r="G493" s="666">
        <f>IF(E493&lt;&gt;"", (SQRT(D493*E493))/300, "")</f>
      </c>
      <c r="H493" s="480">
        <v>33.21</v>
      </c>
      <c r="I493" s="480"/>
      <c r="J493" s="480"/>
      <c r="K493" s="481"/>
      <c r="L493" s="482" t="s">
        <v>830</v>
      </c>
      <c r="M493" s="231">
        <v>45292</v>
      </c>
      <c r="N493" s="490" t="s">
        <v>503</v>
      </c>
      <c r="O493" s="491" t="s">
        <v>2672</v>
      </c>
      <c r="P493" s="259" t="s">
        <v>819</v>
      </c>
      <c r="Q493" s="566"/>
      <c r="R493" s="609" t="s">
        <v>2673</v>
      </c>
      <c r="S493" s="485">
        <v>261</v>
      </c>
    </row>
    <row x14ac:dyDescent="0.25" r="494" customHeight="1" ht="17.25">
      <c r="A494" s="228" t="s">
        <v>2674</v>
      </c>
      <c r="B494" s="21" t="s">
        <v>2675</v>
      </c>
      <c r="C494" s="491" t="s">
        <v>2676</v>
      </c>
      <c r="D494" s="23">
        <v>10</v>
      </c>
      <c r="E494" s="477">
        <v>2000</v>
      </c>
      <c r="F494" s="230">
        <f>IF(E494&lt;&gt;"", ROUNDUP(E494/D494,0),"")</f>
        <v>25568.666666666668</v>
      </c>
      <c r="G494" s="666">
        <f>IF(E494&lt;&gt;"", (SQRT(D494*E494))/300, "")</f>
      </c>
      <c r="H494" s="480"/>
      <c r="I494" s="480"/>
      <c r="J494" s="480"/>
      <c r="K494" s="481"/>
      <c r="L494" s="482" t="s">
        <v>830</v>
      </c>
      <c r="M494" s="231">
        <v>45292</v>
      </c>
      <c r="N494" s="490" t="s">
        <v>503</v>
      </c>
      <c r="O494" s="491" t="s">
        <v>2677</v>
      </c>
      <c r="P494" s="259" t="s">
        <v>819</v>
      </c>
      <c r="Q494" s="566"/>
      <c r="R494" s="228" t="s">
        <v>2678</v>
      </c>
      <c r="S494" s="485">
        <v>260</v>
      </c>
    </row>
    <row x14ac:dyDescent="0.25" r="495" customHeight="1" ht="17.25">
      <c r="A495" s="228" t="s">
        <v>2679</v>
      </c>
      <c r="B495" s="21" t="s">
        <v>2680</v>
      </c>
      <c r="C495" s="491" t="s">
        <v>2681</v>
      </c>
      <c r="D495" s="24">
        <v>0.972</v>
      </c>
      <c r="E495" s="620">
        <v>37.5</v>
      </c>
      <c r="F495" s="230">
        <f>IF(E495&lt;&gt;"", ROUNDUP(E495/D495,0),"")</f>
        <v>25568.666666666668</v>
      </c>
      <c r="G495" s="666">
        <f>IF(E495&lt;&gt;"", (SQRT(D495*E495))/300, "")</f>
      </c>
      <c r="H495" s="480"/>
      <c r="I495" s="480"/>
      <c r="J495" s="480"/>
      <c r="K495" s="481"/>
      <c r="L495" s="489" t="s">
        <v>2682</v>
      </c>
      <c r="M495" s="231">
        <v>45292</v>
      </c>
      <c r="N495" s="754" t="s">
        <v>470</v>
      </c>
      <c r="O495" s="491" t="s">
        <v>2683</v>
      </c>
      <c r="P495" s="259" t="s">
        <v>819</v>
      </c>
      <c r="Q495" s="566"/>
      <c r="R495" s="228" t="s">
        <v>2684</v>
      </c>
      <c r="S495" s="485">
        <v>259</v>
      </c>
    </row>
    <row x14ac:dyDescent="0.25" r="496" customHeight="1" ht="17.25">
      <c r="A496" s="835" t="s">
        <v>2685</v>
      </c>
      <c r="B496" s="462" t="s">
        <v>479</v>
      </c>
      <c r="C496" s="491" t="s">
        <v>2686</v>
      </c>
      <c r="D496" s="23">
        <v>33</v>
      </c>
      <c r="E496" s="477">
        <v>2000</v>
      </c>
      <c r="F496" s="230">
        <f>IF(E496&lt;&gt;"", ROUNDUP(E496/D496,0),"")</f>
        <v>25568.666666666668</v>
      </c>
      <c r="G496" s="666">
        <f>IF(E496&lt;&gt;"", (SQRT(D496*E496))/300, "")</f>
      </c>
      <c r="H496" s="480"/>
      <c r="I496" s="480"/>
      <c r="J496" s="480"/>
      <c r="K496" s="481"/>
      <c r="L496" s="482" t="s">
        <v>830</v>
      </c>
      <c r="M496" s="231">
        <v>45292</v>
      </c>
      <c r="N496" s="490" t="s">
        <v>503</v>
      </c>
      <c r="O496" s="491" t="s">
        <v>2687</v>
      </c>
      <c r="P496" s="259" t="s">
        <v>819</v>
      </c>
      <c r="Q496" s="566"/>
      <c r="R496" s="228" t="s">
        <v>2688</v>
      </c>
      <c r="S496" s="485">
        <v>258</v>
      </c>
    </row>
    <row x14ac:dyDescent="0.25" r="497" customHeight="1" ht="17.25">
      <c r="A497" s="228" t="s">
        <v>2689</v>
      </c>
      <c r="B497" s="462" t="s">
        <v>898</v>
      </c>
      <c r="C497" s="491" t="s">
        <v>2690</v>
      </c>
      <c r="D497" s="23">
        <v>7</v>
      </c>
      <c r="E497" s="477">
        <v>2000</v>
      </c>
      <c r="F497" s="230">
        <f>IF(E497&lt;&gt;"", ROUNDUP(E497/D497,0),"")</f>
        <v>25568.666666666668</v>
      </c>
      <c r="G497" s="666">
        <f>IF(E497&lt;&gt;"", (SQRT(D497*E497))/300, "")</f>
      </c>
      <c r="H497" s="480"/>
      <c r="I497" s="480"/>
      <c r="J497" s="480"/>
      <c r="K497" s="481"/>
      <c r="L497" s="482" t="s">
        <v>830</v>
      </c>
      <c r="M497" s="231">
        <v>45292</v>
      </c>
      <c r="N497" s="490" t="s">
        <v>503</v>
      </c>
      <c r="O497" s="491" t="s">
        <v>2691</v>
      </c>
      <c r="P497" s="259" t="s">
        <v>819</v>
      </c>
      <c r="Q497" s="566"/>
      <c r="R497" s="228" t="s">
        <v>2692</v>
      </c>
      <c r="S497" s="485">
        <v>257</v>
      </c>
    </row>
    <row x14ac:dyDescent="0.25" r="498" customHeight="1" ht="17.25">
      <c r="A498" s="228" t="s">
        <v>2693</v>
      </c>
      <c r="B498" s="21" t="s">
        <v>2694</v>
      </c>
      <c r="C498" s="33"/>
      <c r="D498" s="226">
        <v>120</v>
      </c>
      <c r="E498" s="478">
        <v>5000</v>
      </c>
      <c r="F498" s="230">
        <f>IF(E498&lt;&gt;"", ROUNDUP(E498/D498,0),"")</f>
        <v>25568.666666666668</v>
      </c>
      <c r="G498" s="666">
        <f>IF(E498&lt;&gt;"", (SQRT(D498*E498))/300, "")</f>
      </c>
      <c r="H498" s="480"/>
      <c r="I498" s="480"/>
      <c r="J498" s="480"/>
      <c r="K498" s="481"/>
      <c r="L498" s="482" t="s">
        <v>830</v>
      </c>
      <c r="M498" s="231">
        <v>45292</v>
      </c>
      <c r="N498" s="270" t="s">
        <v>484</v>
      </c>
      <c r="O498" s="491" t="s">
        <v>2695</v>
      </c>
      <c r="P498" s="259" t="s">
        <v>819</v>
      </c>
      <c r="Q498" s="566"/>
      <c r="R498" s="228" t="s">
        <v>2696</v>
      </c>
      <c r="S498" s="485">
        <v>256</v>
      </c>
    </row>
    <row x14ac:dyDescent="0.25" r="499" customHeight="1" ht="17.25">
      <c r="A499" s="228" t="s">
        <v>2697</v>
      </c>
      <c r="B499" s="21" t="s">
        <v>2698</v>
      </c>
      <c r="C499" s="491" t="s">
        <v>2699</v>
      </c>
      <c r="D499" s="477">
        <v>14</v>
      </c>
      <c r="E499" s="477">
        <v>2500</v>
      </c>
      <c r="F499" s="230">
        <f>IF(E499&lt;&gt;"", ROUNDUP(E499/D499,0),"")</f>
        <v>25568.666666666668</v>
      </c>
      <c r="G499" s="666">
        <f>IF(E499&lt;&gt;"", (SQRT(D499*E499))/300, "")</f>
      </c>
      <c r="H499" s="480">
        <v>69.6</v>
      </c>
      <c r="I499" s="480"/>
      <c r="J499" s="480"/>
      <c r="K499" s="481"/>
      <c r="L499" s="482" t="s">
        <v>830</v>
      </c>
      <c r="M499" s="231">
        <v>45292</v>
      </c>
      <c r="N499" s="490" t="s">
        <v>503</v>
      </c>
      <c r="O499" s="491" t="s">
        <v>2700</v>
      </c>
      <c r="P499" s="259" t="s">
        <v>819</v>
      </c>
      <c r="Q499" s="566"/>
      <c r="R499" s="228" t="s">
        <v>2701</v>
      </c>
      <c r="S499" s="485">
        <v>255</v>
      </c>
    </row>
    <row x14ac:dyDescent="0.25" r="500" customHeight="1" ht="17.25">
      <c r="A500" s="228" t="s">
        <v>2702</v>
      </c>
      <c r="B500" s="462" t="s">
        <v>1258</v>
      </c>
      <c r="C500" s="491" t="s">
        <v>2703</v>
      </c>
      <c r="D500" s="23">
        <v>20</v>
      </c>
      <c r="E500" s="23">
        <v>2600</v>
      </c>
      <c r="F500" s="230">
        <f>IF(E500&lt;&gt;"", ROUNDUP(E500/D500,0),"")</f>
        <v>25568.666666666668</v>
      </c>
      <c r="G500" s="666">
        <f>IF(E500&lt;&gt;"", (SQRT(D500*E500))/300, "")</f>
      </c>
      <c r="H500" s="480">
        <v>67.7</v>
      </c>
      <c r="I500" s="480"/>
      <c r="J500" s="480"/>
      <c r="K500" s="481"/>
      <c r="L500" s="482" t="s">
        <v>830</v>
      </c>
      <c r="M500" s="231">
        <v>45292</v>
      </c>
      <c r="N500" s="490" t="s">
        <v>503</v>
      </c>
      <c r="O500" s="615" t="s">
        <v>2704</v>
      </c>
      <c r="P500" s="259" t="s">
        <v>819</v>
      </c>
      <c r="Q500" s="566"/>
      <c r="R500" s="228"/>
      <c r="S500" s="485">
        <v>254</v>
      </c>
    </row>
    <row x14ac:dyDescent="0.25" r="501" customHeight="1" ht="17.25">
      <c r="A501" s="228" t="s">
        <v>2705</v>
      </c>
      <c r="B501" s="462" t="s">
        <v>1482</v>
      </c>
      <c r="C501" s="491" t="s">
        <v>2706</v>
      </c>
      <c r="D501" s="478">
        <v>200</v>
      </c>
      <c r="E501" s="478">
        <v>4000</v>
      </c>
      <c r="F501" s="230">
        <f>IF(E501&lt;&gt;"", ROUNDUP(E501/D501,0),"")</f>
        <v>25568.666666666668</v>
      </c>
      <c r="G501" s="666">
        <f>IF(E501&lt;&gt;"", (SQRT(D501*E501))/300, "")</f>
      </c>
      <c r="H501" s="480"/>
      <c r="I501" s="480"/>
      <c r="J501" s="480"/>
      <c r="K501" s="481"/>
      <c r="L501" s="482" t="s">
        <v>830</v>
      </c>
      <c r="M501" s="231">
        <v>45292</v>
      </c>
      <c r="N501" s="490" t="s">
        <v>503</v>
      </c>
      <c r="O501" s="491" t="s">
        <v>2707</v>
      </c>
      <c r="P501" s="259" t="s">
        <v>819</v>
      </c>
      <c r="Q501" s="566"/>
      <c r="R501" s="609" t="s">
        <v>2708</v>
      </c>
      <c r="S501" s="485">
        <v>253</v>
      </c>
    </row>
    <row x14ac:dyDescent="0.25" r="502" customHeight="1" ht="17.25">
      <c r="A502" s="228" t="s">
        <v>2709</v>
      </c>
      <c r="B502" s="462" t="s">
        <v>479</v>
      </c>
      <c r="C502" s="33"/>
      <c r="D502" s="477">
        <v>16</v>
      </c>
      <c r="E502" s="477">
        <v>2000</v>
      </c>
      <c r="F502" s="230">
        <f>IF(E502&lt;&gt;"", ROUNDUP(E502/D502,0),"")</f>
        <v>25568.666666666668</v>
      </c>
      <c r="G502" s="666">
        <f>IF(E502&lt;&gt;"", (SQRT(D502*E502))/300, "")</f>
      </c>
      <c r="H502" s="480"/>
      <c r="I502" s="480"/>
      <c r="J502" s="480"/>
      <c r="K502" s="481"/>
      <c r="L502" s="482" t="s">
        <v>830</v>
      </c>
      <c r="M502" s="231">
        <v>45292</v>
      </c>
      <c r="N502" s="754" t="s">
        <v>470</v>
      </c>
      <c r="O502" s="491" t="s">
        <v>2710</v>
      </c>
      <c r="P502" s="259" t="s">
        <v>802</v>
      </c>
      <c r="Q502" s="566"/>
      <c r="R502" s="228" t="s">
        <v>2711</v>
      </c>
      <c r="S502" s="485">
        <v>252</v>
      </c>
    </row>
    <row x14ac:dyDescent="0.25" r="503" customHeight="1" ht="17.25">
      <c r="A503" s="228" t="s">
        <v>2712</v>
      </c>
      <c r="B503" s="462" t="s">
        <v>479</v>
      </c>
      <c r="C503" s="491" t="s">
        <v>1377</v>
      </c>
      <c r="D503" s="477">
        <v>67</v>
      </c>
      <c r="E503" s="477">
        <v>2000</v>
      </c>
      <c r="F503" s="230">
        <f>IF(E503&lt;&gt;"", ROUNDUP(E503/D503,0),"")</f>
        <v>25568.666666666668</v>
      </c>
      <c r="G503" s="666">
        <f>IF(E503&lt;&gt;"", (SQRT(D503*E503))/300, "")</f>
      </c>
      <c r="H503" s="480"/>
      <c r="I503" s="480"/>
      <c r="J503" s="480"/>
      <c r="K503" s="481"/>
      <c r="L503" s="482" t="s">
        <v>830</v>
      </c>
      <c r="M503" s="231">
        <v>45292</v>
      </c>
      <c r="N503" s="490" t="s">
        <v>503</v>
      </c>
      <c r="O503" s="491" t="s">
        <v>2713</v>
      </c>
      <c r="P503" s="259" t="s">
        <v>819</v>
      </c>
      <c r="Q503" s="566"/>
      <c r="R503" s="228" t="s">
        <v>2714</v>
      </c>
      <c r="S503" s="485">
        <v>251</v>
      </c>
    </row>
    <row x14ac:dyDescent="0.25" r="504" customHeight="1" ht="17.25">
      <c r="A504" s="228" t="s">
        <v>2715</v>
      </c>
      <c r="B504" s="462" t="s">
        <v>898</v>
      </c>
      <c r="C504" s="491" t="s">
        <v>2716</v>
      </c>
      <c r="D504" s="620">
        <v>8.3</v>
      </c>
      <c r="E504" s="477">
        <v>2080</v>
      </c>
      <c r="F504" s="230">
        <f>IF(E504&lt;&gt;"", ROUNDUP(E504/D504,0),"")</f>
        <v>25568.666666666668</v>
      </c>
      <c r="G504" s="666">
        <f>IF(E504&lt;&gt;"", (SQRT(D504*E504))/300, "")</f>
      </c>
      <c r="H504" s="480"/>
      <c r="I504" s="480"/>
      <c r="J504" s="480"/>
      <c r="K504" s="481"/>
      <c r="L504" s="482" t="s">
        <v>830</v>
      </c>
      <c r="M504" s="231">
        <v>45292</v>
      </c>
      <c r="N504" s="490" t="s">
        <v>503</v>
      </c>
      <c r="O504" s="491" t="s">
        <v>2717</v>
      </c>
      <c r="P504" s="259" t="s">
        <v>819</v>
      </c>
      <c r="Q504" s="566"/>
      <c r="R504" s="228" t="s">
        <v>2718</v>
      </c>
      <c r="S504" s="485">
        <v>250</v>
      </c>
    </row>
    <row x14ac:dyDescent="0.25" r="505" customHeight="1" ht="17.25">
      <c r="A505" s="228" t="s">
        <v>2719</v>
      </c>
      <c r="B505" s="21" t="s">
        <v>2131</v>
      </c>
      <c r="C505" s="33"/>
      <c r="D505" s="477">
        <v>72</v>
      </c>
      <c r="E505" s="478">
        <v>1200</v>
      </c>
      <c r="F505" s="230">
        <f>IF(E505&lt;&gt;"", ROUNDUP(E505/D505,0),"")</f>
        <v>25568.666666666668</v>
      </c>
      <c r="G505" s="666">
        <f>IF(E505&lt;&gt;"", (SQRT(D505*E505))/300, "")</f>
      </c>
      <c r="H505" s="480">
        <v>70.2</v>
      </c>
      <c r="I505" s="480"/>
      <c r="J505" s="480"/>
      <c r="K505" s="481"/>
      <c r="L505" s="750" t="s">
        <v>1099</v>
      </c>
      <c r="M505" s="231">
        <v>45292</v>
      </c>
      <c r="N505" s="490" t="s">
        <v>503</v>
      </c>
      <c r="O505" s="491" t="s">
        <v>2720</v>
      </c>
      <c r="P505" s="259" t="s">
        <v>819</v>
      </c>
      <c r="Q505" s="566"/>
      <c r="R505" s="609" t="s">
        <v>2721</v>
      </c>
      <c r="S505" s="485">
        <v>249</v>
      </c>
    </row>
    <row x14ac:dyDescent="0.25" r="506" customHeight="1" ht="17.25">
      <c r="A506" s="228" t="s">
        <v>2722</v>
      </c>
      <c r="B506" s="21" t="s">
        <v>2723</v>
      </c>
      <c r="C506" s="491" t="s">
        <v>2724</v>
      </c>
      <c r="D506" s="620">
        <v>1.1</v>
      </c>
      <c r="E506" s="477">
        <v>3000</v>
      </c>
      <c r="F506" s="230">
        <f>IF(E506&lt;&gt;"", ROUNDUP(E506/D506,0),"")</f>
        <v>25568.666666666668</v>
      </c>
      <c r="G506" s="666">
        <f>IF(E506&lt;&gt;"", (SQRT(D506*E506))/300, "")</f>
      </c>
      <c r="H506" s="480"/>
      <c r="I506" s="480"/>
      <c r="J506" s="480"/>
      <c r="K506" s="481"/>
      <c r="L506" s="482" t="s">
        <v>830</v>
      </c>
      <c r="M506" s="231">
        <v>45292</v>
      </c>
      <c r="N506" s="490" t="s">
        <v>503</v>
      </c>
      <c r="O506" s="491" t="s">
        <v>2725</v>
      </c>
      <c r="P506" s="259" t="s">
        <v>819</v>
      </c>
      <c r="Q506" s="566"/>
      <c r="R506" s="228" t="s">
        <v>2726</v>
      </c>
      <c r="S506" s="485">
        <v>248</v>
      </c>
    </row>
    <row x14ac:dyDescent="0.25" r="507" customHeight="1" ht="17.25">
      <c r="A507" s="836" t="s">
        <v>2727</v>
      </c>
      <c r="B507" s="542" t="s">
        <v>2728</v>
      </c>
      <c r="C507" s="837"/>
      <c r="D507" s="544">
        <v>7</v>
      </c>
      <c r="E507" s="544">
        <v>2000</v>
      </c>
      <c r="F507" s="545">
        <f>IF(E507&lt;&gt;"", ROUNDUP(E507/D507,0),"")</f>
        <v>25568.666666666668</v>
      </c>
      <c r="G507" s="765">
        <f>IF(E507&lt;&gt;"", (SQRT(D507*E507))/300, "")</f>
      </c>
      <c r="H507" s="838"/>
      <c r="I507" s="838"/>
      <c r="J507" s="838"/>
      <c r="K507" s="547"/>
      <c r="L507" s="766" t="s">
        <v>830</v>
      </c>
      <c r="M507" s="549">
        <v>45292</v>
      </c>
      <c r="N507" s="839" t="s">
        <v>470</v>
      </c>
      <c r="O507" s="840" t="s">
        <v>2729</v>
      </c>
      <c r="P507" s="841" t="s">
        <v>819</v>
      </c>
      <c r="Q507" s="842"/>
      <c r="R507" s="843" t="s">
        <v>2730</v>
      </c>
      <c r="S507" s="553">
        <v>247</v>
      </c>
    </row>
    <row x14ac:dyDescent="0.25" r="508" customHeight="1" ht="17.25">
      <c r="A508" s="492" t="s">
        <v>2731</v>
      </c>
      <c r="B508" s="21" t="s">
        <v>506</v>
      </c>
      <c r="C508" s="535" t="s">
        <v>2732</v>
      </c>
      <c r="D508" s="24">
        <v>0.00469</v>
      </c>
      <c r="E508" s="24">
        <v>0.00158</v>
      </c>
      <c r="F508" s="230">
        <f>IF(E508&lt;&gt;"", ROUNDUP(E508/D508,0),"")</f>
        <v>25568.666666666668</v>
      </c>
      <c r="G508" s="487"/>
      <c r="H508" s="480"/>
      <c r="I508" s="480"/>
      <c r="J508" s="480"/>
      <c r="K508" s="481"/>
      <c r="L508" s="638" t="s">
        <v>2733</v>
      </c>
      <c r="M508" s="718">
        <v>45261</v>
      </c>
      <c r="N508" s="490" t="s">
        <v>503</v>
      </c>
      <c r="O508" s="501" t="s">
        <v>2734</v>
      </c>
      <c r="P508" s="259" t="s">
        <v>1095</v>
      </c>
      <c r="Q508" s="583"/>
      <c r="R508" s="503" t="s">
        <v>2735</v>
      </c>
      <c r="S508" s="485">
        <v>246</v>
      </c>
    </row>
    <row x14ac:dyDescent="0.25" r="509" customHeight="1" ht="17.25">
      <c r="A509" s="492" t="s">
        <v>2736</v>
      </c>
      <c r="B509" s="21" t="s">
        <v>939</v>
      </c>
      <c r="C509" s="535" t="s">
        <v>2737</v>
      </c>
      <c r="D509" s="23">
        <v>7</v>
      </c>
      <c r="E509" s="23">
        <v>1000</v>
      </c>
      <c r="F509" s="230">
        <f>IF(E509&lt;&gt;"", ROUNDUP(E509/D509,0),"")</f>
        <v>25568.666666666668</v>
      </c>
      <c r="G509" s="487">
        <f>IF(E509&lt;&gt;"", (SQRT(D509*E509))/300, "")</f>
      </c>
      <c r="H509" s="480"/>
      <c r="I509" s="480"/>
      <c r="J509" s="480"/>
      <c r="K509" s="481"/>
      <c r="L509" s="482" t="s">
        <v>830</v>
      </c>
      <c r="M509" s="718">
        <v>45261</v>
      </c>
      <c r="N509" s="490" t="s">
        <v>503</v>
      </c>
      <c r="O509" s="501" t="s">
        <v>2738</v>
      </c>
      <c r="P509" s="259" t="s">
        <v>819</v>
      </c>
      <c r="Q509" s="583"/>
      <c r="R509" s="503" t="s">
        <v>2739</v>
      </c>
      <c r="S509" s="485">
        <v>245</v>
      </c>
    </row>
    <row x14ac:dyDescent="0.25" r="510" customHeight="1" ht="17.25">
      <c r="A510" s="492" t="s">
        <v>2740</v>
      </c>
      <c r="B510" s="21" t="s">
        <v>834</v>
      </c>
      <c r="C510" s="662"/>
      <c r="D510" s="24">
        <v>6.7</v>
      </c>
      <c r="E510" s="24"/>
      <c r="F510" s="230"/>
      <c r="G510" s="487"/>
      <c r="H510" s="480"/>
      <c r="I510" s="480"/>
      <c r="J510" s="480"/>
      <c r="K510" s="481"/>
      <c r="L510" s="482" t="s">
        <v>830</v>
      </c>
      <c r="M510" s="718">
        <v>45261</v>
      </c>
      <c r="N510" s="754" t="s">
        <v>470</v>
      </c>
      <c r="O510" s="501" t="s">
        <v>2741</v>
      </c>
      <c r="P510" s="259" t="s">
        <v>819</v>
      </c>
      <c r="Q510" s="583"/>
      <c r="R510" s="503" t="s">
        <v>2742</v>
      </c>
      <c r="S510" s="485">
        <v>244</v>
      </c>
    </row>
    <row x14ac:dyDescent="0.25" r="511" customHeight="1" ht="17.25">
      <c r="A511" s="492" t="s">
        <v>2743</v>
      </c>
      <c r="B511" s="21" t="s">
        <v>1423</v>
      </c>
      <c r="C511" s="662"/>
      <c r="D511" s="23">
        <v>7</v>
      </c>
      <c r="E511" s="23">
        <v>1748</v>
      </c>
      <c r="F511" s="230">
        <f>IF(E511&lt;&gt;"", ROUNDUP(E511/D511,0),"")</f>
        <v>25568.666666666668</v>
      </c>
      <c r="G511" s="487">
        <f>IF(E511&lt;&gt;"", (SQRT(D511*E511))/300, "")</f>
      </c>
      <c r="H511" s="480"/>
      <c r="I511" s="480"/>
      <c r="J511" s="480"/>
      <c r="K511" s="481"/>
      <c r="L511" s="482" t="s">
        <v>830</v>
      </c>
      <c r="M511" s="718">
        <v>45261</v>
      </c>
      <c r="N511" s="754" t="s">
        <v>470</v>
      </c>
      <c r="O511" s="501" t="s">
        <v>2744</v>
      </c>
      <c r="P511" s="259" t="s">
        <v>819</v>
      </c>
      <c r="Q511" s="583"/>
      <c r="R511" s="503" t="s">
        <v>2745</v>
      </c>
      <c r="S511" s="485">
        <v>243</v>
      </c>
    </row>
    <row x14ac:dyDescent="0.25" r="512" customHeight="1" ht="17.25">
      <c r="A512" s="492" t="s">
        <v>2746</v>
      </c>
      <c r="B512" s="21" t="s">
        <v>1423</v>
      </c>
      <c r="C512" s="662"/>
      <c r="D512" s="23">
        <v>7</v>
      </c>
      <c r="E512" s="23">
        <v>1600</v>
      </c>
      <c r="F512" s="230">
        <f>IF(E512&lt;&gt;"", ROUNDUP(E512/D512,0),"")</f>
        <v>25568.666666666668</v>
      </c>
      <c r="G512" s="487">
        <f>IF(E512&lt;&gt;"", (SQRT(D512*E512))/300, "")</f>
      </c>
      <c r="H512" s="480"/>
      <c r="I512" s="480"/>
      <c r="J512" s="480"/>
      <c r="K512" s="481"/>
      <c r="L512" s="482" t="s">
        <v>830</v>
      </c>
      <c r="M512" s="718">
        <v>45261</v>
      </c>
      <c r="N512" s="754" t="s">
        <v>470</v>
      </c>
      <c r="O512" s="501" t="s">
        <v>2744</v>
      </c>
      <c r="P512" s="259" t="s">
        <v>819</v>
      </c>
      <c r="Q512" s="583"/>
      <c r="R512" s="503" t="s">
        <v>2747</v>
      </c>
      <c r="S512" s="485">
        <v>242</v>
      </c>
    </row>
    <row x14ac:dyDescent="0.25" r="513" customHeight="1" ht="17.25">
      <c r="A513" s="492" t="s">
        <v>2748</v>
      </c>
      <c r="B513" s="462" t="s">
        <v>2749</v>
      </c>
      <c r="C513" s="535" t="s">
        <v>2750</v>
      </c>
      <c r="D513" s="23">
        <v>30</v>
      </c>
      <c r="E513" s="23">
        <v>2650</v>
      </c>
      <c r="F513" s="230">
        <f>IF(E513&lt;&gt;"", ROUNDUP(E513/D513,0),"")</f>
        <v>25568.666666666668</v>
      </c>
      <c r="G513" s="487">
        <f>IF(E513&lt;&gt;"", (SQRT(D513*E513))/300, "")</f>
      </c>
      <c r="H513" s="480">
        <v>80.5</v>
      </c>
      <c r="I513" s="480"/>
      <c r="J513" s="480"/>
      <c r="K513" s="481"/>
      <c r="L513" s="482" t="s">
        <v>830</v>
      </c>
      <c r="M513" s="718">
        <v>45261</v>
      </c>
      <c r="N513" s="490" t="s">
        <v>503</v>
      </c>
      <c r="O513" s="495" t="s">
        <v>2751</v>
      </c>
      <c r="P513" s="259" t="s">
        <v>819</v>
      </c>
      <c r="Q513" s="583"/>
      <c r="R513" s="503" t="s">
        <v>2752</v>
      </c>
      <c r="S513" s="485">
        <v>241</v>
      </c>
    </row>
    <row x14ac:dyDescent="0.25" r="514" customHeight="1" ht="17.25">
      <c r="A514" s="492" t="s">
        <v>2753</v>
      </c>
      <c r="B514" s="21" t="s">
        <v>2010</v>
      </c>
      <c r="C514" s="535" t="s">
        <v>2754</v>
      </c>
      <c r="D514" s="23">
        <v>37</v>
      </c>
      <c r="E514" s="23">
        <v>4</v>
      </c>
      <c r="F514" s="230">
        <f>IF(E514&lt;&gt;"", ROUNDUP(E514/D514,0),"")</f>
        <v>25568.666666666668</v>
      </c>
      <c r="G514" s="487">
        <f>IF(E514&lt;&gt;"", (SQRT(D514*E514))/300, "")</f>
      </c>
      <c r="H514" s="480"/>
      <c r="I514" s="480"/>
      <c r="J514" s="480"/>
      <c r="K514" s="481"/>
      <c r="L514" s="482" t="s">
        <v>830</v>
      </c>
      <c r="M514" s="718">
        <v>45261</v>
      </c>
      <c r="N514" s="490" t="s">
        <v>503</v>
      </c>
      <c r="O514" s="495" t="s">
        <v>2755</v>
      </c>
      <c r="P514" s="259" t="s">
        <v>819</v>
      </c>
      <c r="Q514" s="583"/>
      <c r="R514" s="503" t="s">
        <v>2756</v>
      </c>
      <c r="S514" s="485">
        <v>240</v>
      </c>
    </row>
    <row x14ac:dyDescent="0.25" r="515" customHeight="1" ht="17.25">
      <c r="A515" s="492" t="s">
        <v>2757</v>
      </c>
      <c r="B515" s="462" t="s">
        <v>828</v>
      </c>
      <c r="C515" s="535" t="s">
        <v>2758</v>
      </c>
      <c r="D515" s="579"/>
      <c r="E515" s="579"/>
      <c r="F515" s="230">
        <f>IF(E515&lt;&gt;"", ROUNDUP(E515/D515,0),"")</f>
        <v>25568.666666666668</v>
      </c>
      <c r="G515" s="487">
        <f>IF(E515&lt;&gt;"", (SQRT(D515*E515))/300, "")</f>
      </c>
      <c r="H515" s="480"/>
      <c r="I515" s="480"/>
      <c r="J515" s="480"/>
      <c r="K515" s="481"/>
      <c r="L515" s="482" t="s">
        <v>830</v>
      </c>
      <c r="M515" s="718">
        <v>45261</v>
      </c>
      <c r="N515" s="270" t="s">
        <v>484</v>
      </c>
      <c r="O515" s="495" t="s">
        <v>2759</v>
      </c>
      <c r="P515" s="259" t="s">
        <v>819</v>
      </c>
      <c r="Q515" s="583"/>
      <c r="R515" s="503" t="s">
        <v>2760</v>
      </c>
      <c r="S515" s="485">
        <v>239</v>
      </c>
    </row>
    <row x14ac:dyDescent="0.25" r="516" customHeight="1" ht="17.25">
      <c r="A516" s="228" t="s">
        <v>2761</v>
      </c>
      <c r="B516" s="21" t="s">
        <v>904</v>
      </c>
      <c r="C516" s="491" t="s">
        <v>2762</v>
      </c>
      <c r="D516" s="24">
        <v>10.7</v>
      </c>
      <c r="E516" s="225"/>
      <c r="F516" s="230">
        <f>IF(E516&lt;&gt;"", ROUNDUP(E516/D516,0),"")</f>
        <v>25568.666666666668</v>
      </c>
      <c r="G516" s="487">
        <f>IF(E516&lt;&gt;"", (SQRT(D516*E516))/300, "")</f>
      </c>
      <c r="H516" s="480"/>
      <c r="I516" s="480"/>
      <c r="J516" s="480"/>
      <c r="K516" s="481"/>
      <c r="L516" s="482" t="s">
        <v>830</v>
      </c>
      <c r="M516" s="718">
        <v>45261</v>
      </c>
      <c r="N516" s="490" t="s">
        <v>503</v>
      </c>
      <c r="O516" s="491" t="s">
        <v>2763</v>
      </c>
      <c r="P516" s="259" t="s">
        <v>819</v>
      </c>
      <c r="Q516" s="566"/>
      <c r="R516" s="228" t="s">
        <v>2764</v>
      </c>
      <c r="S516" s="485">
        <v>238</v>
      </c>
    </row>
    <row x14ac:dyDescent="0.25" r="517" customHeight="1" ht="17.25">
      <c r="A517" s="228" t="s">
        <v>2765</v>
      </c>
      <c r="B517" s="21" t="s">
        <v>2766</v>
      </c>
      <c r="C517" s="491" t="s">
        <v>2767</v>
      </c>
      <c r="D517" s="24">
        <v>7.04</v>
      </c>
      <c r="E517" s="226">
        <v>200</v>
      </c>
      <c r="F517" s="230">
        <f>IF(E517&lt;&gt;"", ROUNDUP(E517/D517,0),"")</f>
        <v>25568.666666666668</v>
      </c>
      <c r="G517" s="487">
        <f>IF(E517&lt;&gt;"", (SQRT(D517*E517))/300, "")</f>
      </c>
      <c r="H517" s="480"/>
      <c r="I517" s="480"/>
      <c r="J517" s="480"/>
      <c r="K517" s="481"/>
      <c r="L517" s="482" t="s">
        <v>830</v>
      </c>
      <c r="M517" s="718">
        <v>45261</v>
      </c>
      <c r="N517" s="490" t="s">
        <v>503</v>
      </c>
      <c r="O517" s="491" t="s">
        <v>2768</v>
      </c>
      <c r="P517" s="259" t="s">
        <v>819</v>
      </c>
      <c r="Q517" s="566"/>
      <c r="R517" s="228" t="s">
        <v>2769</v>
      </c>
      <c r="S517" s="485">
        <v>237</v>
      </c>
    </row>
    <row x14ac:dyDescent="0.25" r="518" customHeight="1" ht="17.25">
      <c r="A518" s="228" t="s">
        <v>2770</v>
      </c>
      <c r="B518" s="21" t="s">
        <v>965</v>
      </c>
      <c r="C518" s="491" t="s">
        <v>2771</v>
      </c>
      <c r="D518" s="478">
        <v>180</v>
      </c>
      <c r="E518" s="478">
        <v>3500</v>
      </c>
      <c r="F518" s="230">
        <f>IF(E518&lt;&gt;"", ROUNDUP(E518/D518,0),"")</f>
        <v>25568.666666666668</v>
      </c>
      <c r="G518" s="479">
        <f>IF(E518&lt;&gt;"", (SQRT(D518*E518))/300, "")</f>
      </c>
      <c r="H518" s="481">
        <v>75.3</v>
      </c>
      <c r="I518" s="481"/>
      <c r="J518" s="481"/>
      <c r="K518" s="481"/>
      <c r="L518" s="482" t="s">
        <v>830</v>
      </c>
      <c r="M518" s="231">
        <v>45261</v>
      </c>
      <c r="N518" s="223" t="s">
        <v>503</v>
      </c>
      <c r="O518" s="491" t="s">
        <v>2772</v>
      </c>
      <c r="P518" s="228" t="s">
        <v>819</v>
      </c>
      <c r="Q518" s="484"/>
      <c r="R518" s="21" t="s">
        <v>2773</v>
      </c>
      <c r="S518" s="485">
        <v>236</v>
      </c>
    </row>
    <row x14ac:dyDescent="0.25" r="519" customHeight="1" ht="17.25">
      <c r="A519" s="228" t="s">
        <v>2774</v>
      </c>
      <c r="B519" s="21" t="s">
        <v>965</v>
      </c>
      <c r="C519" s="491" t="s">
        <v>2775</v>
      </c>
      <c r="D519" s="620">
        <v>46.7</v>
      </c>
      <c r="E519" s="478">
        <v>8000</v>
      </c>
      <c r="F519" s="230">
        <f>IF(E519&lt;&gt;"", ROUNDUP(E519/D519,0),"")</f>
        <v>25568.666666666668</v>
      </c>
      <c r="G519" s="479">
        <f>IF(E519&lt;&gt;"", (SQRT(D519*E519))/300, "")</f>
      </c>
      <c r="H519" s="481">
        <v>70.6</v>
      </c>
      <c r="I519" s="481">
        <v>43.3</v>
      </c>
      <c r="J519" s="481"/>
      <c r="K519" s="481"/>
      <c r="L519" s="482" t="s">
        <v>830</v>
      </c>
      <c r="M519" s="231">
        <v>45261</v>
      </c>
      <c r="N519" s="223" t="s">
        <v>503</v>
      </c>
      <c r="O519" s="491" t="s">
        <v>2776</v>
      </c>
      <c r="P519" s="228" t="s">
        <v>802</v>
      </c>
      <c r="Q519" s="484"/>
      <c r="R519" s="21" t="s">
        <v>2777</v>
      </c>
      <c r="S519" s="485">
        <v>235</v>
      </c>
    </row>
    <row x14ac:dyDescent="0.25" r="520" customHeight="1" ht="17.25">
      <c r="A520" s="228" t="s">
        <v>2778</v>
      </c>
      <c r="B520" s="21" t="s">
        <v>1514</v>
      </c>
      <c r="C520" s="491" t="s">
        <v>2779</v>
      </c>
      <c r="D520" s="620">
        <v>7.65</v>
      </c>
      <c r="E520" s="620"/>
      <c r="F520" s="230"/>
      <c r="G520" s="479"/>
      <c r="H520" s="481"/>
      <c r="I520" s="481"/>
      <c r="J520" s="481"/>
      <c r="K520" s="481"/>
      <c r="L520" s="482" t="s">
        <v>830</v>
      </c>
      <c r="M520" s="231">
        <v>45261</v>
      </c>
      <c r="N520" s="223" t="s">
        <v>503</v>
      </c>
      <c r="O520" s="491" t="s">
        <v>2780</v>
      </c>
      <c r="P520" s="228" t="s">
        <v>819</v>
      </c>
      <c r="Q520" s="484"/>
      <c r="R520" s="21" t="s">
        <v>2781</v>
      </c>
      <c r="S520" s="485">
        <v>234</v>
      </c>
    </row>
    <row x14ac:dyDescent="0.25" r="521" customHeight="1" ht="17.25">
      <c r="A521" s="228" t="s">
        <v>2782</v>
      </c>
      <c r="B521" s="21" t="s">
        <v>2783</v>
      </c>
      <c r="C521" s="491" t="s">
        <v>2784</v>
      </c>
      <c r="D521" s="620"/>
      <c r="E521" s="647"/>
      <c r="F521" s="230"/>
      <c r="G521" s="479"/>
      <c r="H521" s="481"/>
      <c r="I521" s="481"/>
      <c r="J521" s="481"/>
      <c r="K521" s="481"/>
      <c r="L521" s="750" t="s">
        <v>2361</v>
      </c>
      <c r="M521" s="231">
        <v>45261</v>
      </c>
      <c r="N521" s="223" t="s">
        <v>503</v>
      </c>
      <c r="O521" s="491" t="s">
        <v>2785</v>
      </c>
      <c r="P521" s="228" t="s">
        <v>819</v>
      </c>
      <c r="Q521" s="484"/>
      <c r="R521" s="21" t="s">
        <v>2786</v>
      </c>
      <c r="S521" s="485">
        <v>233</v>
      </c>
    </row>
    <row x14ac:dyDescent="0.25" r="522" customHeight="1" ht="17.25">
      <c r="A522" s="228" t="s">
        <v>2787</v>
      </c>
      <c r="B522" s="462" t="s">
        <v>828</v>
      </c>
      <c r="C522" s="491" t="s">
        <v>2788</v>
      </c>
      <c r="D522" s="478">
        <v>1500</v>
      </c>
      <c r="E522" s="478">
        <v>30000</v>
      </c>
      <c r="F522" s="230">
        <f>IF(E522&lt;&gt;"", ROUNDUP(E522/D522,0),"")</f>
        <v>25568.666666666668</v>
      </c>
      <c r="G522" s="479">
        <f>IF(E522&lt;&gt;"", (SQRT(D522*E522))/300, "")</f>
      </c>
      <c r="H522" s="481">
        <v>83.7</v>
      </c>
      <c r="I522" s="481"/>
      <c r="J522" s="481">
        <v>35.7</v>
      </c>
      <c r="K522" s="481"/>
      <c r="L522" s="482" t="s">
        <v>830</v>
      </c>
      <c r="M522" s="231">
        <v>45261</v>
      </c>
      <c r="N522" s="223" t="s">
        <v>503</v>
      </c>
      <c r="O522" s="491" t="s">
        <v>2789</v>
      </c>
      <c r="P522" s="228" t="s">
        <v>819</v>
      </c>
      <c r="Q522" s="484" t="s">
        <v>808</v>
      </c>
      <c r="R522" s="25" t="s">
        <v>2790</v>
      </c>
      <c r="S522" s="485">
        <v>232</v>
      </c>
    </row>
    <row x14ac:dyDescent="0.25" r="523" customHeight="1" ht="17.25">
      <c r="A523" s="228" t="s">
        <v>2791</v>
      </c>
      <c r="B523" s="21" t="s">
        <v>1896</v>
      </c>
      <c r="C523" s="491" t="s">
        <v>2792</v>
      </c>
      <c r="D523" s="620">
        <v>2.8</v>
      </c>
      <c r="E523" s="477">
        <v>300</v>
      </c>
      <c r="F523" s="230">
        <f>IF(E523&lt;&gt;"", ROUNDUP(E523/D523,0),"")</f>
        <v>25568.666666666668</v>
      </c>
      <c r="G523" s="479">
        <f>IF(E523&lt;&gt;"", (SQRT(D523*E523))/300, "")</f>
      </c>
      <c r="H523" s="480">
        <v>26.2</v>
      </c>
      <c r="I523" s="480"/>
      <c r="J523" s="480"/>
      <c r="K523" s="481"/>
      <c r="L523" s="482" t="s">
        <v>830</v>
      </c>
      <c r="M523" s="718">
        <v>45261</v>
      </c>
      <c r="N523" s="223" t="s">
        <v>503</v>
      </c>
      <c r="O523" s="491" t="s">
        <v>2793</v>
      </c>
      <c r="P523" s="259" t="s">
        <v>819</v>
      </c>
      <c r="Q523" s="484"/>
      <c r="R523" s="21" t="s">
        <v>2794</v>
      </c>
      <c r="S523" s="485">
        <v>231</v>
      </c>
    </row>
    <row x14ac:dyDescent="0.25" r="524" customHeight="1" ht="17.25">
      <c r="A524" s="228" t="s">
        <v>2795</v>
      </c>
      <c r="B524" s="21" t="s">
        <v>2796</v>
      </c>
      <c r="C524" s="33"/>
      <c r="D524" s="477">
        <v>3</v>
      </c>
      <c r="E524" s="477">
        <v>420</v>
      </c>
      <c r="F524" s="230">
        <f>IF(E524&lt;&gt;"", ROUNDUP(E524/D524,0),"")</f>
        <v>25568.666666666668</v>
      </c>
      <c r="G524" s="479">
        <f>IF(E524&lt;&gt;"", (SQRT(D524*E524))/300, "")</f>
      </c>
      <c r="H524" s="480"/>
      <c r="I524" s="480"/>
      <c r="J524" s="480"/>
      <c r="K524" s="480"/>
      <c r="L524" s="807" t="s">
        <v>1099</v>
      </c>
      <c r="M524" s="718">
        <v>45261</v>
      </c>
      <c r="N524" s="500" t="s">
        <v>470</v>
      </c>
      <c r="O524" s="491" t="s">
        <v>2797</v>
      </c>
      <c r="P524" s="259" t="s">
        <v>819</v>
      </c>
      <c r="Q524" s="484"/>
      <c r="R524" s="21" t="s">
        <v>2798</v>
      </c>
      <c r="S524" s="485">
        <v>230</v>
      </c>
    </row>
    <row x14ac:dyDescent="0.25" r="525" customHeight="1" ht="17.25">
      <c r="A525" s="228" t="s">
        <v>2799</v>
      </c>
      <c r="B525" s="462" t="s">
        <v>494</v>
      </c>
      <c r="C525" s="491" t="s">
        <v>2800</v>
      </c>
      <c r="D525" s="477">
        <v>13</v>
      </c>
      <c r="E525" s="477">
        <v>2000</v>
      </c>
      <c r="F525" s="230">
        <f>IF(E525&lt;&gt;"", ROUNDUP(E525/D525,0),"")</f>
        <v>25568.666666666668</v>
      </c>
      <c r="G525" s="479">
        <f>IF(E525&lt;&gt;"", (SQRT(D525*E525))/300, "")</f>
      </c>
      <c r="H525" s="480"/>
      <c r="I525" s="480"/>
      <c r="J525" s="480"/>
      <c r="K525" s="481"/>
      <c r="L525" s="482" t="s">
        <v>830</v>
      </c>
      <c r="M525" s="718">
        <v>45261</v>
      </c>
      <c r="N525" s="223" t="s">
        <v>503</v>
      </c>
      <c r="O525" s="491" t="s">
        <v>2801</v>
      </c>
      <c r="P525" s="259" t="s">
        <v>819</v>
      </c>
      <c r="Q525" s="484"/>
      <c r="R525" s="21" t="s">
        <v>2802</v>
      </c>
      <c r="S525" s="485">
        <v>229</v>
      </c>
    </row>
    <row x14ac:dyDescent="0.25" r="526" customHeight="1" ht="17.25">
      <c r="A526" s="228" t="s">
        <v>2803</v>
      </c>
      <c r="B526" s="21" t="s">
        <v>1673</v>
      </c>
      <c r="C526" s="491" t="s">
        <v>2002</v>
      </c>
      <c r="D526" s="477">
        <v>70</v>
      </c>
      <c r="E526" s="477">
        <v>2000</v>
      </c>
      <c r="F526" s="230">
        <f>IF(E526&lt;&gt;"", ROUNDUP(E526/D526,0),"")</f>
        <v>25568.666666666668</v>
      </c>
      <c r="G526" s="479">
        <f>IF(E526&lt;&gt;"", (SQRT(D526*E526))/300, "")</f>
      </c>
      <c r="H526" s="480"/>
      <c r="I526" s="480"/>
      <c r="J526" s="480"/>
      <c r="K526" s="481"/>
      <c r="L526" s="482" t="s">
        <v>830</v>
      </c>
      <c r="M526" s="718">
        <v>45231</v>
      </c>
      <c r="N526" s="223" t="s">
        <v>503</v>
      </c>
      <c r="O526" s="491" t="s">
        <v>2804</v>
      </c>
      <c r="P526" s="259" t="s">
        <v>819</v>
      </c>
      <c r="Q526" s="484"/>
      <c r="R526" s="21" t="s">
        <v>2805</v>
      </c>
      <c r="S526" s="485">
        <v>228</v>
      </c>
    </row>
    <row x14ac:dyDescent="0.25" r="527" customHeight="1" ht="17.25">
      <c r="A527" s="259" t="s">
        <v>2806</v>
      </c>
      <c r="B527" s="462" t="s">
        <v>498</v>
      </c>
      <c r="C527" s="505" t="s">
        <v>2807</v>
      </c>
      <c r="D527" s="512">
        <v>2.3</v>
      </c>
      <c r="E527" s="516"/>
      <c r="F527" s="844"/>
      <c r="G527" s="845"/>
      <c r="H527" s="480"/>
      <c r="I527" s="480"/>
      <c r="J527" s="480"/>
      <c r="K527" s="480"/>
      <c r="L527" s="807" t="s">
        <v>1099</v>
      </c>
      <c r="M527" s="718">
        <v>45231</v>
      </c>
      <c r="N527" s="689" t="s">
        <v>503</v>
      </c>
      <c r="O527" s="271" t="s">
        <v>2808</v>
      </c>
      <c r="P527" s="259" t="s">
        <v>819</v>
      </c>
      <c r="Q527" s="590"/>
      <c r="R527" s="591" t="s">
        <v>2809</v>
      </c>
      <c r="S527" s="485">
        <v>227</v>
      </c>
    </row>
    <row x14ac:dyDescent="0.25" r="528" customHeight="1" ht="17.25">
      <c r="A528" s="259" t="s">
        <v>2810</v>
      </c>
      <c r="B528" s="462" t="s">
        <v>828</v>
      </c>
      <c r="C528" s="505" t="s">
        <v>2811</v>
      </c>
      <c r="D528" s="512"/>
      <c r="E528" s="516"/>
      <c r="F528" s="844"/>
      <c r="G528" s="845"/>
      <c r="H528" s="480"/>
      <c r="I528" s="480"/>
      <c r="J528" s="480"/>
      <c r="K528" s="480"/>
      <c r="L528" s="807" t="s">
        <v>1099</v>
      </c>
      <c r="M528" s="718">
        <v>45231</v>
      </c>
      <c r="N528" s="500" t="s">
        <v>470</v>
      </c>
      <c r="O528" s="271" t="s">
        <v>2812</v>
      </c>
      <c r="P528" s="259" t="s">
        <v>819</v>
      </c>
      <c r="Q528" s="590"/>
      <c r="R528" s="249" t="s">
        <v>2813</v>
      </c>
      <c r="S528" s="485">
        <v>226</v>
      </c>
    </row>
    <row x14ac:dyDescent="0.25" r="529" customHeight="1" ht="17.25">
      <c r="A529" s="592" t="s">
        <v>2814</v>
      </c>
      <c r="B529" s="21" t="s">
        <v>2815</v>
      </c>
      <c r="C529" s="629" t="s">
        <v>2816</v>
      </c>
      <c r="D529" s="630">
        <v>102.6</v>
      </c>
      <c r="E529" s="631">
        <v>288</v>
      </c>
      <c r="F529" s="263">
        <f>IF(E529&lt;&gt;"", ROUNDUP(E529/D529,0),"")</f>
        <v>25568.666666666668</v>
      </c>
      <c r="G529" s="778">
        <f>IF(E529&lt;&gt;"", (SQRT(D529*E529))/300, "")</f>
      </c>
      <c r="H529" s="480"/>
      <c r="I529" s="480"/>
      <c r="J529" s="480"/>
      <c r="K529" s="481"/>
      <c r="L529" s="482" t="s">
        <v>830</v>
      </c>
      <c r="M529" s="718">
        <v>45231</v>
      </c>
      <c r="N529" s="689" t="s">
        <v>503</v>
      </c>
      <c r="O529" s="589" t="s">
        <v>2817</v>
      </c>
      <c r="P529" s="259" t="s">
        <v>819</v>
      </c>
      <c r="Q529" s="779"/>
      <c r="R529" s="16" t="s">
        <v>2818</v>
      </c>
      <c r="S529" s="485">
        <v>225</v>
      </c>
    </row>
    <row x14ac:dyDescent="0.25" r="530" customHeight="1" ht="17.25">
      <c r="A530" s="592" t="s">
        <v>2819</v>
      </c>
      <c r="B530" s="21" t="s">
        <v>2820</v>
      </c>
      <c r="C530" s="629" t="s">
        <v>2821</v>
      </c>
      <c r="D530" s="631">
        <v>70</v>
      </c>
      <c r="E530" s="631">
        <v>2000</v>
      </c>
      <c r="F530" s="263">
        <f>IF(E530&lt;&gt;"", ROUNDUP(E530/D530,0),"")</f>
        <v>25568.666666666668</v>
      </c>
      <c r="G530" s="778">
        <f>IF(E530&lt;&gt;"", (SQRT(D530*E530))/300, "")</f>
      </c>
      <c r="H530" s="480"/>
      <c r="I530" s="480"/>
      <c r="J530" s="480"/>
      <c r="K530" s="481"/>
      <c r="L530" s="482" t="s">
        <v>830</v>
      </c>
      <c r="M530" s="718">
        <v>45231</v>
      </c>
      <c r="N530" s="689" t="s">
        <v>503</v>
      </c>
      <c r="O530" s="589" t="s">
        <v>2822</v>
      </c>
      <c r="P530" s="259" t="s">
        <v>819</v>
      </c>
      <c r="Q530" s="779"/>
      <c r="R530" s="16" t="s">
        <v>2823</v>
      </c>
      <c r="S530" s="485">
        <v>224</v>
      </c>
    </row>
    <row x14ac:dyDescent="0.25" r="531" customHeight="1" ht="17.25">
      <c r="A531" s="228" t="s">
        <v>2824</v>
      </c>
      <c r="B531" s="21" t="s">
        <v>834</v>
      </c>
      <c r="C531" s="846"/>
      <c r="D531" s="620">
        <v>0.1</v>
      </c>
      <c r="E531" s="620">
        <v>0.3</v>
      </c>
      <c r="F531" s="230">
        <f>IF(E531&lt;&gt;"", ROUNDUP(E531/D531,0),"")</f>
        <v>25568.666666666668</v>
      </c>
      <c r="G531" s="479">
        <f>IF(E531&lt;&gt;"", (SQRT(D531*E531))/300, "")</f>
      </c>
      <c r="H531" s="480"/>
      <c r="I531" s="480"/>
      <c r="J531" s="480"/>
      <c r="K531" s="481"/>
      <c r="L531" s="750" t="s">
        <v>1099</v>
      </c>
      <c r="M531" s="718">
        <v>45231</v>
      </c>
      <c r="N531" s="500" t="s">
        <v>470</v>
      </c>
      <c r="O531" s="608" t="s">
        <v>2825</v>
      </c>
      <c r="P531" s="259" t="s">
        <v>819</v>
      </c>
      <c r="Q531" s="566"/>
      <c r="R531" s="228" t="s">
        <v>2826</v>
      </c>
      <c r="S531" s="485">
        <v>223</v>
      </c>
    </row>
    <row x14ac:dyDescent="0.25" r="532" customHeight="1" ht="17.25">
      <c r="A532" s="259" t="s">
        <v>2827</v>
      </c>
      <c r="B532" s="21" t="s">
        <v>1753</v>
      </c>
      <c r="C532" s="586" t="s">
        <v>2828</v>
      </c>
      <c r="D532" s="486">
        <v>7</v>
      </c>
      <c r="E532" s="486">
        <v>2000</v>
      </c>
      <c r="F532" s="263">
        <f>IF(E532&lt;&gt;"", ROUNDUP(E532/D532,0),"")</f>
        <v>25568.666666666668</v>
      </c>
      <c r="G532" s="847">
        <f>IF(E532&lt;&gt;"", (SQRT(D532*E532))/300, "")</f>
      </c>
      <c r="H532" s="480"/>
      <c r="I532" s="480">
        <v>37.9</v>
      </c>
      <c r="J532" s="480"/>
      <c r="K532" s="481"/>
      <c r="L532" s="482" t="s">
        <v>830</v>
      </c>
      <c r="M532" s="718">
        <v>45231</v>
      </c>
      <c r="N532" s="270" t="s">
        <v>503</v>
      </c>
      <c r="O532" s="511" t="s">
        <v>2829</v>
      </c>
      <c r="P532" s="259" t="s">
        <v>819</v>
      </c>
      <c r="Q532" s="590"/>
      <c r="R532" s="249" t="s">
        <v>2830</v>
      </c>
      <c r="S532" s="485">
        <v>222</v>
      </c>
    </row>
    <row x14ac:dyDescent="0.25" r="533" customHeight="1" ht="17.25">
      <c r="A533" s="228" t="s">
        <v>2831</v>
      </c>
      <c r="B533" s="21" t="s">
        <v>1996</v>
      </c>
      <c r="C533" s="491" t="s">
        <v>2544</v>
      </c>
      <c r="D533" s="226">
        <v>1200</v>
      </c>
      <c r="E533" s="226">
        <v>20000</v>
      </c>
      <c r="F533" s="794">
        <f>IF(E533&lt;&gt;"", ROUNDUP(E533/D533,0),"")</f>
        <v>25568.666666666668</v>
      </c>
      <c r="G533" s="795">
        <f>IF(E533&lt;&gt;"", (SQRT(D533*E533))/300, "")</f>
      </c>
      <c r="H533" s="480"/>
      <c r="I533" s="480"/>
      <c r="J533" s="480"/>
      <c r="K533" s="481"/>
      <c r="L533" s="482" t="s">
        <v>830</v>
      </c>
      <c r="M533" s="718">
        <v>45231</v>
      </c>
      <c r="N533" s="490" t="s">
        <v>503</v>
      </c>
      <c r="O533" s="615" t="s">
        <v>2544</v>
      </c>
      <c r="P533" s="259" t="s">
        <v>819</v>
      </c>
      <c r="Q533" s="566"/>
      <c r="R533" s="228" t="s">
        <v>2832</v>
      </c>
      <c r="S533" s="485">
        <v>221</v>
      </c>
    </row>
    <row x14ac:dyDescent="0.25" r="534" customHeight="1" ht="17.25">
      <c r="A534" s="228" t="s">
        <v>2833</v>
      </c>
      <c r="B534" s="21" t="s">
        <v>523</v>
      </c>
      <c r="C534" s="491" t="s">
        <v>1389</v>
      </c>
      <c r="D534" s="226">
        <v>130</v>
      </c>
      <c r="E534" s="478">
        <v>2500</v>
      </c>
      <c r="F534" s="832">
        <f>IF(E534&lt;&gt;"", ROUNDUP(E534/D534,0),"")</f>
        <v>25568.666666666668</v>
      </c>
      <c r="G534" s="795">
        <f>IF(E534&lt;&gt;"", (SQRT(D534*E534))/300, "")</f>
      </c>
      <c r="H534" s="480">
        <v>78.5</v>
      </c>
      <c r="I534" s="480"/>
      <c r="J534" s="480"/>
      <c r="K534" s="481"/>
      <c r="L534" s="482" t="s">
        <v>830</v>
      </c>
      <c r="M534" s="718">
        <v>45231</v>
      </c>
      <c r="N534" s="490" t="s">
        <v>503</v>
      </c>
      <c r="O534" s="615" t="s">
        <v>2834</v>
      </c>
      <c r="P534" s="259" t="s">
        <v>819</v>
      </c>
      <c r="Q534" s="484"/>
      <c r="R534" s="21" t="s">
        <v>2835</v>
      </c>
      <c r="S534" s="485">
        <v>220</v>
      </c>
    </row>
    <row x14ac:dyDescent="0.25" r="535" customHeight="1" ht="17.25">
      <c r="A535" s="228" t="s">
        <v>2836</v>
      </c>
      <c r="B535" s="21" t="s">
        <v>939</v>
      </c>
      <c r="C535" s="491" t="s">
        <v>2837</v>
      </c>
      <c r="D535" s="477">
        <v>70</v>
      </c>
      <c r="E535" s="477">
        <v>2000</v>
      </c>
      <c r="F535" s="230">
        <f>IF(E535&lt;&gt;"", ROUNDUP(E535/D535,0),"")</f>
        <v>25568.666666666668</v>
      </c>
      <c r="G535" s="479">
        <f>IF(E535&lt;&gt;"", (SQRT(D535*E535))/300, "")</f>
      </c>
      <c r="H535" s="480"/>
      <c r="I535" s="480"/>
      <c r="J535" s="480"/>
      <c r="K535" s="481"/>
      <c r="L535" s="482" t="s">
        <v>830</v>
      </c>
      <c r="M535" s="718">
        <v>45231</v>
      </c>
      <c r="N535" s="223" t="s">
        <v>503</v>
      </c>
      <c r="O535" s="491" t="s">
        <v>2838</v>
      </c>
      <c r="P535" s="259" t="s">
        <v>819</v>
      </c>
      <c r="Q535" s="484"/>
      <c r="R535" s="21" t="s">
        <v>2839</v>
      </c>
      <c r="S535" s="485">
        <v>219</v>
      </c>
    </row>
    <row x14ac:dyDescent="0.25" r="536" customHeight="1" ht="17.25">
      <c r="A536" s="228" t="s">
        <v>2840</v>
      </c>
      <c r="B536" s="21" t="s">
        <v>474</v>
      </c>
      <c r="C536" s="491" t="s">
        <v>2841</v>
      </c>
      <c r="D536" s="477">
        <v>22</v>
      </c>
      <c r="E536" s="477">
        <v>3800</v>
      </c>
      <c r="F536" s="263">
        <f>IF(E536&lt;&gt;"", ROUNDUP(E536/D536,0),"")</f>
        <v>25568.666666666668</v>
      </c>
      <c r="G536" s="487">
        <f>IF(E536&lt;&gt;"", (SQRT(D536*E536))/300, "")</f>
      </c>
      <c r="H536" s="480">
        <v>54.4</v>
      </c>
      <c r="I536" s="480"/>
      <c r="J536" s="480"/>
      <c r="K536" s="481"/>
      <c r="L536" s="482" t="s">
        <v>830</v>
      </c>
      <c r="M536" s="718">
        <v>45231</v>
      </c>
      <c r="N536" s="223" t="s">
        <v>503</v>
      </c>
      <c r="O536" s="615" t="s">
        <v>2842</v>
      </c>
      <c r="P536" s="259" t="s">
        <v>819</v>
      </c>
      <c r="Q536" s="566"/>
      <c r="R536" s="228" t="s">
        <v>2843</v>
      </c>
      <c r="S536" s="485">
        <v>218</v>
      </c>
    </row>
    <row x14ac:dyDescent="0.25" r="537" customHeight="1" ht="17.25">
      <c r="A537" s="228" t="s">
        <v>2844</v>
      </c>
      <c r="B537" s="21" t="s">
        <v>474</v>
      </c>
      <c r="C537" s="33"/>
      <c r="D537" s="477">
        <v>43</v>
      </c>
      <c r="E537" s="478">
        <v>3800</v>
      </c>
      <c r="F537" s="263">
        <f>IF(E537&lt;&gt;"", ROUNDUP(E537/D537,0),"")</f>
        <v>25568.666666666668</v>
      </c>
      <c r="G537" s="487">
        <f>IF(E537&lt;&gt;"", (SQRT(D537*E537))/300, "")</f>
      </c>
      <c r="H537" s="480"/>
      <c r="I537" s="480"/>
      <c r="J537" s="480"/>
      <c r="K537" s="481"/>
      <c r="L537" s="482" t="s">
        <v>830</v>
      </c>
      <c r="M537" s="718">
        <v>45231</v>
      </c>
      <c r="N537" s="500" t="s">
        <v>470</v>
      </c>
      <c r="O537" s="615" t="s">
        <v>2845</v>
      </c>
      <c r="P537" s="259" t="s">
        <v>819</v>
      </c>
      <c r="Q537" s="566"/>
      <c r="R537" s="609" t="s">
        <v>2846</v>
      </c>
      <c r="S537" s="485">
        <v>217</v>
      </c>
    </row>
    <row x14ac:dyDescent="0.25" r="538" customHeight="1" ht="17.25">
      <c r="A538" s="259" t="s">
        <v>2847</v>
      </c>
      <c r="B538" s="21" t="s">
        <v>834</v>
      </c>
      <c r="C538" s="586"/>
      <c r="D538" s="506">
        <v>13</v>
      </c>
      <c r="E538" s="506">
        <v>2001</v>
      </c>
      <c r="F538" s="263">
        <f>IF(E538&lt;&gt;"", ROUNDUP(E538/D538,0),"")</f>
        <v>25568.666666666668</v>
      </c>
      <c r="G538" s="848">
        <f>IF(E538&lt;&gt;"", (SQRT(D538*E538))/300, "")</f>
      </c>
      <c r="H538" s="480"/>
      <c r="I538" s="480"/>
      <c r="J538" s="480"/>
      <c r="K538" s="481"/>
      <c r="L538" s="482" t="s">
        <v>830</v>
      </c>
      <c r="M538" s="718">
        <v>45231</v>
      </c>
      <c r="N538" s="270" t="s">
        <v>484</v>
      </c>
      <c r="O538" s="511" t="s">
        <v>2848</v>
      </c>
      <c r="P538" s="259" t="s">
        <v>819</v>
      </c>
      <c r="Q538" s="272"/>
      <c r="R538" s="560" t="s">
        <v>2849</v>
      </c>
      <c r="S538" s="485">
        <v>216</v>
      </c>
    </row>
    <row x14ac:dyDescent="0.25" r="539" customHeight="1" ht="17.25">
      <c r="A539" s="492" t="s">
        <v>2850</v>
      </c>
      <c r="B539" s="21" t="s">
        <v>834</v>
      </c>
      <c r="C539" s="535" t="s">
        <v>2851</v>
      </c>
      <c r="D539" s="572">
        <v>2.7</v>
      </c>
      <c r="E539" s="496">
        <v>1400</v>
      </c>
      <c r="F539" s="263">
        <f>IF(E539&lt;&gt;"", ROUNDUP(E539/D539,0),"")</f>
        <v>25568.666666666668</v>
      </c>
      <c r="G539" s="848">
        <f>IF(E539&lt;&gt;"", (SQRT(D539*E539))/300, "")</f>
      </c>
      <c r="H539" s="480"/>
      <c r="I539" s="480"/>
      <c r="J539" s="480"/>
      <c r="K539" s="509"/>
      <c r="L539" s="510" t="s">
        <v>836</v>
      </c>
      <c r="M539" s="718">
        <v>45231</v>
      </c>
      <c r="N539" s="490" t="s">
        <v>503</v>
      </c>
      <c r="O539" s="511" t="s">
        <v>2852</v>
      </c>
      <c r="P539" s="259" t="s">
        <v>819</v>
      </c>
      <c r="Q539" s="849"/>
      <c r="R539" s="609" t="s">
        <v>2853</v>
      </c>
      <c r="S539" s="485">
        <v>215</v>
      </c>
    </row>
    <row x14ac:dyDescent="0.25" r="540" customHeight="1" ht="17.25">
      <c r="A540" s="492" t="s">
        <v>2854</v>
      </c>
      <c r="B540" s="21" t="s">
        <v>834</v>
      </c>
      <c r="C540" s="491" t="s">
        <v>2855</v>
      </c>
      <c r="D540" s="572">
        <v>0.771</v>
      </c>
      <c r="E540" s="572"/>
      <c r="F540" s="230"/>
      <c r="G540" s="487"/>
      <c r="H540" s="480"/>
      <c r="I540" s="480"/>
      <c r="J540" s="480"/>
      <c r="K540" s="481"/>
      <c r="L540" s="482" t="s">
        <v>830</v>
      </c>
      <c r="M540" s="718">
        <v>45231</v>
      </c>
      <c r="N540" s="500" t="s">
        <v>503</v>
      </c>
      <c r="O540" s="511" t="s">
        <v>2856</v>
      </c>
      <c r="P540" s="259" t="s">
        <v>819</v>
      </c>
      <c r="Q540" s="566"/>
      <c r="R540" s="228" t="s">
        <v>2857</v>
      </c>
      <c r="S540" s="485">
        <v>214</v>
      </c>
    </row>
    <row x14ac:dyDescent="0.25" r="541" customHeight="1" ht="17.25">
      <c r="A541" s="492" t="s">
        <v>2858</v>
      </c>
      <c r="B541" s="462" t="s">
        <v>828</v>
      </c>
      <c r="C541" s="662"/>
      <c r="D541" s="496">
        <v>3</v>
      </c>
      <c r="E541" s="572"/>
      <c r="F541" s="230"/>
      <c r="G541" s="487"/>
      <c r="H541" s="480"/>
      <c r="I541" s="480"/>
      <c r="J541" s="480"/>
      <c r="K541" s="481"/>
      <c r="L541" s="482" t="s">
        <v>830</v>
      </c>
      <c r="M541" s="718">
        <v>45231</v>
      </c>
      <c r="N541" s="500" t="s">
        <v>470</v>
      </c>
      <c r="O541" s="511" t="s">
        <v>2859</v>
      </c>
      <c r="P541" s="259" t="s">
        <v>819</v>
      </c>
      <c r="Q541" s="566"/>
      <c r="R541" s="228" t="s">
        <v>2860</v>
      </c>
      <c r="S541" s="485">
        <v>213</v>
      </c>
    </row>
    <row x14ac:dyDescent="0.25" r="542" customHeight="1" ht="17.25">
      <c r="A542" s="492" t="s">
        <v>2861</v>
      </c>
      <c r="B542" s="21" t="s">
        <v>2862</v>
      </c>
      <c r="C542" s="535" t="s">
        <v>2863</v>
      </c>
      <c r="D542" s="496">
        <v>8</v>
      </c>
      <c r="E542" s="496">
        <v>737</v>
      </c>
      <c r="F542" s="230">
        <f>IF(E542&lt;&gt;"", ROUNDUP(E542/D542,0),"")</f>
        <v>25568.666666666668</v>
      </c>
      <c r="G542" s="487">
        <f>IF(E542&lt;&gt;"", (SQRT(D542*E542))/300, "")</f>
      </c>
      <c r="H542" s="480"/>
      <c r="I542" s="480"/>
      <c r="J542" s="480"/>
      <c r="K542" s="481"/>
      <c r="L542" s="482" t="s">
        <v>830</v>
      </c>
      <c r="M542" s="718">
        <v>45231</v>
      </c>
      <c r="N542" s="490" t="s">
        <v>503</v>
      </c>
      <c r="O542" s="511" t="s">
        <v>2864</v>
      </c>
      <c r="P542" s="259" t="s">
        <v>819</v>
      </c>
      <c r="Q542" s="566"/>
      <c r="R542" s="228" t="s">
        <v>2865</v>
      </c>
      <c r="S542" s="485">
        <v>212</v>
      </c>
    </row>
    <row x14ac:dyDescent="0.25" r="543" customHeight="1" ht="17.25">
      <c r="A543" s="492" t="s">
        <v>2866</v>
      </c>
      <c r="B543" s="21" t="s">
        <v>1111</v>
      </c>
      <c r="C543" s="535" t="s">
        <v>2867</v>
      </c>
      <c r="D543" s="573">
        <v>7</v>
      </c>
      <c r="E543" s="579"/>
      <c r="F543" s="230">
        <f>IF(E543&lt;&gt;"", ROUNDUP(E543/D543,0),"")</f>
        <v>25568.666666666668</v>
      </c>
      <c r="G543" s="487">
        <f>IF(E543&lt;&gt;"", (SQRT(D543*E543))/300, "")</f>
      </c>
      <c r="H543" s="480"/>
      <c r="I543" s="480"/>
      <c r="J543" s="480"/>
      <c r="K543" s="481"/>
      <c r="L543" s="482" t="s">
        <v>830</v>
      </c>
      <c r="M543" s="718">
        <v>45231</v>
      </c>
      <c r="N543" s="490" t="s">
        <v>484</v>
      </c>
      <c r="O543" s="511" t="s">
        <v>2867</v>
      </c>
      <c r="P543" s="259" t="s">
        <v>819</v>
      </c>
      <c r="Q543" s="566"/>
      <c r="R543" s="228" t="s">
        <v>2868</v>
      </c>
      <c r="S543" s="485">
        <v>211</v>
      </c>
    </row>
    <row x14ac:dyDescent="0.25" r="544" customHeight="1" ht="17.25">
      <c r="A544" s="492" t="s">
        <v>2869</v>
      </c>
      <c r="B544" s="21" t="s">
        <v>811</v>
      </c>
      <c r="C544" s="535" t="s">
        <v>2486</v>
      </c>
      <c r="D544" s="722">
        <v>314</v>
      </c>
      <c r="E544" s="526">
        <v>6000</v>
      </c>
      <c r="F544" s="230">
        <f>IF(E544&lt;&gt;"", ROUNDUP(E544/D544,0),"")</f>
        <v>25568.666666666668</v>
      </c>
      <c r="G544" s="487">
        <f>IF(E544&lt;&gt;"", (SQRT(D544*E544))/300, "")</f>
      </c>
      <c r="H544" s="480"/>
      <c r="I544" s="480"/>
      <c r="J544" s="480"/>
      <c r="K544" s="481"/>
      <c r="L544" s="482" t="s">
        <v>830</v>
      </c>
      <c r="M544" s="718">
        <v>45231</v>
      </c>
      <c r="N544" s="490" t="s">
        <v>503</v>
      </c>
      <c r="O544" s="511" t="s">
        <v>2870</v>
      </c>
      <c r="P544" s="259" t="s">
        <v>802</v>
      </c>
      <c r="Q544" s="566"/>
      <c r="R544" s="609" t="s">
        <v>2871</v>
      </c>
      <c r="S544" s="485">
        <v>210</v>
      </c>
    </row>
    <row x14ac:dyDescent="0.25" r="545" customHeight="1" ht="17.25">
      <c r="A545" s="259" t="s">
        <v>2872</v>
      </c>
      <c r="B545" s="21" t="s">
        <v>811</v>
      </c>
      <c r="C545" s="535" t="s">
        <v>2486</v>
      </c>
      <c r="D545" s="850">
        <v>33</v>
      </c>
      <c r="E545" s="573">
        <v>2000</v>
      </c>
      <c r="F545" s="230">
        <f>IF(E545&lt;&gt;"", ROUNDUP(E545/D545,0),"")</f>
        <v>25568.666666666668</v>
      </c>
      <c r="G545" s="487">
        <f>IF(E545&lt;&gt;"", (SQRT(D545*E545))/300, "")</f>
      </c>
      <c r="H545" s="480"/>
      <c r="I545" s="480"/>
      <c r="J545" s="480"/>
      <c r="K545" s="481"/>
      <c r="L545" s="482" t="s">
        <v>830</v>
      </c>
      <c r="M545" s="718">
        <v>45231</v>
      </c>
      <c r="N545" s="500" t="s">
        <v>470</v>
      </c>
      <c r="O545" s="511" t="s">
        <v>2873</v>
      </c>
      <c r="P545" s="259" t="s">
        <v>819</v>
      </c>
      <c r="Q545" s="566"/>
      <c r="R545" s="228" t="s">
        <v>2874</v>
      </c>
      <c r="S545" s="485">
        <v>209</v>
      </c>
    </row>
    <row x14ac:dyDescent="0.25" r="546" customHeight="1" ht="17.25">
      <c r="A546" s="259" t="s">
        <v>2875</v>
      </c>
      <c r="B546" s="462" t="s">
        <v>1983</v>
      </c>
      <c r="C546" s="505" t="s">
        <v>2876</v>
      </c>
      <c r="D546" s="512">
        <v>34.4</v>
      </c>
      <c r="E546" s="496">
        <v>3000</v>
      </c>
      <c r="F546" s="230">
        <f>IF(E546&lt;&gt;"", ROUNDUP(E546/D546,0),"")</f>
        <v>25568.666666666668</v>
      </c>
      <c r="G546" s="487">
        <f>IF(E546&lt;&gt;"", (SQRT(D546*E546))/300, "")</f>
      </c>
      <c r="H546" s="480">
        <v>76.3</v>
      </c>
      <c r="I546" s="656">
        <v>43</v>
      </c>
      <c r="J546" s="480"/>
      <c r="K546" s="481"/>
      <c r="L546" s="482" t="s">
        <v>830</v>
      </c>
      <c r="M546" s="718">
        <v>45231</v>
      </c>
      <c r="N546" s="490" t="s">
        <v>503</v>
      </c>
      <c r="O546" s="511" t="s">
        <v>2877</v>
      </c>
      <c r="P546" s="259" t="s">
        <v>819</v>
      </c>
      <c r="Q546" s="566"/>
      <c r="R546" s="609" t="s">
        <v>2878</v>
      </c>
      <c r="S546" s="485">
        <v>208</v>
      </c>
    </row>
    <row x14ac:dyDescent="0.25" r="547" customHeight="1" ht="17.25">
      <c r="A547" s="228" t="s">
        <v>2879</v>
      </c>
      <c r="B547" s="462" t="s">
        <v>490</v>
      </c>
      <c r="C547" s="491" t="s">
        <v>2437</v>
      </c>
      <c r="D547" s="226">
        <v>70</v>
      </c>
      <c r="E547" s="478">
        <v>13000</v>
      </c>
      <c r="F547" s="230">
        <f>IF(E547&lt;&gt;"", ROUNDUP(E547/D547,0),"")</f>
        <v>25568.666666666668</v>
      </c>
      <c r="G547" s="479">
        <f>IF(E547&lt;&gt;"", (SQRT(D547*E547))/300, "")</f>
      </c>
      <c r="H547" s="488">
        <v>86.4</v>
      </c>
      <c r="I547" s="488"/>
      <c r="J547" s="481">
        <v>46.5</v>
      </c>
      <c r="K547" s="481"/>
      <c r="L547" s="482" t="s">
        <v>830</v>
      </c>
      <c r="M547" s="231">
        <v>45231</v>
      </c>
      <c r="N547" s="223" t="s">
        <v>503</v>
      </c>
      <c r="O547" s="615" t="s">
        <v>2438</v>
      </c>
      <c r="P547" s="228" t="s">
        <v>802</v>
      </c>
      <c r="Q547" s="484" t="s">
        <v>808</v>
      </c>
      <c r="R547" s="25" t="s">
        <v>2880</v>
      </c>
      <c r="S547" s="485">
        <v>207</v>
      </c>
    </row>
    <row x14ac:dyDescent="0.25" r="548" customHeight="1" ht="17.25">
      <c r="A548" s="259" t="s">
        <v>1400</v>
      </c>
      <c r="B548" s="462" t="s">
        <v>828</v>
      </c>
      <c r="C548" s="851"/>
      <c r="D548" s="512">
        <v>0.85</v>
      </c>
      <c r="E548" s="496">
        <v>80</v>
      </c>
      <c r="F548" s="230">
        <f>IF(E548&lt;&gt;"", ROUNDUP(E548/D548,0),"")</f>
        <v>25568.666666666668</v>
      </c>
      <c r="G548" s="487">
        <f>IF(E548&lt;&gt;"", (SQRT(D548*E548))/300, "")</f>
      </c>
      <c r="H548" s="480"/>
      <c r="I548" s="480"/>
      <c r="J548" s="480"/>
      <c r="K548" s="481"/>
      <c r="L548" s="482"/>
      <c r="M548" s="231">
        <v>45200</v>
      </c>
      <c r="N548" s="490" t="s">
        <v>503</v>
      </c>
      <c r="O548" s="511" t="s">
        <v>2881</v>
      </c>
      <c r="P548" s="259" t="s">
        <v>1400</v>
      </c>
      <c r="Q548" s="566"/>
      <c r="R548" s="228" t="s">
        <v>2882</v>
      </c>
      <c r="S548" s="485">
        <v>206</v>
      </c>
    </row>
    <row x14ac:dyDescent="0.25" r="549" customHeight="1" ht="17.25">
      <c r="A549" s="259" t="s">
        <v>2883</v>
      </c>
      <c r="B549" s="462" t="s">
        <v>2281</v>
      </c>
      <c r="C549" s="851"/>
      <c r="D549" s="486">
        <v>13</v>
      </c>
      <c r="E549" s="496">
        <v>3200</v>
      </c>
      <c r="F549" s="230">
        <f>IF(E549&lt;&gt;"", ROUNDUP(E549/D549,0),"")</f>
        <v>25568.666666666668</v>
      </c>
      <c r="G549" s="487">
        <f>IF(E549&lt;&gt;"", (SQRT(D549*E549))/300, "")</f>
      </c>
      <c r="H549" s="480">
        <v>62.7</v>
      </c>
      <c r="I549" s="480"/>
      <c r="J549" s="480"/>
      <c r="K549" s="481"/>
      <c r="L549" s="482" t="s">
        <v>830</v>
      </c>
      <c r="M549" s="231">
        <v>45200</v>
      </c>
      <c r="N549" s="490" t="s">
        <v>503</v>
      </c>
      <c r="O549" s="511" t="s">
        <v>2884</v>
      </c>
      <c r="P549" s="259" t="s">
        <v>819</v>
      </c>
      <c r="Q549" s="566"/>
      <c r="R549" s="228" t="s">
        <v>2885</v>
      </c>
      <c r="S549" s="485">
        <v>205</v>
      </c>
    </row>
    <row x14ac:dyDescent="0.25" r="550" customHeight="1" ht="17.25">
      <c r="A550" s="259" t="s">
        <v>2886</v>
      </c>
      <c r="B550" s="21" t="s">
        <v>1064</v>
      </c>
      <c r="C550" s="505" t="s">
        <v>1900</v>
      </c>
      <c r="D550" s="486">
        <v>100</v>
      </c>
      <c r="E550" s="573">
        <v>2000</v>
      </c>
      <c r="F550" s="230">
        <f>IF(E550&lt;&gt;"", ROUNDUP(E550/D550,0),"")</f>
        <v>25568.666666666668</v>
      </c>
      <c r="G550" s="487">
        <f>IF(E550&lt;&gt;"", (SQRT(D550*E550))/300, "")</f>
      </c>
      <c r="H550" s="480"/>
      <c r="I550" s="480"/>
      <c r="J550" s="480"/>
      <c r="K550" s="481"/>
      <c r="L550" s="482" t="s">
        <v>830</v>
      </c>
      <c r="M550" s="231">
        <v>45200</v>
      </c>
      <c r="N550" s="490" t="s">
        <v>503</v>
      </c>
      <c r="O550" s="511" t="s">
        <v>2887</v>
      </c>
      <c r="P550" s="259" t="s">
        <v>819</v>
      </c>
      <c r="Q550" s="566"/>
      <c r="R550" s="228" t="s">
        <v>2888</v>
      </c>
      <c r="S550" s="485">
        <v>204</v>
      </c>
    </row>
    <row x14ac:dyDescent="0.25" r="551" customHeight="1" ht="17.25">
      <c r="A551" s="259" t="s">
        <v>2889</v>
      </c>
      <c r="B551" s="21" t="s">
        <v>2053</v>
      </c>
      <c r="C551" s="505" t="s">
        <v>2890</v>
      </c>
      <c r="D551" s="512">
        <v>0.435</v>
      </c>
      <c r="E551" s="852"/>
      <c r="F551" s="844"/>
      <c r="G551" s="845"/>
      <c r="H551" s="480"/>
      <c r="I551" s="480"/>
      <c r="J551" s="480"/>
      <c r="K551" s="481"/>
      <c r="L551" s="482" t="s">
        <v>830</v>
      </c>
      <c r="M551" s="231">
        <v>45200</v>
      </c>
      <c r="N551" s="490" t="s">
        <v>503</v>
      </c>
      <c r="O551" s="511" t="s">
        <v>2891</v>
      </c>
      <c r="P551" s="259" t="s">
        <v>819</v>
      </c>
      <c r="Q551" s="566"/>
      <c r="R551" s="609" t="s">
        <v>2892</v>
      </c>
      <c r="S551" s="485">
        <v>203</v>
      </c>
    </row>
    <row x14ac:dyDescent="0.25" r="552" customHeight="1" ht="17.25">
      <c r="A552" s="259" t="s">
        <v>2893</v>
      </c>
      <c r="B552" s="21" t="s">
        <v>2694</v>
      </c>
      <c r="C552" s="505" t="s">
        <v>2894</v>
      </c>
      <c r="D552" s="486">
        <v>8</v>
      </c>
      <c r="E552" s="516"/>
      <c r="F552" s="844"/>
      <c r="G552" s="845"/>
      <c r="H552" s="480"/>
      <c r="I552" s="480"/>
      <c r="J552" s="480"/>
      <c r="K552" s="481"/>
      <c r="L552" s="482" t="s">
        <v>830</v>
      </c>
      <c r="M552" s="231">
        <v>45200</v>
      </c>
      <c r="N552" s="490" t="s">
        <v>503</v>
      </c>
      <c r="O552" s="271" t="s">
        <v>2895</v>
      </c>
      <c r="P552" s="259" t="s">
        <v>819</v>
      </c>
      <c r="Q552" s="566"/>
      <c r="R552" s="228" t="s">
        <v>2896</v>
      </c>
      <c r="S552" s="485">
        <v>202</v>
      </c>
    </row>
    <row x14ac:dyDescent="0.25" r="553" customHeight="1" ht="17.25">
      <c r="A553" s="228" t="s">
        <v>2897</v>
      </c>
      <c r="B553" s="462" t="s">
        <v>1039</v>
      </c>
      <c r="C553" s="491" t="s">
        <v>1585</v>
      </c>
      <c r="D553" s="477">
        <v>1000</v>
      </c>
      <c r="E553" s="478">
        <v>20000</v>
      </c>
      <c r="F553" s="230">
        <f>IF(E553&lt;&gt;"", ROUNDUP(E553/D553,0),"")</f>
        <v>25568.666666666668</v>
      </c>
      <c r="G553" s="479">
        <f>IF(E553&lt;&gt;"", (SQRT(D553*E553))/300, "")</f>
      </c>
      <c r="H553" s="481"/>
      <c r="I553" s="481"/>
      <c r="J553" s="481"/>
      <c r="K553" s="481"/>
      <c r="L553" s="482" t="s">
        <v>830</v>
      </c>
      <c r="M553" s="231">
        <v>45200</v>
      </c>
      <c r="N553" s="223" t="s">
        <v>503</v>
      </c>
      <c r="O553" s="608" t="s">
        <v>2898</v>
      </c>
      <c r="P553" s="228" t="s">
        <v>819</v>
      </c>
      <c r="Q553" s="566" t="s">
        <v>808</v>
      </c>
      <c r="R553" s="228" t="s">
        <v>2899</v>
      </c>
      <c r="S553" s="485">
        <v>201</v>
      </c>
    </row>
    <row x14ac:dyDescent="0.25" r="554" customHeight="1" ht="17.25">
      <c r="A554" s="228" t="s">
        <v>2900</v>
      </c>
      <c r="B554" s="21" t="s">
        <v>2428</v>
      </c>
      <c r="C554" s="491" t="s">
        <v>2901</v>
      </c>
      <c r="D554" s="24">
        <v>7.3</v>
      </c>
      <c r="E554" s="762">
        <v>800</v>
      </c>
      <c r="F554" s="230">
        <f>IF(E554&lt;&gt;"", ROUNDUP(E554/D554,0),"")</f>
        <v>25568.666666666668</v>
      </c>
      <c r="G554" s="487">
        <f>IF(E554&lt;&gt;"", (SQRT(D554*E554))/300, "")</f>
      </c>
      <c r="H554" s="480"/>
      <c r="I554" s="656">
        <v>33</v>
      </c>
      <c r="J554" s="480"/>
      <c r="K554" s="481"/>
      <c r="L554" s="482" t="s">
        <v>830</v>
      </c>
      <c r="M554" s="231">
        <v>45200</v>
      </c>
      <c r="N554" s="490" t="s">
        <v>503</v>
      </c>
      <c r="O554" s="491" t="s">
        <v>2901</v>
      </c>
      <c r="P554" s="259" t="s">
        <v>819</v>
      </c>
      <c r="Q554" s="566"/>
      <c r="R554" s="228" t="s">
        <v>2902</v>
      </c>
      <c r="S554" s="485">
        <v>200</v>
      </c>
    </row>
    <row x14ac:dyDescent="0.25" r="555" customHeight="1" ht="17.25">
      <c r="A555" s="492" t="s">
        <v>2903</v>
      </c>
      <c r="B555" s="462" t="s">
        <v>828</v>
      </c>
      <c r="C555" s="834"/>
      <c r="D555" s="496">
        <v>5</v>
      </c>
      <c r="E555" s="572"/>
      <c r="F555" s="853">
        <f>IF(E555&lt;&gt;"", ROUNDUP(E555/D555,0),"")</f>
        <v>25568.666666666668</v>
      </c>
      <c r="G555" s="854">
        <f>IF(E555&lt;&gt;"", (SQRT(D555*E555))/300, "")</f>
      </c>
      <c r="H555" s="480"/>
      <c r="I555" s="480"/>
      <c r="J555" s="480"/>
      <c r="K555" s="509"/>
      <c r="L555" s="642" t="s">
        <v>1099</v>
      </c>
      <c r="M555" s="231">
        <v>45200</v>
      </c>
      <c r="N555" s="500" t="s">
        <v>470</v>
      </c>
      <c r="O555" s="501" t="s">
        <v>2904</v>
      </c>
      <c r="P555" s="259" t="s">
        <v>819</v>
      </c>
      <c r="Q555" s="583"/>
      <c r="R555" s="584" t="s">
        <v>2905</v>
      </c>
      <c r="S555" s="485">
        <v>199</v>
      </c>
    </row>
    <row x14ac:dyDescent="0.25" r="556" customHeight="1" ht="17.25">
      <c r="A556" s="228" t="s">
        <v>2906</v>
      </c>
      <c r="B556" s="21" t="s">
        <v>474</v>
      </c>
      <c r="C556" s="33"/>
      <c r="D556" s="477">
        <v>48</v>
      </c>
      <c r="E556" s="477">
        <v>1200</v>
      </c>
      <c r="F556" s="230">
        <f>IF(E556&lt;&gt;"", ROUNDUP(E556/D556,0),"")</f>
        <v>25568.666666666668</v>
      </c>
      <c r="G556" s="479">
        <f>IF(E556&lt;&gt;"", (SQRT(D556*E556))/300, "")</f>
      </c>
      <c r="H556" s="480"/>
      <c r="I556" s="480"/>
      <c r="J556" s="480"/>
      <c r="K556" s="481"/>
      <c r="L556" s="482" t="s">
        <v>830</v>
      </c>
      <c r="M556" s="231">
        <v>45200</v>
      </c>
      <c r="N556" s="223" t="s">
        <v>503</v>
      </c>
      <c r="O556" s="491" t="s">
        <v>2907</v>
      </c>
      <c r="P556" s="259" t="s">
        <v>819</v>
      </c>
      <c r="Q556" s="484"/>
      <c r="R556" s="21" t="s">
        <v>2908</v>
      </c>
      <c r="S556" s="485">
        <v>198</v>
      </c>
    </row>
    <row x14ac:dyDescent="0.25" r="557" customHeight="1" ht="17.25">
      <c r="A557" s="492" t="s">
        <v>2909</v>
      </c>
      <c r="B557" s="21" t="s">
        <v>1326</v>
      </c>
      <c r="C557" s="535" t="s">
        <v>2445</v>
      </c>
      <c r="D557" s="23">
        <v>13</v>
      </c>
      <c r="E557" s="23">
        <v>2000</v>
      </c>
      <c r="F557" s="230">
        <f>IF(E557&lt;&gt;"", ROUNDUP(E557/D557,0),"")</f>
        <v>25568.666666666668</v>
      </c>
      <c r="G557" s="487">
        <f>IF(E557&lt;&gt;"", (SQRT(D557*E557))/300, "")</f>
      </c>
      <c r="H557" s="480"/>
      <c r="I557" s="480"/>
      <c r="J557" s="480"/>
      <c r="K557" s="481"/>
      <c r="L557" s="750" t="s">
        <v>2446</v>
      </c>
      <c r="M557" s="718">
        <v>45200</v>
      </c>
      <c r="N557" s="490" t="s">
        <v>503</v>
      </c>
      <c r="O557" s="495" t="s">
        <v>2910</v>
      </c>
      <c r="P557" s="259" t="s">
        <v>819</v>
      </c>
      <c r="Q557" s="583"/>
      <c r="R557" s="503" t="s">
        <v>2911</v>
      </c>
      <c r="S557" s="485">
        <v>197</v>
      </c>
    </row>
    <row x14ac:dyDescent="0.25" r="558" customHeight="1" ht="17.25">
      <c r="A558" s="228" t="s">
        <v>2912</v>
      </c>
      <c r="B558" s="21" t="s">
        <v>2913</v>
      </c>
      <c r="C558" s="491" t="s">
        <v>2914</v>
      </c>
      <c r="D558" s="477">
        <v>70</v>
      </c>
      <c r="E558" s="477">
        <v>2090</v>
      </c>
      <c r="F558" s="230">
        <f>IF(E558&lt;&gt;"", ROUNDUP(E558/D558,0),"")</f>
        <v>25568.666666666668</v>
      </c>
      <c r="G558" s="479">
        <f>IF(E558&lt;&gt;"", (SQRT(D558*E558))/300, "")</f>
      </c>
      <c r="H558" s="480"/>
      <c r="I558" s="480"/>
      <c r="J558" s="480"/>
      <c r="K558" s="481"/>
      <c r="L558" s="482" t="s">
        <v>830</v>
      </c>
      <c r="M558" s="231">
        <v>45200</v>
      </c>
      <c r="N558" s="223" t="s">
        <v>503</v>
      </c>
      <c r="O558" s="491" t="s">
        <v>2915</v>
      </c>
      <c r="P558" s="259" t="s">
        <v>819</v>
      </c>
      <c r="Q558" s="484"/>
      <c r="R558" s="491" t="s">
        <v>2915</v>
      </c>
      <c r="S558" s="485">
        <v>196</v>
      </c>
    </row>
    <row x14ac:dyDescent="0.25" r="559" customHeight="1" ht="17.25">
      <c r="A559" s="492" t="s">
        <v>2916</v>
      </c>
      <c r="B559" s="21" t="s">
        <v>2917</v>
      </c>
      <c r="C559" s="518" t="s">
        <v>2918</v>
      </c>
      <c r="D559" s="631">
        <v>13</v>
      </c>
      <c r="E559" s="23">
        <v>2010</v>
      </c>
      <c r="F559" s="230">
        <f>IF(E559&lt;&gt;"", ROUNDUP(E559/D559,0),"")</f>
        <v>25568.666666666668</v>
      </c>
      <c r="G559" s="487">
        <f>IF(E559&lt;&gt;"", (SQRT(D559*E559))/300, "")</f>
      </c>
      <c r="H559" s="480"/>
      <c r="I559" s="480"/>
      <c r="J559" s="480"/>
      <c r="K559" s="481"/>
      <c r="L559" s="482" t="s">
        <v>830</v>
      </c>
      <c r="M559" s="231">
        <v>45200</v>
      </c>
      <c r="N559" s="490" t="s">
        <v>503</v>
      </c>
      <c r="O559" s="495" t="s">
        <v>2919</v>
      </c>
      <c r="P559" s="259" t="s">
        <v>819</v>
      </c>
      <c r="Q559" s="583"/>
      <c r="R559" s="503" t="s">
        <v>2920</v>
      </c>
      <c r="S559" s="485">
        <v>195</v>
      </c>
    </row>
    <row x14ac:dyDescent="0.25" r="560" customHeight="1" ht="17.25">
      <c r="A560" s="492" t="s">
        <v>2921</v>
      </c>
      <c r="B560" s="21" t="s">
        <v>1293</v>
      </c>
      <c r="C560" s="518" t="s">
        <v>2922</v>
      </c>
      <c r="D560" s="579"/>
      <c r="E560" s="579"/>
      <c r="F560" s="853"/>
      <c r="G560" s="854"/>
      <c r="H560" s="480"/>
      <c r="I560" s="480"/>
      <c r="J560" s="480"/>
      <c r="K560" s="481"/>
      <c r="L560" s="482" t="s">
        <v>830</v>
      </c>
      <c r="M560" s="231">
        <v>45200</v>
      </c>
      <c r="N560" s="490" t="s">
        <v>484</v>
      </c>
      <c r="O560" s="495" t="s">
        <v>2923</v>
      </c>
      <c r="P560" s="259" t="s">
        <v>819</v>
      </c>
      <c r="Q560" s="583"/>
      <c r="R560" s="503" t="s">
        <v>2924</v>
      </c>
      <c r="S560" s="485">
        <v>194</v>
      </c>
    </row>
    <row x14ac:dyDescent="0.25" r="561" customHeight="1" ht="17.25">
      <c r="A561" s="592" t="s">
        <v>2925</v>
      </c>
      <c r="B561" s="462" t="s">
        <v>828</v>
      </c>
      <c r="C561" s="685" t="s">
        <v>2926</v>
      </c>
      <c r="D561" s="631">
        <v>55</v>
      </c>
      <c r="E561" s="630"/>
      <c r="F561" s="263"/>
      <c r="G561" s="778"/>
      <c r="H561" s="480"/>
      <c r="I561" s="480"/>
      <c r="J561" s="480"/>
      <c r="K561" s="32"/>
      <c r="L561" s="855" t="s">
        <v>1099</v>
      </c>
      <c r="M561" s="231">
        <v>45200</v>
      </c>
      <c r="N561" s="490" t="s">
        <v>503</v>
      </c>
      <c r="O561" s="690" t="s">
        <v>2927</v>
      </c>
      <c r="P561" s="259" t="s">
        <v>819</v>
      </c>
      <c r="Q561" s="779"/>
      <c r="R561" s="16" t="s">
        <v>2928</v>
      </c>
      <c r="S561" s="485">
        <v>193</v>
      </c>
    </row>
    <row x14ac:dyDescent="0.25" r="562" customHeight="1" ht="17.25">
      <c r="A562" s="592" t="s">
        <v>2929</v>
      </c>
      <c r="B562" s="21" t="s">
        <v>2930</v>
      </c>
      <c r="C562" s="856"/>
      <c r="D562" s="630">
        <v>0.09</v>
      </c>
      <c r="E562" s="630"/>
      <c r="F562" s="263"/>
      <c r="G562" s="778"/>
      <c r="H562" s="480"/>
      <c r="I562" s="480"/>
      <c r="J562" s="480"/>
      <c r="K562" s="32"/>
      <c r="L562" s="855" t="s">
        <v>1099</v>
      </c>
      <c r="M562" s="231">
        <v>45170</v>
      </c>
      <c r="N562" s="754" t="s">
        <v>470</v>
      </c>
      <c r="O562" s="690" t="s">
        <v>2931</v>
      </c>
      <c r="P562" s="259" t="s">
        <v>819</v>
      </c>
      <c r="Q562" s="779"/>
      <c r="R562" s="14" t="s">
        <v>2932</v>
      </c>
      <c r="S562" s="485">
        <v>192</v>
      </c>
    </row>
    <row x14ac:dyDescent="0.25" r="563" customHeight="1" ht="17.25">
      <c r="A563" s="592" t="s">
        <v>2933</v>
      </c>
      <c r="B563" s="21" t="s">
        <v>2934</v>
      </c>
      <c r="C563" s="629" t="s">
        <v>2935</v>
      </c>
      <c r="D563" s="631">
        <v>9</v>
      </c>
      <c r="E563" s="630"/>
      <c r="F563" s="263"/>
      <c r="G563" s="778"/>
      <c r="H563" s="480"/>
      <c r="I563" s="480"/>
      <c r="J563" s="480"/>
      <c r="K563" s="481"/>
      <c r="L563" s="482" t="s">
        <v>830</v>
      </c>
      <c r="M563" s="231">
        <v>45170</v>
      </c>
      <c r="N563" s="754" t="s">
        <v>470</v>
      </c>
      <c r="O563" s="690" t="s">
        <v>2936</v>
      </c>
      <c r="P563" s="259" t="s">
        <v>819</v>
      </c>
      <c r="Q563" s="779"/>
      <c r="R563" s="16" t="s">
        <v>2937</v>
      </c>
      <c r="S563" s="485">
        <v>191</v>
      </c>
    </row>
    <row x14ac:dyDescent="0.25" r="564" customHeight="1" ht="17.25">
      <c r="A564" s="592" t="s">
        <v>2938</v>
      </c>
      <c r="B564" s="462" t="s">
        <v>494</v>
      </c>
      <c r="C564" s="685" t="s">
        <v>2939</v>
      </c>
      <c r="D564" s="631">
        <v>72</v>
      </c>
      <c r="E564" s="631">
        <v>3000</v>
      </c>
      <c r="F564" s="263">
        <f>IF(E564&lt;&gt;"", ROUNDUP(E564/D564,0),"")</f>
        <v>25568.666666666668</v>
      </c>
      <c r="G564" s="778">
        <f>IF(E564&lt;&gt;"", (SQRT(D564*E564))/300, "")</f>
      </c>
      <c r="H564" s="480"/>
      <c r="I564" s="480"/>
      <c r="J564" s="480"/>
      <c r="K564" s="481"/>
      <c r="L564" s="482" t="s">
        <v>830</v>
      </c>
      <c r="M564" s="231">
        <v>45170</v>
      </c>
      <c r="N564" s="490" t="s">
        <v>503</v>
      </c>
      <c r="O564" s="589" t="s">
        <v>2940</v>
      </c>
      <c r="P564" s="259" t="s">
        <v>819</v>
      </c>
      <c r="Q564" s="779"/>
      <c r="R564" s="16" t="s">
        <v>2941</v>
      </c>
      <c r="S564" s="485">
        <v>190</v>
      </c>
    </row>
    <row x14ac:dyDescent="0.25" r="565" customHeight="1" ht="17.25">
      <c r="A565" s="592" t="s">
        <v>2942</v>
      </c>
      <c r="B565" s="462" t="s">
        <v>498</v>
      </c>
      <c r="C565" s="685"/>
      <c r="D565" s="631">
        <v>70</v>
      </c>
      <c r="E565" s="631">
        <v>2400</v>
      </c>
      <c r="F565" s="263">
        <f>IF(E565&lt;&gt;"", ROUNDUP(E565/D565,0),"")</f>
        <v>25568.666666666668</v>
      </c>
      <c r="G565" s="778">
        <f>IF(E565&lt;&gt;"", (SQRT(D565*E565))/300, "")</f>
      </c>
      <c r="H565" s="480"/>
      <c r="I565" s="480"/>
      <c r="J565" s="480"/>
      <c r="K565" s="481"/>
      <c r="L565" s="482" t="s">
        <v>830</v>
      </c>
      <c r="M565" s="231">
        <v>45170</v>
      </c>
      <c r="N565" s="754" t="s">
        <v>470</v>
      </c>
      <c r="O565" s="589" t="s">
        <v>2943</v>
      </c>
      <c r="P565" s="259" t="s">
        <v>819</v>
      </c>
      <c r="Q565" s="779"/>
      <c r="R565" s="16" t="s">
        <v>2944</v>
      </c>
      <c r="S565" s="485">
        <v>189</v>
      </c>
    </row>
    <row x14ac:dyDescent="0.25" r="566" customHeight="1" ht="17.25">
      <c r="A566" s="228" t="s">
        <v>2945</v>
      </c>
      <c r="B566" s="21" t="s">
        <v>2946</v>
      </c>
      <c r="C566" s="491" t="s">
        <v>2947</v>
      </c>
      <c r="D566" s="23">
        <v>13</v>
      </c>
      <c r="E566" s="226">
        <v>2065</v>
      </c>
      <c r="F566" s="230">
        <f>IF(E566&lt;&gt;"", ROUNDUP(E566/D566,0),"")</f>
        <v>25568.666666666668</v>
      </c>
      <c r="G566" s="487">
        <f>IF(E566&lt;&gt;"", (SQRT(D566*E566))/300, "")</f>
      </c>
      <c r="H566" s="480"/>
      <c r="I566" s="480"/>
      <c r="J566" s="480"/>
      <c r="K566" s="481"/>
      <c r="L566" s="482" t="s">
        <v>830</v>
      </c>
      <c r="M566" s="231">
        <v>45170</v>
      </c>
      <c r="N566" s="490" t="s">
        <v>503</v>
      </c>
      <c r="O566" s="491" t="s">
        <v>2948</v>
      </c>
      <c r="P566" s="259" t="s">
        <v>819</v>
      </c>
      <c r="Q566" s="566"/>
      <c r="R566" s="228" t="s">
        <v>2949</v>
      </c>
      <c r="S566" s="485">
        <v>188</v>
      </c>
    </row>
    <row x14ac:dyDescent="0.25" r="567" customHeight="1" ht="17.25">
      <c r="A567" s="228" t="s">
        <v>2950</v>
      </c>
      <c r="B567" s="21" t="s">
        <v>965</v>
      </c>
      <c r="C567" s="491" t="s">
        <v>2951</v>
      </c>
      <c r="D567" s="24">
        <v>7.3</v>
      </c>
      <c r="E567" s="762">
        <v>800</v>
      </c>
      <c r="F567" s="230">
        <f>IF(E567&lt;&gt;"", ROUNDUP(E567/D567,0),"")</f>
        <v>25568.666666666668</v>
      </c>
      <c r="G567" s="479">
        <f>IF(E567&lt;&gt;"", (SQRT(D567*E567))/300, "")</f>
      </c>
      <c r="H567" s="481"/>
      <c r="I567" s="481">
        <v>30.9</v>
      </c>
      <c r="J567" s="481"/>
      <c r="K567" s="481"/>
      <c r="L567" s="482" t="s">
        <v>830</v>
      </c>
      <c r="M567" s="231">
        <v>45170</v>
      </c>
      <c r="N567" s="223" t="s">
        <v>503</v>
      </c>
      <c r="O567" s="491" t="s">
        <v>2952</v>
      </c>
      <c r="P567" s="228" t="s">
        <v>819</v>
      </c>
      <c r="Q567" s="566"/>
      <c r="R567" s="228" t="s">
        <v>2953</v>
      </c>
      <c r="S567" s="485">
        <v>187</v>
      </c>
    </row>
    <row x14ac:dyDescent="0.25" r="568" customHeight="1" ht="17.25">
      <c r="A568" s="228" t="s">
        <v>2954</v>
      </c>
      <c r="B568" s="21" t="s">
        <v>834</v>
      </c>
      <c r="C568" s="33"/>
      <c r="D568" s="24">
        <v>1.3</v>
      </c>
      <c r="E568" s="24"/>
      <c r="F568" s="230"/>
      <c r="G568" s="487"/>
      <c r="H568" s="480"/>
      <c r="I568" s="480"/>
      <c r="J568" s="480"/>
      <c r="K568" s="481"/>
      <c r="L568" s="482" t="s">
        <v>830</v>
      </c>
      <c r="M568" s="231">
        <v>45170</v>
      </c>
      <c r="N568" s="754" t="s">
        <v>470</v>
      </c>
      <c r="O568" s="491" t="s">
        <v>2955</v>
      </c>
      <c r="P568" s="259" t="s">
        <v>819</v>
      </c>
      <c r="Q568" s="566"/>
      <c r="R568" s="228"/>
      <c r="S568" s="485">
        <v>186</v>
      </c>
    </row>
    <row x14ac:dyDescent="0.25" r="569" customHeight="1" ht="17.25">
      <c r="A569" s="228" t="s">
        <v>2956</v>
      </c>
      <c r="B569" s="462" t="s">
        <v>844</v>
      </c>
      <c r="C569" s="491" t="s">
        <v>2957</v>
      </c>
      <c r="D569" s="23">
        <v>13</v>
      </c>
      <c r="E569" s="23">
        <v>2600</v>
      </c>
      <c r="F569" s="230">
        <f>IF(E569&lt;&gt;"", ROUNDUP(E569/D569,0),"")</f>
        <v>25568.666666666668</v>
      </c>
      <c r="G569" s="487">
        <f>IF(E569&lt;&gt;"", (SQRT(D569*E569))/300, "")</f>
      </c>
      <c r="H569" s="480"/>
      <c r="I569" s="480"/>
      <c r="J569" s="480"/>
      <c r="K569" s="481"/>
      <c r="L569" s="482" t="s">
        <v>830</v>
      </c>
      <c r="M569" s="231">
        <v>45170</v>
      </c>
      <c r="N569" s="490" t="s">
        <v>503</v>
      </c>
      <c r="O569" s="491" t="s">
        <v>2958</v>
      </c>
      <c r="P569" s="259" t="s">
        <v>819</v>
      </c>
      <c r="Q569" s="566"/>
      <c r="R569" s="228" t="s">
        <v>2959</v>
      </c>
      <c r="S569" s="485">
        <v>185</v>
      </c>
    </row>
    <row x14ac:dyDescent="0.25" r="570" customHeight="1" ht="17.25">
      <c r="A570" s="228" t="s">
        <v>2960</v>
      </c>
      <c r="B570" s="21" t="s">
        <v>2961</v>
      </c>
      <c r="C570" s="491" t="s">
        <v>2962</v>
      </c>
      <c r="D570" s="24">
        <v>2.5</v>
      </c>
      <c r="E570" s="23">
        <v>40</v>
      </c>
      <c r="F570" s="230">
        <f>IF(E570&lt;&gt;"", ROUNDUP(E570/D570,0),"")</f>
        <v>25568.666666666668</v>
      </c>
      <c r="G570" s="487">
        <f>IF(E570&lt;&gt;"", (SQRT(D570*E570))/300, "")</f>
      </c>
      <c r="H570" s="480"/>
      <c r="I570" s="480"/>
      <c r="J570" s="480"/>
      <c r="K570" s="481"/>
      <c r="L570" s="750" t="s">
        <v>1099</v>
      </c>
      <c r="M570" s="231">
        <v>45170</v>
      </c>
      <c r="N570" s="490" t="s">
        <v>503</v>
      </c>
      <c r="O570" s="491" t="s">
        <v>2963</v>
      </c>
      <c r="P570" s="259" t="s">
        <v>819</v>
      </c>
      <c r="Q570" s="566"/>
      <c r="R570" s="228" t="s">
        <v>2964</v>
      </c>
      <c r="S570" s="485">
        <v>184</v>
      </c>
    </row>
    <row x14ac:dyDescent="0.25" r="571" customHeight="1" ht="17.25">
      <c r="A571" s="228" t="s">
        <v>2965</v>
      </c>
      <c r="B571" s="21" t="s">
        <v>2766</v>
      </c>
      <c r="C571" s="491" t="s">
        <v>2966</v>
      </c>
      <c r="D571" s="24">
        <v>5.7</v>
      </c>
      <c r="E571" s="226">
        <v>200</v>
      </c>
      <c r="F571" s="230">
        <f>IF(E571&lt;&gt;"", ROUNDUP(E571/D571,0),"")</f>
        <v>25568.666666666668</v>
      </c>
      <c r="G571" s="487">
        <f>IF(E571&lt;&gt;"", (SQRT(D571*E571))/300, "")</f>
      </c>
      <c r="H571" s="480"/>
      <c r="I571" s="480"/>
      <c r="J571" s="480"/>
      <c r="K571" s="481"/>
      <c r="L571" s="482" t="s">
        <v>830</v>
      </c>
      <c r="M571" s="231">
        <v>45170</v>
      </c>
      <c r="N571" s="490" t="s">
        <v>503</v>
      </c>
      <c r="O571" s="491" t="s">
        <v>2967</v>
      </c>
      <c r="P571" s="259" t="s">
        <v>819</v>
      </c>
      <c r="Q571" s="566"/>
      <c r="R571" s="228" t="s">
        <v>2968</v>
      </c>
      <c r="S571" s="485">
        <v>183</v>
      </c>
    </row>
    <row x14ac:dyDescent="0.25" r="572" customHeight="1" ht="17.25">
      <c r="A572" s="228" t="s">
        <v>2969</v>
      </c>
      <c r="B572" s="21" t="s">
        <v>1117</v>
      </c>
      <c r="C572" s="491" t="s">
        <v>2970</v>
      </c>
      <c r="D572" s="23">
        <v>8</v>
      </c>
      <c r="E572" s="23">
        <v>300</v>
      </c>
      <c r="F572" s="230">
        <f>IF(E572&lt;&gt;"", ROUNDUP(E572/D572,0),"")</f>
        <v>25568.666666666668</v>
      </c>
      <c r="G572" s="487">
        <f>IF(E572&lt;&gt;"", (SQRT(D572*E572))/300, "")</f>
      </c>
      <c r="H572" s="480"/>
      <c r="I572" s="480"/>
      <c r="J572" s="480"/>
      <c r="K572" s="481"/>
      <c r="L572" s="482" t="s">
        <v>830</v>
      </c>
      <c r="M572" s="231">
        <v>45170</v>
      </c>
      <c r="N572" s="490" t="s">
        <v>503</v>
      </c>
      <c r="O572" s="491" t="s">
        <v>2971</v>
      </c>
      <c r="P572" s="259" t="s">
        <v>802</v>
      </c>
      <c r="Q572" s="566"/>
      <c r="R572" s="228" t="s">
        <v>2972</v>
      </c>
      <c r="S572" s="485">
        <v>182</v>
      </c>
    </row>
    <row x14ac:dyDescent="0.25" r="573" customHeight="1" ht="17.25">
      <c r="A573" s="228" t="s">
        <v>2973</v>
      </c>
      <c r="B573" s="21" t="s">
        <v>77</v>
      </c>
      <c r="C573" s="491" t="s">
        <v>2974</v>
      </c>
      <c r="D573" s="23">
        <v>7</v>
      </c>
      <c r="E573" s="23">
        <v>1000</v>
      </c>
      <c r="F573" s="230">
        <f>IF(E573&lt;&gt;"", ROUNDUP(E573/D573,0),"")</f>
        <v>25568.666666666668</v>
      </c>
      <c r="G573" s="487">
        <f>IF(E573&lt;&gt;"", (SQRT(D573*E573))/300, "")</f>
      </c>
      <c r="H573" s="480"/>
      <c r="I573" s="480"/>
      <c r="J573" s="480"/>
      <c r="K573" s="481"/>
      <c r="L573" s="482" t="s">
        <v>830</v>
      </c>
      <c r="M573" s="231">
        <v>45170</v>
      </c>
      <c r="N573" s="490" t="s">
        <v>503</v>
      </c>
      <c r="O573" s="491" t="s">
        <v>2975</v>
      </c>
      <c r="P573" s="259" t="s">
        <v>819</v>
      </c>
      <c r="Q573" s="566"/>
      <c r="R573" s="228" t="s">
        <v>2976</v>
      </c>
      <c r="S573" s="485">
        <v>181</v>
      </c>
    </row>
    <row x14ac:dyDescent="0.25" r="574" customHeight="1" ht="17.25">
      <c r="A574" s="228" t="s">
        <v>2977</v>
      </c>
      <c r="B574" s="21" t="s">
        <v>834</v>
      </c>
      <c r="C574" s="491" t="s">
        <v>2978</v>
      </c>
      <c r="D574" s="620">
        <v>1.3</v>
      </c>
      <c r="E574" s="477">
        <v>150</v>
      </c>
      <c r="F574" s="230">
        <f>IF(E574&lt;&gt;"", ROUNDUP(E574/D574,0),"")</f>
        <v>25568.666666666668</v>
      </c>
      <c r="G574" s="487">
        <f>IF(E574&lt;&gt;"", (SQRT(D574*E574))/300, "")</f>
      </c>
      <c r="H574" s="480"/>
      <c r="I574" s="480"/>
      <c r="J574" s="480"/>
      <c r="K574" s="509"/>
      <c r="L574" s="510" t="s">
        <v>836</v>
      </c>
      <c r="M574" s="231">
        <v>45170</v>
      </c>
      <c r="N574" s="490" t="s">
        <v>503</v>
      </c>
      <c r="O574" s="491" t="s">
        <v>2979</v>
      </c>
      <c r="P574" s="259" t="s">
        <v>819</v>
      </c>
      <c r="Q574" s="566"/>
      <c r="R574" s="228" t="s">
        <v>2980</v>
      </c>
      <c r="S574" s="485">
        <v>180</v>
      </c>
    </row>
    <row x14ac:dyDescent="0.25" r="575" customHeight="1" ht="17.25">
      <c r="A575" s="228" t="s">
        <v>2981</v>
      </c>
      <c r="B575" s="21" t="s">
        <v>1326</v>
      </c>
      <c r="C575" s="491" t="s">
        <v>2982</v>
      </c>
      <c r="D575" s="620">
        <v>0.034</v>
      </c>
      <c r="E575" s="478">
        <v>1</v>
      </c>
      <c r="F575" s="230">
        <f>IF(E575&lt;&gt;"", ROUNDUP(E575/D575,0),"")</f>
        <v>25568.666666666668</v>
      </c>
      <c r="G575" s="487">
        <f>IF(E575&lt;&gt;"", (SQRT(D575*E575))/300, "")</f>
      </c>
      <c r="H575" s="480"/>
      <c r="I575" s="480"/>
      <c r="J575" s="480"/>
      <c r="K575" s="481"/>
      <c r="L575" s="750" t="s">
        <v>1099</v>
      </c>
      <c r="M575" s="231">
        <v>45170</v>
      </c>
      <c r="N575" s="490" t="s">
        <v>503</v>
      </c>
      <c r="O575" s="491" t="s">
        <v>2983</v>
      </c>
      <c r="P575" s="259" t="s">
        <v>819</v>
      </c>
      <c r="Q575" s="566"/>
      <c r="R575" s="228" t="s">
        <v>2984</v>
      </c>
      <c r="S575" s="485">
        <v>179</v>
      </c>
    </row>
    <row x14ac:dyDescent="0.25" r="576" customHeight="1" ht="17.25">
      <c r="A576" s="228" t="s">
        <v>2985</v>
      </c>
      <c r="B576" s="21" t="s">
        <v>2694</v>
      </c>
      <c r="C576" s="491" t="s">
        <v>2986</v>
      </c>
      <c r="D576" s="477">
        <v>8</v>
      </c>
      <c r="E576" s="477">
        <v>737</v>
      </c>
      <c r="F576" s="230">
        <f>IF(E576&lt;&gt;"", ROUNDUP(E576/D576,0),"")</f>
        <v>25568.666666666668</v>
      </c>
      <c r="G576" s="487">
        <f>IF(E576&lt;&gt;"", (SQRT(D576*E576))/300, "")</f>
      </c>
      <c r="H576" s="480"/>
      <c r="I576" s="480"/>
      <c r="J576" s="480"/>
      <c r="K576" s="481"/>
      <c r="L576" s="482" t="s">
        <v>830</v>
      </c>
      <c r="M576" s="231">
        <v>45170</v>
      </c>
      <c r="N576" s="490" t="s">
        <v>503</v>
      </c>
      <c r="O576" s="491" t="s">
        <v>2987</v>
      </c>
      <c r="P576" s="259" t="s">
        <v>819</v>
      </c>
      <c r="Q576" s="566"/>
      <c r="R576" s="228" t="s">
        <v>2988</v>
      </c>
      <c r="S576" s="485">
        <v>178</v>
      </c>
    </row>
    <row x14ac:dyDescent="0.25" r="577" customHeight="1" ht="17.25">
      <c r="A577" s="228" t="s">
        <v>2989</v>
      </c>
      <c r="B577" s="21" t="s">
        <v>2010</v>
      </c>
      <c r="C577" s="491" t="s">
        <v>2990</v>
      </c>
      <c r="D577" s="477">
        <v>101</v>
      </c>
      <c r="E577" s="477">
        <v>245</v>
      </c>
      <c r="F577" s="230">
        <f>IF(E577&lt;&gt;"", ROUNDUP(E577/D577,0),"")</f>
        <v>25568.666666666668</v>
      </c>
      <c r="G577" s="487">
        <f>IF(E577&lt;&gt;"", (SQRT(D577*E577))/300, "")</f>
      </c>
      <c r="H577" s="480"/>
      <c r="I577" s="480"/>
      <c r="J577" s="480"/>
      <c r="K577" s="481"/>
      <c r="L577" s="482" t="s">
        <v>830</v>
      </c>
      <c r="M577" s="231">
        <v>45170</v>
      </c>
      <c r="N577" s="490" t="s">
        <v>503</v>
      </c>
      <c r="O577" s="491" t="s">
        <v>2991</v>
      </c>
      <c r="P577" s="259" t="s">
        <v>819</v>
      </c>
      <c r="Q577" s="566"/>
      <c r="R577" s="228" t="s">
        <v>2992</v>
      </c>
      <c r="S577" s="485">
        <v>177</v>
      </c>
    </row>
    <row x14ac:dyDescent="0.25" r="578" customHeight="1" ht="17.25">
      <c r="A578" s="228" t="s">
        <v>2993</v>
      </c>
      <c r="B578" s="21" t="s">
        <v>552</v>
      </c>
      <c r="C578" s="491" t="s">
        <v>2994</v>
      </c>
      <c r="D578" s="477">
        <v>180</v>
      </c>
      <c r="E578" s="477">
        <v>3500</v>
      </c>
      <c r="F578" s="230">
        <f>IF(E578&lt;&gt;"", ROUNDUP(E578/D578,0),"")</f>
        <v>25568.666666666668</v>
      </c>
      <c r="G578" s="487">
        <f>IF(E578&lt;&gt;"", (SQRT(D578*E578))/300, "")</f>
      </c>
      <c r="H578" s="480">
        <v>70.6</v>
      </c>
      <c r="I578" s="480"/>
      <c r="J578" s="480"/>
      <c r="K578" s="481"/>
      <c r="L578" s="482" t="s">
        <v>830</v>
      </c>
      <c r="M578" s="231">
        <v>45170</v>
      </c>
      <c r="N578" s="490" t="s">
        <v>503</v>
      </c>
      <c r="O578" s="491" t="s">
        <v>2995</v>
      </c>
      <c r="P578" s="259" t="s">
        <v>819</v>
      </c>
      <c r="Q578" s="566"/>
      <c r="R578" s="228" t="s">
        <v>2996</v>
      </c>
      <c r="S578" s="485">
        <v>176</v>
      </c>
    </row>
    <row x14ac:dyDescent="0.25" r="579" customHeight="1" ht="17.25">
      <c r="A579" s="228" t="s">
        <v>2997</v>
      </c>
      <c r="B579" s="462" t="s">
        <v>898</v>
      </c>
      <c r="C579" s="491" t="s">
        <v>2998</v>
      </c>
      <c r="D579" s="477">
        <v>100</v>
      </c>
      <c r="E579" s="477">
        <v>2000</v>
      </c>
      <c r="F579" s="230">
        <f>IF(E579&lt;&gt;"", ROUNDUP(E579/D579,0),"")</f>
        <v>25568.666666666668</v>
      </c>
      <c r="G579" s="487">
        <f>IF(E579&lt;&gt;"", (SQRT(D579*E579))/300, "")</f>
      </c>
      <c r="H579" s="480"/>
      <c r="I579" s="480"/>
      <c r="J579" s="480"/>
      <c r="K579" s="481"/>
      <c r="L579" s="482" t="s">
        <v>830</v>
      </c>
      <c r="M579" s="231">
        <v>45170</v>
      </c>
      <c r="N579" s="490" t="s">
        <v>503</v>
      </c>
      <c r="O579" s="491" t="s">
        <v>2999</v>
      </c>
      <c r="P579" s="259" t="s">
        <v>819</v>
      </c>
      <c r="Q579" s="566"/>
      <c r="R579" s="228"/>
      <c r="S579" s="485">
        <v>175</v>
      </c>
    </row>
    <row x14ac:dyDescent="0.25" r="580" customHeight="1" ht="17.25">
      <c r="A580" s="228" t="s">
        <v>3000</v>
      </c>
      <c r="B580" s="21" t="s">
        <v>859</v>
      </c>
      <c r="C580" s="33"/>
      <c r="D580" s="620">
        <v>0.1</v>
      </c>
      <c r="E580" s="620">
        <v>0.01</v>
      </c>
      <c r="F580" s="230">
        <f>IF(E580&lt;&gt;"", ROUNDUP(E580/D580,0),"")</f>
        <v>25568.666666666668</v>
      </c>
      <c r="G580" s="487">
        <f>IF(E580&lt;&gt;"", (SQRT(D580*E580))/300, "")</f>
      </c>
      <c r="H580" s="480"/>
      <c r="I580" s="480"/>
      <c r="J580" s="480"/>
      <c r="K580" s="481"/>
      <c r="L580" s="482" t="s">
        <v>830</v>
      </c>
      <c r="M580" s="231">
        <v>45170</v>
      </c>
      <c r="N580" s="490" t="s">
        <v>503</v>
      </c>
      <c r="O580" s="615" t="s">
        <v>3001</v>
      </c>
      <c r="P580" s="259" t="s">
        <v>819</v>
      </c>
      <c r="Q580" s="566"/>
      <c r="R580" s="228" t="s">
        <v>3002</v>
      </c>
      <c r="S580" s="485">
        <v>174</v>
      </c>
    </row>
    <row x14ac:dyDescent="0.25" r="581" customHeight="1" ht="17.25">
      <c r="A581" s="592" t="s">
        <v>3003</v>
      </c>
      <c r="B581" s="21" t="s">
        <v>1117</v>
      </c>
      <c r="C581" s="629" t="s">
        <v>3004</v>
      </c>
      <c r="D581" s="631">
        <v>13</v>
      </c>
      <c r="E581" s="631">
        <v>2500</v>
      </c>
      <c r="F581" s="263">
        <f>IF(E581&lt;&gt;"", ROUNDUP(E581/D581,0),"")</f>
        <v>25568.666666666668</v>
      </c>
      <c r="G581" s="778">
        <f>IF(E581&lt;&gt;"", (SQRT(D581*E581))/300, "")</f>
      </c>
      <c r="H581" s="656">
        <v>57</v>
      </c>
      <c r="I581" s="480"/>
      <c r="J581" s="480"/>
      <c r="K581" s="481"/>
      <c r="L581" s="482" t="s">
        <v>830</v>
      </c>
      <c r="M581" s="231">
        <v>45170</v>
      </c>
      <c r="N581" s="490" t="s">
        <v>503</v>
      </c>
      <c r="O581" s="690" t="s">
        <v>3005</v>
      </c>
      <c r="P581" s="259"/>
      <c r="Q581" s="779"/>
      <c r="R581" s="16" t="s">
        <v>3006</v>
      </c>
      <c r="S581" s="485">
        <v>173</v>
      </c>
    </row>
    <row x14ac:dyDescent="0.25" r="582" customHeight="1" ht="17.25">
      <c r="A582" s="228" t="s">
        <v>3007</v>
      </c>
      <c r="B582" s="21" t="s">
        <v>1335</v>
      </c>
      <c r="C582" s="491" t="s">
        <v>3008</v>
      </c>
      <c r="D582" s="477">
        <v>13</v>
      </c>
      <c r="E582" s="477">
        <v>395</v>
      </c>
      <c r="F582" s="230">
        <f>IF(E582&lt;&gt;"", ROUNDUP(E582/D582,0),"")</f>
        <v>25568.666666666668</v>
      </c>
      <c r="G582" s="487">
        <f>IF(E582&lt;&gt;"", (SQRT(D582*E582))/300, "")</f>
      </c>
      <c r="H582" s="480"/>
      <c r="I582" s="480"/>
      <c r="J582" s="480"/>
      <c r="K582" s="481"/>
      <c r="L582" s="482" t="s">
        <v>830</v>
      </c>
      <c r="M582" s="231">
        <v>45139</v>
      </c>
      <c r="N582" s="490" t="s">
        <v>503</v>
      </c>
      <c r="O582" s="608" t="s">
        <v>3009</v>
      </c>
      <c r="P582" s="259" t="s">
        <v>819</v>
      </c>
      <c r="Q582" s="566"/>
      <c r="R582" s="228" t="s">
        <v>3010</v>
      </c>
      <c r="S582" s="485">
        <v>172</v>
      </c>
    </row>
    <row x14ac:dyDescent="0.25" r="583" customHeight="1" ht="17.25">
      <c r="A583" s="228" t="s">
        <v>3011</v>
      </c>
      <c r="B583" s="462" t="s">
        <v>498</v>
      </c>
      <c r="C583" s="491" t="s">
        <v>3012</v>
      </c>
      <c r="D583" s="477">
        <v>34</v>
      </c>
      <c r="E583" s="477">
        <v>2600</v>
      </c>
      <c r="F583" s="230">
        <f>IF(E583&lt;&gt;"", ROUNDUP(E583/D583,0),"")</f>
        <v>25568.666666666668</v>
      </c>
      <c r="G583" s="487">
        <f>IF(E583&lt;&gt;"", (SQRT(D583*E583))/300, "")</f>
      </c>
      <c r="H583" s="480"/>
      <c r="I583" s="480"/>
      <c r="J583" s="480"/>
      <c r="K583" s="481"/>
      <c r="L583" s="482" t="s">
        <v>830</v>
      </c>
      <c r="M583" s="231">
        <v>45139</v>
      </c>
      <c r="N583" s="490" t="s">
        <v>503</v>
      </c>
      <c r="O583" s="608" t="s">
        <v>2669</v>
      </c>
      <c r="P583" s="259" t="s">
        <v>819</v>
      </c>
      <c r="Q583" s="566"/>
      <c r="R583" s="228" t="s">
        <v>3013</v>
      </c>
      <c r="S583" s="485">
        <v>171</v>
      </c>
    </row>
    <row x14ac:dyDescent="0.25" r="584" customHeight="1" ht="17.25">
      <c r="A584" s="228" t="s">
        <v>3014</v>
      </c>
      <c r="B584" s="21" t="s">
        <v>1953</v>
      </c>
      <c r="C584" s="491" t="s">
        <v>3015</v>
      </c>
      <c r="D584" s="477">
        <v>80</v>
      </c>
      <c r="E584" s="620"/>
      <c r="F584" s="230"/>
      <c r="G584" s="487"/>
      <c r="H584" s="480"/>
      <c r="I584" s="480"/>
      <c r="J584" s="480"/>
      <c r="K584" s="481"/>
      <c r="L584" s="482" t="s">
        <v>830</v>
      </c>
      <c r="M584" s="231">
        <v>45139</v>
      </c>
      <c r="N584" s="490" t="s">
        <v>503</v>
      </c>
      <c r="O584" s="608" t="s">
        <v>3016</v>
      </c>
      <c r="P584" s="259" t="s">
        <v>819</v>
      </c>
      <c r="Q584" s="566"/>
      <c r="R584" s="228" t="s">
        <v>3017</v>
      </c>
      <c r="S584" s="485">
        <v>170</v>
      </c>
    </row>
    <row x14ac:dyDescent="0.25" r="585" customHeight="1" ht="17.25">
      <c r="A585" s="228" t="s">
        <v>3018</v>
      </c>
      <c r="B585" s="21" t="s">
        <v>3019</v>
      </c>
      <c r="C585" s="33"/>
      <c r="D585" s="477">
        <v>11</v>
      </c>
      <c r="E585" s="477">
        <v>40</v>
      </c>
      <c r="F585" s="230">
        <f>IF(E585&lt;&gt;"", ROUNDUP(E585/D585,0),"")</f>
        <v>25568.666666666668</v>
      </c>
      <c r="G585" s="487">
        <f>IF(E585&lt;&gt;"", (SQRT(D585*E585))/300, "")</f>
      </c>
      <c r="H585" s="480"/>
      <c r="I585" s="480"/>
      <c r="J585" s="480"/>
      <c r="K585" s="481"/>
      <c r="L585" s="482" t="s">
        <v>830</v>
      </c>
      <c r="M585" s="231">
        <v>45139</v>
      </c>
      <c r="N585" s="754" t="s">
        <v>470</v>
      </c>
      <c r="O585" s="608" t="s">
        <v>3020</v>
      </c>
      <c r="P585" s="259" t="s">
        <v>819</v>
      </c>
      <c r="Q585" s="566"/>
      <c r="R585" s="228" t="s">
        <v>3021</v>
      </c>
      <c r="S585" s="485">
        <v>169</v>
      </c>
    </row>
    <row x14ac:dyDescent="0.25" r="586" customHeight="1" ht="17.25">
      <c r="A586" s="492" t="s">
        <v>3022</v>
      </c>
      <c r="B586" s="21" t="s">
        <v>3023</v>
      </c>
      <c r="C586" s="535" t="s">
        <v>3024</v>
      </c>
      <c r="D586" s="496">
        <v>13</v>
      </c>
      <c r="E586" s="486">
        <v>1500</v>
      </c>
      <c r="F586" s="230">
        <f>IF(E586&lt;&gt;"", ROUNDUP(E586/D586,0),"")</f>
        <v>25568.666666666668</v>
      </c>
      <c r="G586" s="487">
        <f>IF(E586&lt;&gt;"", (SQRT(D586*E586))/300, "")</f>
      </c>
      <c r="H586" s="480"/>
      <c r="I586" s="480"/>
      <c r="J586" s="480"/>
      <c r="K586" s="481"/>
      <c r="L586" s="482" t="s">
        <v>830</v>
      </c>
      <c r="M586" s="231">
        <v>45139</v>
      </c>
      <c r="N586" s="490" t="s">
        <v>503</v>
      </c>
      <c r="O586" s="501" t="s">
        <v>3024</v>
      </c>
      <c r="P586" s="259" t="s">
        <v>819</v>
      </c>
      <c r="Q586" s="502"/>
      <c r="R586" s="492" t="s">
        <v>3025</v>
      </c>
      <c r="S586" s="485">
        <v>168</v>
      </c>
    </row>
    <row x14ac:dyDescent="0.25" r="587" customHeight="1" ht="17.25">
      <c r="A587" s="259" t="s">
        <v>3026</v>
      </c>
      <c r="B587" s="21" t="s">
        <v>834</v>
      </c>
      <c r="C587" s="586" t="s">
        <v>3027</v>
      </c>
      <c r="D587" s="486">
        <v>70</v>
      </c>
      <c r="E587" s="486">
        <v>2000</v>
      </c>
      <c r="F587" s="263">
        <f>IF(E587&lt;&gt;"", ROUNDUP(E587/D587,0),"")</f>
        <v>25568.666666666668</v>
      </c>
      <c r="G587" s="857">
        <f>IF(E587&lt;&gt;"", (SQRT(D587*E587))/300, "")</f>
      </c>
      <c r="H587" s="480"/>
      <c r="I587" s="480"/>
      <c r="J587" s="480"/>
      <c r="K587" s="481"/>
      <c r="L587" s="482" t="s">
        <v>830</v>
      </c>
      <c r="M587" s="231">
        <v>45139</v>
      </c>
      <c r="N587" s="270" t="s">
        <v>503</v>
      </c>
      <c r="O587" s="271" t="s">
        <v>3028</v>
      </c>
      <c r="P587" s="259" t="s">
        <v>819</v>
      </c>
      <c r="Q587" s="272"/>
      <c r="R587" s="259" t="s">
        <v>3029</v>
      </c>
      <c r="S587" s="485">
        <v>167</v>
      </c>
    </row>
    <row x14ac:dyDescent="0.25" r="588" customHeight="1" ht="17.25">
      <c r="A588" s="228" t="s">
        <v>3030</v>
      </c>
      <c r="B588" s="21" t="s">
        <v>3031</v>
      </c>
      <c r="C588" s="491" t="s">
        <v>3032</v>
      </c>
      <c r="D588" s="477">
        <v>70</v>
      </c>
      <c r="E588" s="477">
        <v>2000</v>
      </c>
      <c r="F588" s="230">
        <f>IF(E588&lt;&gt;"", ROUNDUP(E588/D588,0),"")</f>
        <v>25568.666666666668</v>
      </c>
      <c r="G588" s="479">
        <f>IF(E588&lt;&gt;"", (SQRT(D588*E588))/300, "")</f>
      </c>
      <c r="H588" s="480"/>
      <c r="I588" s="480"/>
      <c r="J588" s="480"/>
      <c r="K588" s="481"/>
      <c r="L588" s="482" t="s">
        <v>830</v>
      </c>
      <c r="M588" s="231">
        <v>45139</v>
      </c>
      <c r="N588" s="223" t="s">
        <v>503</v>
      </c>
      <c r="O588" s="491" t="s">
        <v>3033</v>
      </c>
      <c r="P588" s="259" t="s">
        <v>819</v>
      </c>
      <c r="Q588" s="484"/>
      <c r="R588" s="21" t="s">
        <v>3034</v>
      </c>
      <c r="S588" s="485">
        <v>166</v>
      </c>
    </row>
    <row x14ac:dyDescent="0.25" r="589" customHeight="1" ht="17.25">
      <c r="A589" s="492" t="s">
        <v>3035</v>
      </c>
      <c r="B589" s="462" t="s">
        <v>609</v>
      </c>
      <c r="C589" s="535" t="s">
        <v>3036</v>
      </c>
      <c r="D589" s="496">
        <v>7</v>
      </c>
      <c r="E589" s="477">
        <v>750</v>
      </c>
      <c r="F589" s="230">
        <f>IF(E589&lt;&gt;"", ROUNDUP(E589/D589,0),"")</f>
        <v>25568.666666666668</v>
      </c>
      <c r="G589" s="487">
        <f>IF(E589&lt;&gt;"", (SQRT(D589*E589))/300, "")</f>
      </c>
      <c r="H589" s="480"/>
      <c r="I589" s="480"/>
      <c r="J589" s="480"/>
      <c r="K589" s="481"/>
      <c r="L589" s="482" t="s">
        <v>830</v>
      </c>
      <c r="M589" s="231">
        <v>45139</v>
      </c>
      <c r="N589" s="490" t="s">
        <v>503</v>
      </c>
      <c r="O589" s="501" t="s">
        <v>3037</v>
      </c>
      <c r="P589" s="259" t="s">
        <v>819</v>
      </c>
      <c r="Q589" s="502"/>
      <c r="R589" s="492" t="s">
        <v>3038</v>
      </c>
      <c r="S589" s="485">
        <v>165</v>
      </c>
    </row>
    <row x14ac:dyDescent="0.25" r="590" customHeight="1" ht="17.25">
      <c r="A590" s="492" t="s">
        <v>3039</v>
      </c>
      <c r="B590" s="462" t="s">
        <v>609</v>
      </c>
      <c r="C590" s="535" t="s">
        <v>3040</v>
      </c>
      <c r="D590" s="572">
        <v>2.7</v>
      </c>
      <c r="E590" s="477">
        <v>560</v>
      </c>
      <c r="F590" s="230">
        <f>IF(E590&lt;&gt;"", ROUNDUP(E590/D590,0),"")</f>
        <v>25568.666666666668</v>
      </c>
      <c r="G590" s="487">
        <f>IF(E590&lt;&gt;"", (SQRT(D590*E590))/300, "")</f>
      </c>
      <c r="H590" s="480"/>
      <c r="I590" s="480"/>
      <c r="J590" s="480"/>
      <c r="K590" s="481"/>
      <c r="L590" s="750" t="s">
        <v>1328</v>
      </c>
      <c r="M590" s="231">
        <v>45139</v>
      </c>
      <c r="N590" s="490" t="s">
        <v>503</v>
      </c>
      <c r="O590" s="501" t="s">
        <v>3041</v>
      </c>
      <c r="P590" s="259" t="s">
        <v>819</v>
      </c>
      <c r="Q590" s="502"/>
      <c r="R590" s="492" t="s">
        <v>2501</v>
      </c>
      <c r="S590" s="485">
        <v>164</v>
      </c>
    </row>
    <row x14ac:dyDescent="0.25" r="591" customHeight="1" ht="17.25">
      <c r="A591" s="492" t="s">
        <v>3042</v>
      </c>
      <c r="B591" s="21" t="s">
        <v>853</v>
      </c>
      <c r="C591" s="535" t="s">
        <v>3043</v>
      </c>
      <c r="D591" s="572">
        <v>8.3</v>
      </c>
      <c r="E591" s="477">
        <v>1000</v>
      </c>
      <c r="F591" s="230">
        <f>IF(E591&lt;&gt;"", ROUNDUP(E591/D591,0),"")</f>
        <v>25568.666666666668</v>
      </c>
      <c r="G591" s="487">
        <f>IF(E591&lt;&gt;"", (SQRT(D591*E591))/300, "")</f>
      </c>
      <c r="H591" s="480"/>
      <c r="I591" s="480"/>
      <c r="J591" s="480"/>
      <c r="K591" s="481"/>
      <c r="L591" s="482" t="s">
        <v>830</v>
      </c>
      <c r="M591" s="231">
        <v>45108</v>
      </c>
      <c r="N591" s="490" t="s">
        <v>503</v>
      </c>
      <c r="O591" s="501" t="s">
        <v>3044</v>
      </c>
      <c r="P591" s="259" t="s">
        <v>819</v>
      </c>
      <c r="Q591" s="502"/>
      <c r="R591" s="492" t="s">
        <v>3045</v>
      </c>
      <c r="S591" s="485">
        <v>163</v>
      </c>
    </row>
    <row x14ac:dyDescent="0.25" r="592" customHeight="1" ht="17.25">
      <c r="A592" s="228" t="s">
        <v>3046</v>
      </c>
      <c r="B592" s="21" t="s">
        <v>3047</v>
      </c>
      <c r="C592" s="491" t="s">
        <v>3048</v>
      </c>
      <c r="D592" s="23">
        <v>40</v>
      </c>
      <c r="E592" s="23">
        <v>1000</v>
      </c>
      <c r="F592" s="715">
        <f>IF(E592&lt;&gt;"", ROUNDUP(E592/D592,0),"")</f>
        <v>25568.666666666668</v>
      </c>
      <c r="G592" s="487">
        <f>IF(E592&lt;&gt;"", (SQRT(D592*E592))/300, "")</f>
      </c>
      <c r="H592" s="480"/>
      <c r="I592" s="480"/>
      <c r="J592" s="480"/>
      <c r="K592" s="481"/>
      <c r="L592" s="482" t="s">
        <v>830</v>
      </c>
      <c r="M592" s="231">
        <v>45108</v>
      </c>
      <c r="N592" s="490" t="s">
        <v>503</v>
      </c>
      <c r="O592" s="615" t="s">
        <v>3049</v>
      </c>
      <c r="P592" s="259" t="s">
        <v>819</v>
      </c>
      <c r="Q592" s="566"/>
      <c r="R592" s="228" t="s">
        <v>3050</v>
      </c>
      <c r="S592" s="485">
        <v>162</v>
      </c>
    </row>
    <row x14ac:dyDescent="0.25" r="593" customHeight="1" ht="17.25">
      <c r="A593" s="228" t="s">
        <v>3051</v>
      </c>
      <c r="B593" s="21" t="s">
        <v>1514</v>
      </c>
      <c r="C593" s="491" t="s">
        <v>3052</v>
      </c>
      <c r="D593" s="477">
        <v>7</v>
      </c>
      <c r="E593" s="477">
        <v>2000</v>
      </c>
      <c r="F593" s="230">
        <f>IF(E593&lt;&gt;"", ROUNDUP(E593/D593,0),"")</f>
        <v>25568.666666666668</v>
      </c>
      <c r="G593" s="479">
        <f>IF(E593&lt;&gt;"", (SQRT(D593*E593))/300, "")</f>
      </c>
      <c r="H593" s="480"/>
      <c r="I593" s="480"/>
      <c r="J593" s="480"/>
      <c r="K593" s="481"/>
      <c r="L593" s="482" t="s">
        <v>830</v>
      </c>
      <c r="M593" s="231">
        <v>45108</v>
      </c>
      <c r="N593" s="223" t="s">
        <v>503</v>
      </c>
      <c r="O593" s="615" t="s">
        <v>3053</v>
      </c>
      <c r="P593" s="259" t="s">
        <v>819</v>
      </c>
      <c r="Q593" s="566"/>
      <c r="R593" s="228" t="s">
        <v>3054</v>
      </c>
      <c r="S593" s="485">
        <v>161</v>
      </c>
    </row>
    <row x14ac:dyDescent="0.25" r="594" customHeight="1" ht="17.25">
      <c r="A594" s="228" t="s">
        <v>3055</v>
      </c>
      <c r="B594" s="462" t="s">
        <v>828</v>
      </c>
      <c r="C594" s="858"/>
      <c r="D594" s="477">
        <v>540</v>
      </c>
      <c r="E594" s="477">
        <v>780</v>
      </c>
      <c r="F594" s="230">
        <f>IF(E594&lt;&gt;"", ROUNDUP(E594/D594,0),"")</f>
        <v>25568.666666666668</v>
      </c>
      <c r="G594" s="487">
        <f>IF(E594&lt;&gt;"", (SQRT(D594*E594))/300, "")</f>
      </c>
      <c r="H594" s="480"/>
      <c r="I594" s="480"/>
      <c r="J594" s="480"/>
      <c r="K594" s="481"/>
      <c r="L594" s="482" t="s">
        <v>830</v>
      </c>
      <c r="M594" s="231">
        <v>45108</v>
      </c>
      <c r="N594" s="754" t="s">
        <v>470</v>
      </c>
      <c r="O594" s="615" t="s">
        <v>3056</v>
      </c>
      <c r="P594" s="259" t="s">
        <v>819</v>
      </c>
      <c r="Q594" s="566"/>
      <c r="R594" s="228" t="s">
        <v>3057</v>
      </c>
      <c r="S594" s="485">
        <v>160</v>
      </c>
    </row>
    <row x14ac:dyDescent="0.25" r="595" customHeight="1" ht="17.25">
      <c r="A595" s="228" t="s">
        <v>3058</v>
      </c>
      <c r="B595" s="21" t="s">
        <v>630</v>
      </c>
      <c r="C595" s="491" t="s">
        <v>3059</v>
      </c>
      <c r="D595" s="477">
        <v>3</v>
      </c>
      <c r="E595" s="477">
        <v>627</v>
      </c>
      <c r="F595" s="230">
        <f>IF(E595&lt;&gt;"", ROUNDUP(E595/D595,0),"")</f>
        <v>25568.666666666668</v>
      </c>
      <c r="G595" s="487">
        <f>IF(E595&lt;&gt;"", (SQRT(D595*E595))/300, "")</f>
      </c>
      <c r="H595" s="480"/>
      <c r="I595" s="480"/>
      <c r="J595" s="480"/>
      <c r="K595" s="481"/>
      <c r="L595" s="482" t="s">
        <v>830</v>
      </c>
      <c r="M595" s="231">
        <v>45108</v>
      </c>
      <c r="N595" s="490" t="s">
        <v>503</v>
      </c>
      <c r="O595" s="491" t="s">
        <v>3060</v>
      </c>
      <c r="P595" s="259" t="s">
        <v>819</v>
      </c>
      <c r="Q595" s="484"/>
      <c r="R595" s="21" t="s">
        <v>3061</v>
      </c>
      <c r="S595" s="485">
        <v>159</v>
      </c>
    </row>
    <row x14ac:dyDescent="0.25" r="596" customHeight="1" ht="17.25">
      <c r="A596" s="228" t="s">
        <v>3062</v>
      </c>
      <c r="B596" s="462" t="s">
        <v>609</v>
      </c>
      <c r="C596" s="491" t="s">
        <v>3063</v>
      </c>
      <c r="D596" s="477">
        <v>70</v>
      </c>
      <c r="E596" s="477">
        <v>2000</v>
      </c>
      <c r="F596" s="230">
        <f>IF(E596&lt;&gt;"", ROUNDUP(E596/D596,0),"")</f>
        <v>25568.666666666668</v>
      </c>
      <c r="G596" s="487">
        <f>IF(E596&lt;&gt;"", (SQRT(D596*E596))/300, "")</f>
      </c>
      <c r="H596" s="480"/>
      <c r="I596" s="480"/>
      <c r="J596" s="480"/>
      <c r="K596" s="481"/>
      <c r="L596" s="482" t="s">
        <v>830</v>
      </c>
      <c r="M596" s="231">
        <v>45108</v>
      </c>
      <c r="N596" s="490" t="s">
        <v>503</v>
      </c>
      <c r="O596" s="491" t="s">
        <v>3064</v>
      </c>
      <c r="P596" s="259" t="s">
        <v>819</v>
      </c>
      <c r="Q596" s="484"/>
      <c r="R596" s="21" t="s">
        <v>3065</v>
      </c>
      <c r="S596" s="485">
        <v>158</v>
      </c>
    </row>
    <row x14ac:dyDescent="0.25" r="597" customHeight="1" ht="17.25">
      <c r="A597" s="228" t="s">
        <v>3066</v>
      </c>
      <c r="B597" s="462" t="s">
        <v>609</v>
      </c>
      <c r="C597" s="491" t="s">
        <v>3067</v>
      </c>
      <c r="D597" s="477">
        <v>65</v>
      </c>
      <c r="E597" s="477">
        <v>1400</v>
      </c>
      <c r="F597" s="230">
        <f>IF(E597&lt;&gt;"", ROUNDUP(E597/D597,0),"")</f>
        <v>25568.666666666668</v>
      </c>
      <c r="G597" s="487">
        <f>IF(E597&lt;&gt;"", (SQRT(D597*E597))/300, "")</f>
      </c>
      <c r="H597" s="480"/>
      <c r="I597" s="480"/>
      <c r="J597" s="480"/>
      <c r="K597" s="481"/>
      <c r="L597" s="482" t="s">
        <v>830</v>
      </c>
      <c r="M597" s="231">
        <v>45108</v>
      </c>
      <c r="N597" s="490" t="s">
        <v>503</v>
      </c>
      <c r="O597" s="491" t="s">
        <v>3064</v>
      </c>
      <c r="P597" s="259" t="s">
        <v>819</v>
      </c>
      <c r="Q597" s="484"/>
      <c r="R597" s="21" t="s">
        <v>3068</v>
      </c>
      <c r="S597" s="485">
        <v>157</v>
      </c>
    </row>
    <row x14ac:dyDescent="0.25" r="598" customHeight="1" ht="17.25">
      <c r="A598" s="228" t="s">
        <v>3069</v>
      </c>
      <c r="B598" s="21" t="s">
        <v>3070</v>
      </c>
      <c r="C598" s="491" t="s">
        <v>3071</v>
      </c>
      <c r="D598" s="477">
        <v>2</v>
      </c>
      <c r="E598" s="620"/>
      <c r="F598" s="230">
        <f>IF(E598&lt;&gt;"", ROUNDUP(E598/D598,0),"")</f>
        <v>25568.666666666668</v>
      </c>
      <c r="G598" s="487">
        <f>IF(E598&lt;&gt;"", (SQRT(D598*E598))/300, "")</f>
      </c>
      <c r="H598" s="480"/>
      <c r="I598" s="480"/>
      <c r="J598" s="480"/>
      <c r="K598" s="481"/>
      <c r="L598" s="482" t="s">
        <v>830</v>
      </c>
      <c r="M598" s="231">
        <v>45108</v>
      </c>
      <c r="N598" s="490" t="s">
        <v>503</v>
      </c>
      <c r="O598" s="491" t="s">
        <v>3072</v>
      </c>
      <c r="P598" s="259" t="s">
        <v>819</v>
      </c>
      <c r="Q598" s="484"/>
      <c r="R598" s="21" t="s">
        <v>3073</v>
      </c>
      <c r="S598" s="485">
        <v>156</v>
      </c>
    </row>
    <row x14ac:dyDescent="0.25" r="599" customHeight="1" ht="17.25">
      <c r="A599" s="228" t="s">
        <v>166</v>
      </c>
      <c r="B599" s="462" t="s">
        <v>498</v>
      </c>
      <c r="C599" s="491" t="s">
        <v>3074</v>
      </c>
      <c r="D599" s="477">
        <v>70</v>
      </c>
      <c r="E599" s="477">
        <v>2000</v>
      </c>
      <c r="F599" s="230">
        <f>IF(E599&lt;&gt;"", ROUNDUP(E599/D599,0),"")</f>
        <v>25568.666666666668</v>
      </c>
      <c r="G599" s="479">
        <f>IF(E599&lt;&gt;"", (SQRT(D599*E599))/300, "")</f>
      </c>
      <c r="H599" s="481">
        <v>68.9</v>
      </c>
      <c r="I599" s="481">
        <v>37.5</v>
      </c>
      <c r="J599" s="481">
        <v>26.26</v>
      </c>
      <c r="K599" s="481"/>
      <c r="L599" s="482" t="s">
        <v>830</v>
      </c>
      <c r="M599" s="231">
        <v>45108</v>
      </c>
      <c r="N599" s="223" t="s">
        <v>503</v>
      </c>
      <c r="O599" s="491" t="s">
        <v>3075</v>
      </c>
      <c r="P599" s="228" t="s">
        <v>819</v>
      </c>
      <c r="Q599" s="484" t="s">
        <v>808</v>
      </c>
      <c r="R599" s="21" t="s">
        <v>3076</v>
      </c>
      <c r="S599" s="485">
        <v>155</v>
      </c>
    </row>
    <row x14ac:dyDescent="0.25" r="600" customHeight="1" ht="17.25">
      <c r="A600" s="228" t="s">
        <v>3077</v>
      </c>
      <c r="B600" s="21" t="s">
        <v>3078</v>
      </c>
      <c r="C600" s="33"/>
      <c r="D600" s="477">
        <v>6</v>
      </c>
      <c r="E600" s="477">
        <v>402</v>
      </c>
      <c r="F600" s="230">
        <f>IF(E600&lt;&gt;"", ROUNDUP(E600/D600,0),"")</f>
        <v>25568.666666666668</v>
      </c>
      <c r="G600" s="487">
        <f>IF(E600&lt;&gt;"", (SQRT(D600*E600))/300, "")</f>
      </c>
      <c r="H600" s="480"/>
      <c r="I600" s="480"/>
      <c r="J600" s="480"/>
      <c r="K600" s="481"/>
      <c r="L600" s="482" t="s">
        <v>830</v>
      </c>
      <c r="M600" s="231">
        <v>45108</v>
      </c>
      <c r="N600" s="223" t="s">
        <v>484</v>
      </c>
      <c r="O600" s="615" t="s">
        <v>3079</v>
      </c>
      <c r="P600" s="259" t="s">
        <v>819</v>
      </c>
      <c r="Q600" s="484"/>
      <c r="R600" s="21" t="s">
        <v>3080</v>
      </c>
      <c r="S600" s="485">
        <v>154</v>
      </c>
    </row>
    <row x14ac:dyDescent="0.25" r="601" customHeight="1" ht="17.25">
      <c r="A601" s="228" t="s">
        <v>3081</v>
      </c>
      <c r="B601" s="21" t="s">
        <v>523</v>
      </c>
      <c r="C601" s="491" t="s">
        <v>1389</v>
      </c>
      <c r="D601" s="226">
        <v>130</v>
      </c>
      <c r="E601" s="478">
        <v>2500</v>
      </c>
      <c r="F601" s="832">
        <f>IF(E601&lt;&gt;"", ROUNDUP(E601/D601,0),"")</f>
        <v>25568.666666666668</v>
      </c>
      <c r="G601" s="795">
        <f>IF(E601&lt;&gt;"", (SQRT(D601*E601))/300, "")</f>
      </c>
      <c r="H601" s="480">
        <v>78.5</v>
      </c>
      <c r="I601" s="480"/>
      <c r="J601" s="480"/>
      <c r="K601" s="481"/>
      <c r="L601" s="482" t="s">
        <v>830</v>
      </c>
      <c r="M601" s="231">
        <v>45108</v>
      </c>
      <c r="N601" s="490" t="s">
        <v>503</v>
      </c>
      <c r="O601" s="615" t="s">
        <v>3082</v>
      </c>
      <c r="P601" s="259" t="s">
        <v>819</v>
      </c>
      <c r="Q601" s="484"/>
      <c r="R601" s="21" t="s">
        <v>3083</v>
      </c>
      <c r="S601" s="485">
        <v>153</v>
      </c>
    </row>
    <row x14ac:dyDescent="0.25" r="602" customHeight="1" ht="17.25">
      <c r="A602" s="228" t="s">
        <v>3084</v>
      </c>
      <c r="B602" s="462" t="s">
        <v>3085</v>
      </c>
      <c r="C602" s="491" t="s">
        <v>3086</v>
      </c>
      <c r="D602" s="23">
        <v>7</v>
      </c>
      <c r="E602" s="477">
        <v>1000</v>
      </c>
      <c r="F602" s="230">
        <f>IF(E602&lt;&gt;"", ROUNDUP(E602/D602,0),"")</f>
        <v>25568.666666666668</v>
      </c>
      <c r="G602" s="487">
        <f>IF(E602&lt;&gt;"", (SQRT(D602*E602))/300, "")</f>
      </c>
      <c r="H602" s="480"/>
      <c r="I602" s="480"/>
      <c r="J602" s="480"/>
      <c r="K602" s="481"/>
      <c r="L602" s="482" t="s">
        <v>830</v>
      </c>
      <c r="M602" s="231">
        <v>45108</v>
      </c>
      <c r="N602" s="490" t="s">
        <v>503</v>
      </c>
      <c r="O602" s="608" t="s">
        <v>3087</v>
      </c>
      <c r="P602" s="259" t="s">
        <v>819</v>
      </c>
      <c r="Q602" s="484"/>
      <c r="R602" s="21" t="s">
        <v>3088</v>
      </c>
      <c r="S602" s="485">
        <v>152</v>
      </c>
    </row>
    <row x14ac:dyDescent="0.25" r="603" customHeight="1" ht="17.25">
      <c r="A603" s="228" t="s">
        <v>3089</v>
      </c>
      <c r="B603" s="462" t="s">
        <v>1052</v>
      </c>
      <c r="C603" s="33"/>
      <c r="D603" s="23">
        <v>100</v>
      </c>
      <c r="E603" s="477">
        <v>1000</v>
      </c>
      <c r="F603" s="230">
        <f>IF(E603&lt;&gt;"", ROUNDUP(E603/D603,0),"")</f>
        <v>25568.666666666668</v>
      </c>
      <c r="G603" s="487">
        <f>IF(E603&lt;&gt;"", (SQRT(D603*E603))/300, "")</f>
      </c>
      <c r="H603" s="480"/>
      <c r="I603" s="480"/>
      <c r="J603" s="480"/>
      <c r="K603" s="481"/>
      <c r="L603" s="750" t="s">
        <v>1099</v>
      </c>
      <c r="M603" s="231">
        <v>45108</v>
      </c>
      <c r="N603" s="754" t="s">
        <v>470</v>
      </c>
      <c r="O603" s="608" t="s">
        <v>3090</v>
      </c>
      <c r="P603" s="259" t="s">
        <v>819</v>
      </c>
      <c r="Q603" s="484"/>
      <c r="R603" s="21" t="s">
        <v>3091</v>
      </c>
      <c r="S603" s="485">
        <v>151</v>
      </c>
    </row>
    <row x14ac:dyDescent="0.25" r="604" customHeight="1" ht="17.25">
      <c r="A604" s="228" t="s">
        <v>3092</v>
      </c>
      <c r="B604" s="21" t="s">
        <v>1106</v>
      </c>
      <c r="C604" s="491" t="s">
        <v>3093</v>
      </c>
      <c r="D604" s="23">
        <v>7</v>
      </c>
      <c r="E604" s="477">
        <v>1500</v>
      </c>
      <c r="F604" s="230">
        <f>IF(E604&lt;&gt;"", ROUNDUP(E604/D604,0),"")</f>
        <v>25568.666666666668</v>
      </c>
      <c r="G604" s="487">
        <f>IF(E604&lt;&gt;"", (SQRT(D604*E604))/300, "")</f>
      </c>
      <c r="H604" s="480"/>
      <c r="I604" s="480"/>
      <c r="J604" s="480"/>
      <c r="K604" s="481"/>
      <c r="L604" s="482" t="s">
        <v>830</v>
      </c>
      <c r="M604" s="231">
        <v>45108</v>
      </c>
      <c r="N604" s="490" t="s">
        <v>503</v>
      </c>
      <c r="O604" s="608" t="s">
        <v>3094</v>
      </c>
      <c r="P604" s="259" t="s">
        <v>819</v>
      </c>
      <c r="Q604" s="484"/>
      <c r="R604" s="21" t="s">
        <v>3095</v>
      </c>
      <c r="S604" s="485">
        <v>150</v>
      </c>
    </row>
    <row x14ac:dyDescent="0.25" r="605" customHeight="1" ht="17.25">
      <c r="A605" s="228" t="s">
        <v>3096</v>
      </c>
      <c r="B605" s="21" t="s">
        <v>3097</v>
      </c>
      <c r="C605" s="491" t="s">
        <v>3098</v>
      </c>
      <c r="D605" s="226">
        <v>100</v>
      </c>
      <c r="E605" s="478">
        <v>2000</v>
      </c>
      <c r="F605" s="230">
        <f>IF(E605&lt;&gt;"", ROUNDUP(E605/D605,0),"")</f>
        <v>25568.666666666668</v>
      </c>
      <c r="G605" s="487">
        <f>IF(E605&lt;&gt;"", (SQRT(D605*E605))/300, "")</f>
      </c>
      <c r="H605" s="480"/>
      <c r="I605" s="480"/>
      <c r="J605" s="480"/>
      <c r="K605" s="481"/>
      <c r="L605" s="482" t="s">
        <v>830</v>
      </c>
      <c r="M605" s="231">
        <v>45109</v>
      </c>
      <c r="N605" s="490" t="s">
        <v>503</v>
      </c>
      <c r="O605" s="608" t="s">
        <v>2999</v>
      </c>
      <c r="P605" s="259" t="s">
        <v>819</v>
      </c>
      <c r="Q605" s="484"/>
      <c r="R605" s="21"/>
      <c r="S605" s="485">
        <v>149</v>
      </c>
    </row>
    <row x14ac:dyDescent="0.25" r="606" customHeight="1" ht="17.25">
      <c r="A606" s="228" t="s">
        <v>3099</v>
      </c>
      <c r="B606" s="21" t="s">
        <v>1293</v>
      </c>
      <c r="C606" s="491" t="s">
        <v>2923</v>
      </c>
      <c r="D606" s="24"/>
      <c r="E606" s="620"/>
      <c r="F606" s="230"/>
      <c r="G606" s="487"/>
      <c r="H606" s="480"/>
      <c r="I606" s="480"/>
      <c r="J606" s="480"/>
      <c r="K606" s="481"/>
      <c r="L606" s="482" t="s">
        <v>830</v>
      </c>
      <c r="M606" s="231">
        <v>45078</v>
      </c>
      <c r="N606" s="223" t="s">
        <v>484</v>
      </c>
      <c r="O606" s="608" t="s">
        <v>2923</v>
      </c>
      <c r="P606" s="259" t="s">
        <v>819</v>
      </c>
      <c r="Q606" s="484"/>
      <c r="R606" s="21" t="s">
        <v>3100</v>
      </c>
      <c r="S606" s="485">
        <v>148</v>
      </c>
    </row>
    <row x14ac:dyDescent="0.25" r="607" customHeight="1" ht="17.25">
      <c r="A607" s="228" t="s">
        <v>3101</v>
      </c>
      <c r="B607" s="21" t="s">
        <v>834</v>
      </c>
      <c r="C607" s="491" t="s">
        <v>3102</v>
      </c>
      <c r="D607" s="24">
        <v>1.6</v>
      </c>
      <c r="E607" s="477">
        <v>360</v>
      </c>
      <c r="F607" s="230">
        <f>IF(E607&lt;&gt;"", ROUNDUP(E607/D607,0),"")</f>
        <v>25568.666666666668</v>
      </c>
      <c r="G607" s="487">
        <f>IF(E607&lt;&gt;"", (SQRT(D607*E607))/300, "")</f>
      </c>
      <c r="H607" s="480"/>
      <c r="I607" s="480"/>
      <c r="J607" s="480"/>
      <c r="K607" s="481"/>
      <c r="L607" s="482" t="s">
        <v>830</v>
      </c>
      <c r="M607" s="231">
        <v>45078</v>
      </c>
      <c r="N607" s="490" t="s">
        <v>503</v>
      </c>
      <c r="O607" s="608" t="s">
        <v>3103</v>
      </c>
      <c r="P607" s="259" t="s">
        <v>819</v>
      </c>
      <c r="Q607" s="484"/>
      <c r="R607" s="21" t="s">
        <v>3104</v>
      </c>
      <c r="S607" s="485">
        <v>147</v>
      </c>
    </row>
    <row x14ac:dyDescent="0.25" r="608" customHeight="1" ht="17.25">
      <c r="A608" s="228" t="s">
        <v>3105</v>
      </c>
      <c r="B608" s="462" t="s">
        <v>508</v>
      </c>
      <c r="C608" s="491" t="s">
        <v>3106</v>
      </c>
      <c r="D608" s="762">
        <v>340</v>
      </c>
      <c r="E608" s="762">
        <v>3600</v>
      </c>
      <c r="F608" s="832">
        <f>IF(E608&lt;&gt;"", ROUNDUP(E608/D608,0),"")</f>
        <v>25568.666666666668</v>
      </c>
      <c r="G608" s="859">
        <f>IF(E608&lt;&gt;"", (SQRT(D608*E608))/300, "")</f>
      </c>
      <c r="H608" s="480"/>
      <c r="I608" s="480"/>
      <c r="J608" s="480"/>
      <c r="K608" s="481"/>
      <c r="L608" s="482" t="s">
        <v>830</v>
      </c>
      <c r="M608" s="231">
        <v>45078</v>
      </c>
      <c r="N608" s="754" t="s">
        <v>470</v>
      </c>
      <c r="O608" s="615" t="s">
        <v>3107</v>
      </c>
      <c r="P608" s="259" t="s">
        <v>819</v>
      </c>
      <c r="Q608" s="566"/>
      <c r="R608" s="228" t="s">
        <v>3108</v>
      </c>
      <c r="S608" s="485">
        <v>146</v>
      </c>
    </row>
    <row x14ac:dyDescent="0.25" r="609" customHeight="1" ht="17.25">
      <c r="A609" s="228" t="s">
        <v>3109</v>
      </c>
      <c r="B609" s="21" t="s">
        <v>1996</v>
      </c>
      <c r="C609" s="491" t="s">
        <v>3110</v>
      </c>
      <c r="D609" s="226">
        <v>120</v>
      </c>
      <c r="E609" s="226">
        <v>2000</v>
      </c>
      <c r="F609" s="794">
        <f>IF(E609&lt;&gt;"", ROUNDUP(E609/D609,0),"")</f>
        <v>25568.666666666668</v>
      </c>
      <c r="G609" s="795">
        <f>IF(E609&lt;&gt;"", (SQRT(D609*E609))/300, "")</f>
      </c>
      <c r="H609" s="480"/>
      <c r="I609" s="480"/>
      <c r="J609" s="480"/>
      <c r="K609" s="481"/>
      <c r="L609" s="482" t="s">
        <v>830</v>
      </c>
      <c r="M609" s="231">
        <v>45078</v>
      </c>
      <c r="N609" s="490" t="s">
        <v>503</v>
      </c>
      <c r="O609" s="615" t="s">
        <v>3111</v>
      </c>
      <c r="P609" s="259" t="s">
        <v>819</v>
      </c>
      <c r="Q609" s="566"/>
      <c r="R609" s="228" t="s">
        <v>3112</v>
      </c>
      <c r="S609" s="485">
        <v>145</v>
      </c>
    </row>
    <row x14ac:dyDescent="0.25" r="610" customHeight="1" ht="17.25">
      <c r="A610" s="228" t="s">
        <v>3113</v>
      </c>
      <c r="B610" s="21" t="s">
        <v>834</v>
      </c>
      <c r="C610" s="33"/>
      <c r="D610" s="24">
        <v>1.3</v>
      </c>
      <c r="E610" s="23">
        <v>51</v>
      </c>
      <c r="F610" s="749">
        <f>IF(E610&lt;&gt;"", ROUNDUP(E610/D610,0),"")</f>
        <v>25568.666666666668</v>
      </c>
      <c r="G610" s="487">
        <f>IF(E610&lt;&gt;"", (SQRT(D610*E610))/300, "")</f>
      </c>
      <c r="H610" s="480"/>
      <c r="I610" s="480"/>
      <c r="J610" s="480"/>
      <c r="K610" s="509"/>
      <c r="L610" s="510" t="s">
        <v>836</v>
      </c>
      <c r="M610" s="231">
        <v>45078</v>
      </c>
      <c r="N610" s="500" t="s">
        <v>470</v>
      </c>
      <c r="O610" s="615" t="s">
        <v>3114</v>
      </c>
      <c r="P610" s="259" t="s">
        <v>819</v>
      </c>
      <c r="Q610" s="566"/>
      <c r="R610" s="228" t="s">
        <v>3115</v>
      </c>
      <c r="S610" s="485">
        <v>144</v>
      </c>
    </row>
    <row x14ac:dyDescent="0.25" r="611" customHeight="1" ht="17.25">
      <c r="A611" s="228" t="s">
        <v>605</v>
      </c>
      <c r="B611" s="462" t="s">
        <v>1258</v>
      </c>
      <c r="C611" s="491" t="s">
        <v>3116</v>
      </c>
      <c r="D611" s="23">
        <v>104</v>
      </c>
      <c r="E611" s="23">
        <v>1600</v>
      </c>
      <c r="F611" s="230">
        <f>IF(E611&lt;&gt;"", ROUNDUP(E611/D611,0),"")</f>
        <v>25568.666666666668</v>
      </c>
      <c r="G611" s="479">
        <f>IF(E611&lt;&gt;"", (SQRT(D611*E611))/300, "")</f>
      </c>
      <c r="H611" s="480"/>
      <c r="I611" s="480"/>
      <c r="J611" s="480"/>
      <c r="K611" s="481"/>
      <c r="L611" s="482" t="s">
        <v>830</v>
      </c>
      <c r="M611" s="231">
        <v>45078</v>
      </c>
      <c r="N611" s="754" t="s">
        <v>470</v>
      </c>
      <c r="O611" s="615" t="s">
        <v>3117</v>
      </c>
      <c r="P611" s="259" t="s">
        <v>819</v>
      </c>
      <c r="Q611" s="566"/>
      <c r="R611" s="228" t="s">
        <v>3118</v>
      </c>
      <c r="S611" s="485">
        <v>143</v>
      </c>
    </row>
    <row x14ac:dyDescent="0.25" r="612" customHeight="1" ht="17.25">
      <c r="A612" s="492" t="s">
        <v>3119</v>
      </c>
      <c r="B612" s="462" t="s">
        <v>498</v>
      </c>
      <c r="C612" s="535" t="s">
        <v>3120</v>
      </c>
      <c r="D612" s="496">
        <v>175</v>
      </c>
      <c r="E612" s="496">
        <v>300</v>
      </c>
      <c r="F612" s="651">
        <f>IF(E612&lt;&gt;"", ROUNDUP(E612/D612,0),"")</f>
        <v>25568.666666666668</v>
      </c>
      <c r="G612" s="487">
        <f>IF(E612&lt;&gt;"", (SQRT(D612*E612))/300, "")</f>
      </c>
      <c r="H612" s="480"/>
      <c r="I612" s="480"/>
      <c r="J612" s="480"/>
      <c r="K612" s="481"/>
      <c r="L612" s="482" t="s">
        <v>830</v>
      </c>
      <c r="M612" s="231">
        <v>45078</v>
      </c>
      <c r="N612" s="490" t="s">
        <v>503</v>
      </c>
      <c r="O612" s="495" t="s">
        <v>3121</v>
      </c>
      <c r="P612" s="259" t="s">
        <v>819</v>
      </c>
      <c r="Q612" s="502"/>
      <c r="R612" s="492" t="s">
        <v>3122</v>
      </c>
      <c r="S612" s="485">
        <v>142</v>
      </c>
    </row>
    <row x14ac:dyDescent="0.25" r="613" customHeight="1" ht="17.25">
      <c r="A613" s="228" t="s">
        <v>3123</v>
      </c>
      <c r="B613" s="21" t="s">
        <v>834</v>
      </c>
      <c r="C613" s="491" t="s">
        <v>3124</v>
      </c>
      <c r="D613" s="23">
        <v>13</v>
      </c>
      <c r="E613" s="23">
        <v>1000</v>
      </c>
      <c r="F613" s="230">
        <f>IF(E613&lt;&gt;"", ROUNDUP(E613/D613,0),"")</f>
        <v>25568.666666666668</v>
      </c>
      <c r="G613" s="487">
        <f>IF(E613&lt;&gt;"", (SQRT(D613*E613))/300, "")</f>
      </c>
      <c r="H613" s="480"/>
      <c r="I613" s="480"/>
      <c r="J613" s="480"/>
      <c r="K613" s="481"/>
      <c r="L613" s="482" t="s">
        <v>830</v>
      </c>
      <c r="M613" s="231">
        <v>45078</v>
      </c>
      <c r="N613" s="223" t="s">
        <v>484</v>
      </c>
      <c r="O613" s="615" t="s">
        <v>3125</v>
      </c>
      <c r="P613" s="259" t="s">
        <v>819</v>
      </c>
      <c r="Q613" s="566"/>
      <c r="R613" s="609" t="s">
        <v>3126</v>
      </c>
      <c r="S613" s="485">
        <v>141</v>
      </c>
    </row>
    <row x14ac:dyDescent="0.25" r="614" customHeight="1" ht="17.25">
      <c r="A614" s="228" t="s">
        <v>3127</v>
      </c>
      <c r="B614" s="21" t="s">
        <v>1199</v>
      </c>
      <c r="C614" s="33"/>
      <c r="D614" s="24"/>
      <c r="E614" s="24"/>
      <c r="F614" s="230"/>
      <c r="G614" s="487">
        <f>IF(E614&lt;&gt;"", (SQRT(D614*E614))/300, "")</f>
      </c>
      <c r="H614" s="480"/>
      <c r="I614" s="480"/>
      <c r="J614" s="480"/>
      <c r="K614" s="481"/>
      <c r="L614" s="750" t="s">
        <v>1099</v>
      </c>
      <c r="M614" s="231">
        <v>45078</v>
      </c>
      <c r="N614" s="500" t="s">
        <v>470</v>
      </c>
      <c r="O614" s="615" t="s">
        <v>3128</v>
      </c>
      <c r="P614" s="259" t="s">
        <v>819</v>
      </c>
      <c r="Q614" s="566"/>
      <c r="R614" s="228" t="s">
        <v>3129</v>
      </c>
      <c r="S614" s="485">
        <v>140</v>
      </c>
    </row>
    <row x14ac:dyDescent="0.25" r="615" customHeight="1" ht="17.25">
      <c r="A615" s="228" t="s">
        <v>509</v>
      </c>
      <c r="B615" s="462" t="s">
        <v>828</v>
      </c>
      <c r="C615" s="33"/>
      <c r="D615" s="24"/>
      <c r="E615" s="762">
        <v>37900</v>
      </c>
      <c r="F615" s="230"/>
      <c r="G615" s="487"/>
      <c r="H615" s="480"/>
      <c r="I615" s="480"/>
      <c r="J615" s="480"/>
      <c r="K615" s="481"/>
      <c r="L615" s="750" t="s">
        <v>1099</v>
      </c>
      <c r="M615" s="231">
        <v>45078</v>
      </c>
      <c r="N615" s="500" t="s">
        <v>470</v>
      </c>
      <c r="O615" s="615" t="s">
        <v>3130</v>
      </c>
      <c r="P615" s="259" t="s">
        <v>819</v>
      </c>
      <c r="Q615" s="566"/>
      <c r="R615" s="228" t="s">
        <v>3131</v>
      </c>
      <c r="S615" s="485">
        <v>139</v>
      </c>
    </row>
    <row x14ac:dyDescent="0.25" r="616" customHeight="1" ht="17.25">
      <c r="A616" s="228" t="s">
        <v>3132</v>
      </c>
      <c r="B616" s="21" t="s">
        <v>2080</v>
      </c>
      <c r="C616" s="491" t="s">
        <v>3133</v>
      </c>
      <c r="D616" s="225"/>
      <c r="E616" s="647"/>
      <c r="F616" s="230"/>
      <c r="G616" s="795"/>
      <c r="H616" s="480"/>
      <c r="I616" s="480"/>
      <c r="J616" s="480"/>
      <c r="K616" s="481"/>
      <c r="L616" s="750" t="s">
        <v>1099</v>
      </c>
      <c r="M616" s="231">
        <v>45078</v>
      </c>
      <c r="N616" s="500" t="s">
        <v>470</v>
      </c>
      <c r="O616" s="615" t="s">
        <v>3133</v>
      </c>
      <c r="P616" s="259" t="s">
        <v>819</v>
      </c>
      <c r="Q616" s="566"/>
      <c r="R616" s="228" t="s">
        <v>3134</v>
      </c>
      <c r="S616" s="485">
        <v>138</v>
      </c>
    </row>
    <row x14ac:dyDescent="0.25" r="617" customHeight="1" ht="17.25">
      <c r="A617" s="228" t="s">
        <v>3135</v>
      </c>
      <c r="B617" s="462" t="s">
        <v>490</v>
      </c>
      <c r="C617" s="33"/>
      <c r="D617" s="23">
        <v>1760</v>
      </c>
      <c r="E617" s="478">
        <v>13000</v>
      </c>
      <c r="F617" s="860">
        <f>IF(E617&lt;&gt;"", ROUNDUP(E617/D617,0),"")</f>
        <v>25568.666666666668</v>
      </c>
      <c r="G617" s="795">
        <f>IF(E617&lt;&gt;"", (SQRT(D617*E617))/300, "")</f>
      </c>
      <c r="H617" s="480"/>
      <c r="I617" s="480"/>
      <c r="J617" s="480"/>
      <c r="K617" s="481"/>
      <c r="L617" s="482" t="s">
        <v>830</v>
      </c>
      <c r="M617" s="231">
        <v>45047</v>
      </c>
      <c r="N617" s="500" t="s">
        <v>470</v>
      </c>
      <c r="O617" s="615" t="s">
        <v>3136</v>
      </c>
      <c r="P617" s="259" t="s">
        <v>802</v>
      </c>
      <c r="Q617" s="566"/>
      <c r="R617" s="228" t="s">
        <v>3137</v>
      </c>
      <c r="S617" s="485">
        <v>137</v>
      </c>
    </row>
    <row x14ac:dyDescent="0.25" r="618" customHeight="1" ht="17.25">
      <c r="A618" s="228" t="s">
        <v>3138</v>
      </c>
      <c r="B618" s="462" t="s">
        <v>3139</v>
      </c>
      <c r="C618" s="491" t="s">
        <v>3140</v>
      </c>
      <c r="D618" s="23">
        <v>13</v>
      </c>
      <c r="E618" s="23">
        <v>1000</v>
      </c>
      <c r="F618" s="715">
        <f>IF(E618&lt;&gt;"", ROUNDUP(E618/D618,0),"")</f>
        <v>25568.666666666668</v>
      </c>
      <c r="G618" s="487">
        <f>IF(E618&lt;&gt;"", (SQRT(D618*E618))/300, "")</f>
      </c>
      <c r="H618" s="480"/>
      <c r="I618" s="480"/>
      <c r="J618" s="480"/>
      <c r="K618" s="481"/>
      <c r="L618" s="482" t="s">
        <v>830</v>
      </c>
      <c r="M618" s="231">
        <v>45047</v>
      </c>
      <c r="N618" s="490" t="s">
        <v>503</v>
      </c>
      <c r="O618" s="615" t="s">
        <v>3141</v>
      </c>
      <c r="P618" s="259" t="s">
        <v>819</v>
      </c>
      <c r="Q618" s="566"/>
      <c r="R618" s="228" t="s">
        <v>3142</v>
      </c>
      <c r="S618" s="485">
        <v>136</v>
      </c>
    </row>
    <row x14ac:dyDescent="0.25" r="619" customHeight="1" ht="17.25">
      <c r="A619" s="228" t="s">
        <v>553</v>
      </c>
      <c r="B619" s="21" t="s">
        <v>552</v>
      </c>
      <c r="C619" s="491" t="s">
        <v>3143</v>
      </c>
      <c r="D619" s="23">
        <v>40</v>
      </c>
      <c r="E619" s="23">
        <v>1000</v>
      </c>
      <c r="F619" s="715">
        <f>IF(E619&lt;&gt;"", ROUNDUP(E619/D619,0),"")</f>
        <v>25568.666666666668</v>
      </c>
      <c r="G619" s="487">
        <f>IF(E619&lt;&gt;"", (SQRT(D619*E619))/300, "")</f>
      </c>
      <c r="H619" s="480"/>
      <c r="I619" s="480"/>
      <c r="J619" s="480"/>
      <c r="K619" s="481"/>
      <c r="L619" s="482" t="s">
        <v>830</v>
      </c>
      <c r="M619" s="231">
        <v>45047</v>
      </c>
      <c r="N619" s="490" t="s">
        <v>503</v>
      </c>
      <c r="O619" s="615" t="s">
        <v>3144</v>
      </c>
      <c r="P619" s="259" t="s">
        <v>819</v>
      </c>
      <c r="Q619" s="566"/>
      <c r="R619" s="228" t="s">
        <v>3145</v>
      </c>
      <c r="S619" s="485">
        <v>135</v>
      </c>
    </row>
    <row x14ac:dyDescent="0.25" r="620" customHeight="1" ht="17.25">
      <c r="A620" s="228" t="s">
        <v>3146</v>
      </c>
      <c r="B620" s="21" t="s">
        <v>3147</v>
      </c>
      <c r="C620" s="491" t="s">
        <v>3148</v>
      </c>
      <c r="D620" s="24">
        <v>1.6</v>
      </c>
      <c r="E620" s="24"/>
      <c r="F620" s="230"/>
      <c r="G620" s="487">
        <f>IF(E620&lt;&gt;"", (SQRT(D620*E620))/300, "")</f>
      </c>
      <c r="H620" s="480"/>
      <c r="I620" s="480"/>
      <c r="J620" s="480"/>
      <c r="K620" s="481"/>
      <c r="L620" s="482" t="s">
        <v>830</v>
      </c>
      <c r="M620" s="231">
        <v>45047</v>
      </c>
      <c r="N620" s="223" t="s">
        <v>484</v>
      </c>
      <c r="O620" s="615" t="s">
        <v>3148</v>
      </c>
      <c r="P620" s="259" t="s">
        <v>819</v>
      </c>
      <c r="Q620" s="566"/>
      <c r="R620" s="228" t="s">
        <v>3149</v>
      </c>
      <c r="S620" s="485">
        <v>134</v>
      </c>
    </row>
    <row x14ac:dyDescent="0.25" r="621" customHeight="1" ht="17.25">
      <c r="A621" s="228" t="s">
        <v>3150</v>
      </c>
      <c r="B621" s="21" t="s">
        <v>3151</v>
      </c>
      <c r="C621" s="491" t="s">
        <v>3152</v>
      </c>
      <c r="D621" s="23">
        <v>65</v>
      </c>
      <c r="E621" s="23">
        <v>1400</v>
      </c>
      <c r="F621" s="715">
        <f>IF(E621&lt;&gt;"", ROUNDUP(E621/D621,0),"")</f>
        <v>25568.666666666668</v>
      </c>
      <c r="G621" s="487">
        <f>IF(E621&lt;&gt;"", (SQRT(D621*E621))/300, "")</f>
      </c>
      <c r="H621" s="480"/>
      <c r="I621" s="480"/>
      <c r="J621" s="480"/>
      <c r="K621" s="481"/>
      <c r="L621" s="482" t="s">
        <v>830</v>
      </c>
      <c r="M621" s="231">
        <v>45047</v>
      </c>
      <c r="N621" s="490" t="s">
        <v>503</v>
      </c>
      <c r="O621" s="615" t="s">
        <v>3153</v>
      </c>
      <c r="P621" s="259" t="s">
        <v>819</v>
      </c>
      <c r="Q621" s="566"/>
      <c r="R621" s="228" t="s">
        <v>3154</v>
      </c>
      <c r="S621" s="485">
        <v>133</v>
      </c>
    </row>
    <row x14ac:dyDescent="0.25" r="622" customHeight="1" ht="17.25">
      <c r="A622" s="228" t="s">
        <v>3155</v>
      </c>
      <c r="B622" s="462" t="s">
        <v>498</v>
      </c>
      <c r="C622" s="33"/>
      <c r="D622" s="23">
        <v>65</v>
      </c>
      <c r="E622" s="24"/>
      <c r="F622" s="230"/>
      <c r="G622" s="487">
        <f>IF(E622&lt;&gt;"", (SQRT(D622*E622))/300, "")</f>
      </c>
      <c r="H622" s="480"/>
      <c r="I622" s="480"/>
      <c r="J622" s="480"/>
      <c r="K622" s="481"/>
      <c r="L622" s="482" t="s">
        <v>830</v>
      </c>
      <c r="M622" s="231">
        <v>45047</v>
      </c>
      <c r="N622" s="500" t="s">
        <v>470</v>
      </c>
      <c r="O622" s="615" t="s">
        <v>3156</v>
      </c>
      <c r="P622" s="259" t="s">
        <v>819</v>
      </c>
      <c r="Q622" s="566"/>
      <c r="R622" s="228" t="s">
        <v>3157</v>
      </c>
      <c r="S622" s="485">
        <v>132</v>
      </c>
    </row>
    <row x14ac:dyDescent="0.25" r="623" customHeight="1" ht="17.25">
      <c r="A623" s="228" t="s">
        <v>3158</v>
      </c>
      <c r="B623" s="21" t="s">
        <v>3159</v>
      </c>
      <c r="C623" s="33"/>
      <c r="D623" s="23">
        <v>176</v>
      </c>
      <c r="E623" s="23">
        <v>366</v>
      </c>
      <c r="F623" s="715">
        <f>IF(E623&lt;&gt;"", ROUNDUP(E623/D623,0),"")</f>
        <v>25568.666666666668</v>
      </c>
      <c r="G623" s="487">
        <f>IF(E623&lt;&gt;"", (SQRT(D623*E623))/300, "")</f>
      </c>
      <c r="H623" s="480"/>
      <c r="I623" s="480"/>
      <c r="J623" s="480"/>
      <c r="K623" s="481"/>
      <c r="L623" s="482" t="s">
        <v>830</v>
      </c>
      <c r="M623" s="231">
        <v>45047</v>
      </c>
      <c r="N623" s="223" t="s">
        <v>484</v>
      </c>
      <c r="O623" s="615" t="s">
        <v>3160</v>
      </c>
      <c r="P623" s="259" t="s">
        <v>819</v>
      </c>
      <c r="Q623" s="566"/>
      <c r="R623" s="609" t="s">
        <v>3161</v>
      </c>
      <c r="S623" s="485">
        <v>131</v>
      </c>
    </row>
    <row x14ac:dyDescent="0.25" r="624" customHeight="1" ht="17.25">
      <c r="A624" s="228" t="s">
        <v>3162</v>
      </c>
      <c r="B624" s="21" t="s">
        <v>1106</v>
      </c>
      <c r="C624" s="491" t="s">
        <v>3163</v>
      </c>
      <c r="D624" s="23">
        <v>16</v>
      </c>
      <c r="E624" s="24"/>
      <c r="F624" s="230"/>
      <c r="G624" s="487">
        <f>IF(E624&lt;&gt;"", (SQRT(D624*E624))/300, "")</f>
      </c>
      <c r="H624" s="480"/>
      <c r="I624" s="480"/>
      <c r="J624" s="480"/>
      <c r="K624" s="481"/>
      <c r="L624" s="482" t="s">
        <v>830</v>
      </c>
      <c r="M624" s="231">
        <v>45047</v>
      </c>
      <c r="N624" s="490" t="s">
        <v>503</v>
      </c>
      <c r="O624" s="615" t="s">
        <v>3164</v>
      </c>
      <c r="P624" s="259" t="s">
        <v>819</v>
      </c>
      <c r="Q624" s="566"/>
      <c r="R624" s="228" t="s">
        <v>3165</v>
      </c>
      <c r="S624" s="485">
        <v>130</v>
      </c>
    </row>
    <row x14ac:dyDescent="0.25" r="625" customHeight="1" ht="17.25">
      <c r="A625" s="228" t="s">
        <v>576</v>
      </c>
      <c r="B625" s="462" t="s">
        <v>508</v>
      </c>
      <c r="C625" s="491" t="s">
        <v>3166</v>
      </c>
      <c r="D625" s="762">
        <v>340</v>
      </c>
      <c r="E625" s="762">
        <v>3600</v>
      </c>
      <c r="F625" s="832">
        <f>IF(E625&lt;&gt;"", ROUNDUP(E625/D625,0),"")</f>
        <v>25568.666666666668</v>
      </c>
      <c r="G625" s="859">
        <f>IF(E625&lt;&gt;"", (SQRT(D625*E625))/300, "")</f>
      </c>
      <c r="H625" s="481"/>
      <c r="I625" s="481"/>
      <c r="J625" s="481"/>
      <c r="K625" s="481"/>
      <c r="L625" s="482" t="s">
        <v>830</v>
      </c>
      <c r="M625" s="231">
        <v>45047</v>
      </c>
      <c r="N625" s="223" t="s">
        <v>503</v>
      </c>
      <c r="O625" s="615" t="s">
        <v>3167</v>
      </c>
      <c r="P625" s="228" t="s">
        <v>819</v>
      </c>
      <c r="Q625" s="566" t="s">
        <v>808</v>
      </c>
      <c r="R625" s="228" t="s">
        <v>3168</v>
      </c>
      <c r="S625" s="485">
        <v>129</v>
      </c>
    </row>
    <row x14ac:dyDescent="0.25" r="626" customHeight="1" ht="17.25">
      <c r="A626" s="228" t="s">
        <v>3169</v>
      </c>
      <c r="B626" s="21" t="s">
        <v>2582</v>
      </c>
      <c r="C626" s="677" t="s">
        <v>3170</v>
      </c>
      <c r="D626" s="620">
        <v>15.5</v>
      </c>
      <c r="E626" s="477">
        <v>1000</v>
      </c>
      <c r="F626" s="715">
        <f>IF(E626&lt;&gt;"", ROUNDUP(E626/D626,0),"")</f>
        <v>25568.666666666668</v>
      </c>
      <c r="G626" s="487">
        <f>IF(E626&lt;&gt;"", (SQRT(D626*E626))/300, "")</f>
      </c>
      <c r="H626" s="480"/>
      <c r="I626" s="480"/>
      <c r="J626" s="480"/>
      <c r="K626" s="481"/>
      <c r="L626" s="482" t="s">
        <v>2361</v>
      </c>
      <c r="M626" s="231">
        <v>45047</v>
      </c>
      <c r="N626" s="490" t="s">
        <v>503</v>
      </c>
      <c r="O626" s="615" t="s">
        <v>3171</v>
      </c>
      <c r="P626" s="259" t="s">
        <v>819</v>
      </c>
      <c r="Q626" s="566"/>
      <c r="R626" s="228"/>
      <c r="S626" s="485">
        <v>128</v>
      </c>
    </row>
    <row x14ac:dyDescent="0.25" r="627" customHeight="1" ht="17.25">
      <c r="A627" s="228" t="s">
        <v>621</v>
      </c>
      <c r="B627" s="21" t="s">
        <v>2494</v>
      </c>
      <c r="C627" s="491" t="s">
        <v>3172</v>
      </c>
      <c r="D627" s="477">
        <v>7</v>
      </c>
      <c r="E627" s="477">
        <v>1000</v>
      </c>
      <c r="F627" s="230">
        <f>IF(E627&lt;&gt;"", ROUNDUP(E627/D627,0),"")</f>
        <v>25568.666666666668</v>
      </c>
      <c r="G627" s="487">
        <f>IF(E627&lt;&gt;"", (SQRT(D627*E627))/300, "")</f>
      </c>
      <c r="H627" s="480"/>
      <c r="I627" s="480"/>
      <c r="J627" s="480"/>
      <c r="K627" s="481"/>
      <c r="L627" s="482" t="s">
        <v>830</v>
      </c>
      <c r="M627" s="231">
        <v>45047</v>
      </c>
      <c r="N627" s="223" t="s">
        <v>503</v>
      </c>
      <c r="O627" s="615" t="s">
        <v>3173</v>
      </c>
      <c r="P627" s="259" t="s">
        <v>819</v>
      </c>
      <c r="Q627" s="566"/>
      <c r="R627" s="228" t="s">
        <v>3174</v>
      </c>
      <c r="S627" s="485">
        <v>127</v>
      </c>
    </row>
    <row x14ac:dyDescent="0.25" r="628" customHeight="1" ht="17.25">
      <c r="A628" s="492" t="s">
        <v>3175</v>
      </c>
      <c r="B628" s="21" t="s">
        <v>1996</v>
      </c>
      <c r="C628" s="535" t="s">
        <v>3176</v>
      </c>
      <c r="D628" s="573">
        <v>60</v>
      </c>
      <c r="E628" s="620"/>
      <c r="F628" s="230"/>
      <c r="G628" s="487">
        <f>IF(E628&lt;&gt;"", (SQRT(D628*E628))/300, "")</f>
      </c>
      <c r="H628" s="480"/>
      <c r="I628" s="480"/>
      <c r="J628" s="480"/>
      <c r="K628" s="481"/>
      <c r="L628" s="482" t="s">
        <v>830</v>
      </c>
      <c r="M628" s="718">
        <v>45047</v>
      </c>
      <c r="N628" s="490" t="s">
        <v>503</v>
      </c>
      <c r="O628" s="501" t="s">
        <v>3177</v>
      </c>
      <c r="P628" s="259" t="s">
        <v>819</v>
      </c>
      <c r="Q628" s="502"/>
      <c r="R628" s="492" t="s">
        <v>3178</v>
      </c>
      <c r="S628" s="485">
        <v>126</v>
      </c>
    </row>
    <row x14ac:dyDescent="0.25" r="629" customHeight="1" ht="17.25">
      <c r="A629" s="492" t="s">
        <v>3179</v>
      </c>
      <c r="B629" s="21" t="s">
        <v>474</v>
      </c>
      <c r="C629" s="535" t="s">
        <v>3180</v>
      </c>
      <c r="D629" s="496">
        <v>2</v>
      </c>
      <c r="E629" s="477">
        <v>1100</v>
      </c>
      <c r="F629" s="230">
        <f>IF(E629&lt;&gt;"", ROUNDUP(E629/D629,0),"")</f>
        <v>25568.666666666668</v>
      </c>
      <c r="G629" s="487">
        <f>IF(E629&lt;&gt;"", (SQRT(D629*E629))/300, "")</f>
      </c>
      <c r="H629" s="480"/>
      <c r="I629" s="480"/>
      <c r="J629" s="480"/>
      <c r="K629" s="481"/>
      <c r="L629" s="482" t="s">
        <v>830</v>
      </c>
      <c r="M629" s="718">
        <v>45047</v>
      </c>
      <c r="N629" s="490" t="s">
        <v>503</v>
      </c>
      <c r="O629" s="501" t="s">
        <v>3180</v>
      </c>
      <c r="P629" s="259" t="s">
        <v>819</v>
      </c>
      <c r="Q629" s="502"/>
      <c r="R629" s="492" t="s">
        <v>3181</v>
      </c>
      <c r="S629" s="485">
        <v>125</v>
      </c>
    </row>
    <row x14ac:dyDescent="0.25" r="630" customHeight="1" ht="17.25">
      <c r="A630" s="228" t="s">
        <v>168</v>
      </c>
      <c r="B630" s="462" t="s">
        <v>983</v>
      </c>
      <c r="C630" s="491" t="s">
        <v>3182</v>
      </c>
      <c r="D630" s="721">
        <v>200</v>
      </c>
      <c r="E630" s="721">
        <v>4000</v>
      </c>
      <c r="F630" s="230">
        <f>IF(E630&lt;&gt;"", ROUNDUP(E630/D630,0),"")</f>
        <v>25568.666666666668</v>
      </c>
      <c r="G630" s="479">
        <f>IF(E630&lt;&gt;"", (SQRT(D630*E630))/300, "")</f>
      </c>
      <c r="H630" s="481">
        <v>70.4</v>
      </c>
      <c r="I630" s="481"/>
      <c r="J630" s="481"/>
      <c r="K630" s="481"/>
      <c r="L630" s="482" t="s">
        <v>830</v>
      </c>
      <c r="M630" s="231">
        <v>45017</v>
      </c>
      <c r="N630" s="223" t="s">
        <v>503</v>
      </c>
      <c r="O630" s="615" t="s">
        <v>3183</v>
      </c>
      <c r="P630" s="228" t="s">
        <v>819</v>
      </c>
      <c r="Q630" s="566"/>
      <c r="R630" s="609" t="s">
        <v>3184</v>
      </c>
      <c r="S630" s="485">
        <v>124</v>
      </c>
    </row>
    <row x14ac:dyDescent="0.25" r="631" customHeight="1" ht="17.25">
      <c r="A631" s="492" t="s">
        <v>3026</v>
      </c>
      <c r="B631" s="21" t="s">
        <v>834</v>
      </c>
      <c r="C631" s="535" t="s">
        <v>3185</v>
      </c>
      <c r="D631" s="496">
        <v>7</v>
      </c>
      <c r="E631" s="477">
        <v>1000</v>
      </c>
      <c r="F631" s="230">
        <f>IF(E631&lt;&gt;"", ROUNDUP(E631/D631,0),"")</f>
        <v>25568.666666666668</v>
      </c>
      <c r="G631" s="487">
        <f>IF(E631&lt;&gt;"", (SQRT(D631*E631))/300, "")</f>
      </c>
      <c r="H631" s="480"/>
      <c r="I631" s="480"/>
      <c r="J631" s="480"/>
      <c r="K631" s="481"/>
      <c r="L631" s="482" t="s">
        <v>830</v>
      </c>
      <c r="M631" s="718">
        <v>45017</v>
      </c>
      <c r="N631" s="490" t="s">
        <v>503</v>
      </c>
      <c r="O631" s="501" t="s">
        <v>3186</v>
      </c>
      <c r="P631" s="259" t="s">
        <v>819</v>
      </c>
      <c r="Q631" s="502"/>
      <c r="R631" s="492" t="s">
        <v>3187</v>
      </c>
      <c r="S631" s="485">
        <v>123</v>
      </c>
    </row>
    <row x14ac:dyDescent="0.25" r="632" customHeight="1" ht="17.25">
      <c r="A632" s="492" t="s">
        <v>621</v>
      </c>
      <c r="B632" s="21" t="s">
        <v>2494</v>
      </c>
      <c r="C632" s="535" t="s">
        <v>3188</v>
      </c>
      <c r="D632" s="572">
        <v>1.3</v>
      </c>
      <c r="E632" s="477">
        <v>200</v>
      </c>
      <c r="F632" s="230">
        <f>IF(E632&lt;&gt;"", ROUNDUP(E632/D632,0),"")</f>
        <v>25568.666666666668</v>
      </c>
      <c r="G632" s="487">
        <f>IF(E632&lt;&gt;"", (SQRT(D632*E632))/300, "")</f>
      </c>
      <c r="H632" s="480"/>
      <c r="I632" s="480"/>
      <c r="J632" s="480"/>
      <c r="K632" s="481"/>
      <c r="L632" s="482" t="s">
        <v>830</v>
      </c>
      <c r="M632" s="718">
        <v>45017</v>
      </c>
      <c r="N632" s="490" t="s">
        <v>503</v>
      </c>
      <c r="O632" s="501" t="s">
        <v>3189</v>
      </c>
      <c r="P632" s="259" t="s">
        <v>819</v>
      </c>
      <c r="Q632" s="502"/>
      <c r="R632" s="492" t="s">
        <v>3190</v>
      </c>
      <c r="S632" s="485">
        <v>122</v>
      </c>
    </row>
    <row x14ac:dyDescent="0.25" r="633" customHeight="1" ht="17.25">
      <c r="A633" s="492" t="s">
        <v>610</v>
      </c>
      <c r="B633" s="462" t="s">
        <v>609</v>
      </c>
      <c r="C633" s="535" t="s">
        <v>3191</v>
      </c>
      <c r="D633" s="496">
        <v>65</v>
      </c>
      <c r="E633" s="477">
        <v>1500</v>
      </c>
      <c r="F633" s="230">
        <f>IF(E633&lt;&gt;"", ROUNDUP(E633/D633,0),"")</f>
        <v>25568.666666666668</v>
      </c>
      <c r="G633" s="487">
        <f>IF(E633&lt;&gt;"", (SQRT(D633*E633))/300, "")</f>
      </c>
      <c r="H633" s="480"/>
      <c r="I633" s="480"/>
      <c r="J633" s="480"/>
      <c r="K633" s="481"/>
      <c r="L633" s="482" t="s">
        <v>830</v>
      </c>
      <c r="M633" s="718">
        <v>45017</v>
      </c>
      <c r="N633" s="490" t="s">
        <v>503</v>
      </c>
      <c r="O633" s="501" t="s">
        <v>3192</v>
      </c>
      <c r="P633" s="259" t="s">
        <v>819</v>
      </c>
      <c r="Q633" s="502"/>
      <c r="R633" s="492" t="s">
        <v>3193</v>
      </c>
      <c r="S633" s="485">
        <v>121</v>
      </c>
    </row>
    <row x14ac:dyDescent="0.25" r="634" customHeight="1" ht="17.25">
      <c r="A634" s="492" t="s">
        <v>3194</v>
      </c>
      <c r="B634" s="21" t="s">
        <v>3195</v>
      </c>
      <c r="C634" s="535" t="s">
        <v>3196</v>
      </c>
      <c r="D634" s="496">
        <v>12</v>
      </c>
      <c r="E634" s="477">
        <v>300</v>
      </c>
      <c r="F634" s="230">
        <f>IF(E634&lt;&gt;"", ROUNDUP(E634/D634,0),"")</f>
        <v>25568.666666666668</v>
      </c>
      <c r="G634" s="487">
        <f>IF(E634&lt;&gt;"", (SQRT(D634*E634))/300, "")</f>
      </c>
      <c r="H634" s="480"/>
      <c r="I634" s="480"/>
      <c r="J634" s="480"/>
      <c r="K634" s="481"/>
      <c r="L634" s="482" t="s">
        <v>830</v>
      </c>
      <c r="M634" s="718">
        <v>45017</v>
      </c>
      <c r="N634" s="490" t="s">
        <v>503</v>
      </c>
      <c r="O634" s="501" t="s">
        <v>3197</v>
      </c>
      <c r="P634" s="259" t="s">
        <v>819</v>
      </c>
      <c r="Q634" s="502"/>
      <c r="R634" s="492" t="s">
        <v>3198</v>
      </c>
      <c r="S634" s="485">
        <v>120</v>
      </c>
    </row>
    <row x14ac:dyDescent="0.25" r="635" customHeight="1" ht="17.25">
      <c r="A635" s="492" t="s">
        <v>3199</v>
      </c>
      <c r="B635" s="21" t="s">
        <v>595</v>
      </c>
      <c r="C635" s="535" t="s">
        <v>3200</v>
      </c>
      <c r="D635" s="496">
        <v>12</v>
      </c>
      <c r="E635" s="477">
        <v>300</v>
      </c>
      <c r="F635" s="230">
        <f>IF(E635&lt;&gt;"", ROUNDUP(E635/D635,0),"")</f>
        <v>25568.666666666668</v>
      </c>
      <c r="G635" s="487">
        <f>IF(E635&lt;&gt;"", (SQRT(D635*E635))/300, "")</f>
      </c>
      <c r="H635" s="480"/>
      <c r="I635" s="480"/>
      <c r="J635" s="480"/>
      <c r="K635" s="481"/>
      <c r="L635" s="482" t="s">
        <v>830</v>
      </c>
      <c r="M635" s="718">
        <v>45017</v>
      </c>
      <c r="N635" s="490" t="s">
        <v>503</v>
      </c>
      <c r="O635" s="501" t="s">
        <v>3201</v>
      </c>
      <c r="P635" s="259" t="s">
        <v>819</v>
      </c>
      <c r="Q635" s="502"/>
      <c r="R635" s="492"/>
      <c r="S635" s="485">
        <v>119</v>
      </c>
    </row>
    <row x14ac:dyDescent="0.25" r="636" customHeight="1" ht="17.25">
      <c r="A636" s="492" t="s">
        <v>3202</v>
      </c>
      <c r="B636" s="21" t="s">
        <v>1753</v>
      </c>
      <c r="C636" s="535" t="s">
        <v>3203</v>
      </c>
      <c r="D636" s="496">
        <v>13</v>
      </c>
      <c r="E636" s="620"/>
      <c r="F636" s="230">
        <f>IF(E636&lt;&gt;"", ROUNDUP(E636/D636,0),"")</f>
        <v>25568.666666666668</v>
      </c>
      <c r="G636" s="487">
        <f>IF(E636&lt;&gt;"", (SQRT(D636*E636))/300, "")</f>
      </c>
      <c r="H636" s="480"/>
      <c r="I636" s="480"/>
      <c r="J636" s="480"/>
      <c r="K636" s="481"/>
      <c r="L636" s="482" t="s">
        <v>830</v>
      </c>
      <c r="M636" s="718">
        <v>45017</v>
      </c>
      <c r="N636" s="490" t="s">
        <v>503</v>
      </c>
      <c r="O636" s="501" t="s">
        <v>3204</v>
      </c>
      <c r="P636" s="259" t="s">
        <v>819</v>
      </c>
      <c r="Q636" s="502"/>
      <c r="R636" s="492" t="s">
        <v>3205</v>
      </c>
      <c r="S636" s="485">
        <v>118</v>
      </c>
    </row>
    <row x14ac:dyDescent="0.25" r="637" customHeight="1" ht="17.25">
      <c r="A637" s="492" t="s">
        <v>3206</v>
      </c>
      <c r="B637" s="21" t="s">
        <v>3207</v>
      </c>
      <c r="C637" s="535" t="s">
        <v>3208</v>
      </c>
      <c r="D637" s="573">
        <v>20</v>
      </c>
      <c r="E637" s="478">
        <v>1000</v>
      </c>
      <c r="F637" s="230">
        <f>IF(E637&lt;&gt;"", ROUNDUP(E637/D637,0),"")</f>
        <v>25568.666666666668</v>
      </c>
      <c r="G637" s="487">
        <f>IF(E637&lt;&gt;"", (SQRT(D637*E637))/300, "")</f>
      </c>
      <c r="H637" s="480"/>
      <c r="I637" s="480"/>
      <c r="J637" s="480"/>
      <c r="K637" s="481"/>
      <c r="L637" s="482" t="s">
        <v>830</v>
      </c>
      <c r="M637" s="718">
        <v>44986</v>
      </c>
      <c r="N637" s="490" t="s">
        <v>503</v>
      </c>
      <c r="O637" s="501" t="s">
        <v>3208</v>
      </c>
      <c r="P637" s="259" t="s">
        <v>819</v>
      </c>
      <c r="Q637" s="502"/>
      <c r="R637" s="492" t="s">
        <v>3209</v>
      </c>
      <c r="S637" s="485">
        <v>117</v>
      </c>
    </row>
    <row x14ac:dyDescent="0.25" r="638" customHeight="1" ht="17.25">
      <c r="A638" s="492" t="s">
        <v>3210</v>
      </c>
      <c r="B638" s="21" t="s">
        <v>3211</v>
      </c>
      <c r="C638" s="662"/>
      <c r="D638" s="496">
        <v>50</v>
      </c>
      <c r="E638" s="477">
        <v>569</v>
      </c>
      <c r="F638" s="230">
        <f>IF(E638&lt;&gt;"", ROUNDUP(E638/D638,0),"")</f>
        <v>25568.666666666668</v>
      </c>
      <c r="G638" s="487">
        <f>IF(E638&lt;&gt;"", (SQRT(D638*E638))/300, "")</f>
      </c>
      <c r="H638" s="480">
        <v>39.2</v>
      </c>
      <c r="I638" s="480"/>
      <c r="J638" s="480"/>
      <c r="K638" s="481"/>
      <c r="L638" s="482" t="s">
        <v>830</v>
      </c>
      <c r="M638" s="718">
        <v>44986</v>
      </c>
      <c r="N638" s="500" t="s">
        <v>470</v>
      </c>
      <c r="O638" s="501" t="s">
        <v>3212</v>
      </c>
      <c r="P638" s="259" t="s">
        <v>819</v>
      </c>
      <c r="Q638" s="502"/>
      <c r="R638" s="613" t="s">
        <v>3213</v>
      </c>
      <c r="S638" s="485">
        <v>116</v>
      </c>
    </row>
    <row x14ac:dyDescent="0.25" r="639" customHeight="1" ht="17.25">
      <c r="A639" s="492" t="s">
        <v>3214</v>
      </c>
      <c r="B639" s="21" t="s">
        <v>3215</v>
      </c>
      <c r="C639" s="535" t="s">
        <v>3216</v>
      </c>
      <c r="D639" s="572">
        <v>8.3</v>
      </c>
      <c r="E639" s="477">
        <v>1000</v>
      </c>
      <c r="F639" s="230">
        <f>IF(E639&lt;&gt;"", ROUNDUP(E639/D639,0),"")</f>
        <v>25568.666666666668</v>
      </c>
      <c r="G639" s="487">
        <f>IF(E639&lt;&gt;"", (SQRT(D639*E639))/300, "")</f>
      </c>
      <c r="H639" s="480"/>
      <c r="I639" s="480"/>
      <c r="J639" s="480"/>
      <c r="K639" s="481"/>
      <c r="L639" s="482" t="s">
        <v>830</v>
      </c>
      <c r="M639" s="718">
        <v>44986</v>
      </c>
      <c r="N639" s="490" t="s">
        <v>503</v>
      </c>
      <c r="O639" s="501" t="s">
        <v>3217</v>
      </c>
      <c r="P639" s="259" t="s">
        <v>819</v>
      </c>
      <c r="Q639" s="502"/>
      <c r="R639" s="613" t="s">
        <v>3218</v>
      </c>
      <c r="S639" s="485">
        <v>115</v>
      </c>
    </row>
    <row x14ac:dyDescent="0.25" r="640" customHeight="1" ht="17.25">
      <c r="A640" s="492" t="s">
        <v>3219</v>
      </c>
      <c r="B640" s="21" t="s">
        <v>3220</v>
      </c>
      <c r="C640" s="535" t="s">
        <v>3221</v>
      </c>
      <c r="D640" s="496">
        <v>7</v>
      </c>
      <c r="E640" s="477">
        <v>1000</v>
      </c>
      <c r="F640" s="230">
        <f>IF(E640&lt;&gt;"", ROUNDUP(E640/D640,0),"")</f>
        <v>25568.666666666668</v>
      </c>
      <c r="G640" s="487">
        <f>IF(E640&lt;&gt;"", (SQRT(D640*E640))/300, "")</f>
      </c>
      <c r="H640" s="480"/>
      <c r="I640" s="480"/>
      <c r="J640" s="480"/>
      <c r="K640" s="481"/>
      <c r="L640" s="482" t="s">
        <v>830</v>
      </c>
      <c r="M640" s="718">
        <v>44986</v>
      </c>
      <c r="N640" s="490" t="s">
        <v>503</v>
      </c>
      <c r="O640" s="501" t="s">
        <v>3222</v>
      </c>
      <c r="P640" s="259" t="s">
        <v>819</v>
      </c>
      <c r="Q640" s="502"/>
      <c r="R640" s="492" t="s">
        <v>3223</v>
      </c>
      <c r="S640" s="485">
        <v>114</v>
      </c>
    </row>
    <row x14ac:dyDescent="0.25" r="641" customHeight="1" ht="17.25">
      <c r="A641" s="492" t="s">
        <v>3224</v>
      </c>
      <c r="B641" s="21" t="s">
        <v>630</v>
      </c>
      <c r="C641" s="535" t="s">
        <v>3225</v>
      </c>
      <c r="D641" s="496">
        <v>13</v>
      </c>
      <c r="E641" s="496">
        <v>260</v>
      </c>
      <c r="F641" s="230">
        <f>IF(E641&lt;&gt;"", ROUNDUP(E641/D641,0),"")</f>
        <v>25568.666666666668</v>
      </c>
      <c r="G641" s="487">
        <f>IF(E641&lt;&gt;"", (SQRT(D641*E641))/300, "")</f>
      </c>
      <c r="H641" s="480"/>
      <c r="I641" s="480"/>
      <c r="J641" s="480"/>
      <c r="K641" s="481"/>
      <c r="L641" s="482" t="s">
        <v>830</v>
      </c>
      <c r="M641" s="718">
        <v>44986</v>
      </c>
      <c r="N641" s="490" t="s">
        <v>503</v>
      </c>
      <c r="O641" s="495" t="s">
        <v>3226</v>
      </c>
      <c r="P641" s="259" t="s">
        <v>819</v>
      </c>
      <c r="Q641" s="502"/>
      <c r="R641" s="613" t="s">
        <v>3227</v>
      </c>
      <c r="S641" s="485">
        <v>113</v>
      </c>
    </row>
    <row x14ac:dyDescent="0.25" r="642" customHeight="1" ht="17.25">
      <c r="A642" s="492" t="s">
        <v>3228</v>
      </c>
      <c r="B642" s="21" t="s">
        <v>1423</v>
      </c>
      <c r="C642" s="834"/>
      <c r="D642" s="496">
        <v>1085</v>
      </c>
      <c r="E642" s="572"/>
      <c r="F642" s="230">
        <f>IF(E642&lt;&gt;"", ROUNDUP(E642/D642,0),"")</f>
        <v>25568.666666666668</v>
      </c>
      <c r="G642" s="487">
        <f>IF(E642&lt;&gt;"", (SQRT(D642*E642))/300, "")</f>
      </c>
      <c r="H642" s="480"/>
      <c r="I642" s="480"/>
      <c r="J642" s="480"/>
      <c r="K642" s="481"/>
      <c r="L642" s="482" t="s">
        <v>830</v>
      </c>
      <c r="M642" s="718">
        <v>44986</v>
      </c>
      <c r="N642" s="500" t="s">
        <v>470</v>
      </c>
      <c r="O642" s="495" t="s">
        <v>3229</v>
      </c>
      <c r="P642" s="259" t="s">
        <v>802</v>
      </c>
      <c r="Q642" s="502"/>
      <c r="R642" s="492" t="s">
        <v>3230</v>
      </c>
      <c r="S642" s="485">
        <v>112</v>
      </c>
    </row>
    <row x14ac:dyDescent="0.25" r="643" customHeight="1" ht="17.25">
      <c r="A643" s="492" t="s">
        <v>3231</v>
      </c>
      <c r="B643" s="462" t="s">
        <v>508</v>
      </c>
      <c r="C643" s="834"/>
      <c r="D643" s="572">
        <v>5.2</v>
      </c>
      <c r="E643" s="572"/>
      <c r="F643" s="230">
        <f>IF(E643&lt;&gt;"", ROUNDUP(E643/D643,0),"")</f>
        <v>25568.666666666668</v>
      </c>
      <c r="G643" s="487">
        <f>IF(E643&lt;&gt;"", (SQRT(D643*E643))/300, "")</f>
      </c>
      <c r="H643" s="480"/>
      <c r="I643" s="480"/>
      <c r="J643" s="480"/>
      <c r="K643" s="481"/>
      <c r="L643" s="750" t="s">
        <v>3232</v>
      </c>
      <c r="M643" s="718">
        <v>44986</v>
      </c>
      <c r="N643" s="500" t="s">
        <v>470</v>
      </c>
      <c r="O643" s="501" t="s">
        <v>3233</v>
      </c>
      <c r="P643" s="259" t="s">
        <v>819</v>
      </c>
      <c r="Q643" s="583"/>
      <c r="R643" s="503" t="s">
        <v>3234</v>
      </c>
      <c r="S643" s="485">
        <v>111</v>
      </c>
    </row>
    <row x14ac:dyDescent="0.25" r="644" customHeight="1" ht="17.25">
      <c r="A644" s="492" t="s">
        <v>3235</v>
      </c>
      <c r="B644" s="462" t="s">
        <v>828</v>
      </c>
      <c r="C644" s="834"/>
      <c r="D644" s="762">
        <v>340</v>
      </c>
      <c r="E644" s="762">
        <v>3600</v>
      </c>
      <c r="F644" s="230">
        <f>IF(E644&lt;&gt;"", ROUNDUP(E644/D644,0),"")</f>
        <v>25568.666666666668</v>
      </c>
      <c r="G644" s="487">
        <f>IF(E644&lt;&gt;"", (SQRT(D644*E644))/300, "")</f>
      </c>
      <c r="H644" s="480"/>
      <c r="I644" s="480"/>
      <c r="J644" s="480"/>
      <c r="K644" s="481"/>
      <c r="L644" s="482" t="s">
        <v>830</v>
      </c>
      <c r="M644" s="718">
        <v>44986</v>
      </c>
      <c r="N644" s="500" t="s">
        <v>470</v>
      </c>
      <c r="O644" s="501" t="s">
        <v>3236</v>
      </c>
      <c r="P644" s="259" t="s">
        <v>819</v>
      </c>
      <c r="Q644" s="583"/>
      <c r="R644" s="503" t="s">
        <v>3237</v>
      </c>
      <c r="S644" s="485">
        <v>110</v>
      </c>
    </row>
    <row x14ac:dyDescent="0.25" r="645" customHeight="1" ht="17.25">
      <c r="A645" s="228" t="s">
        <v>3238</v>
      </c>
      <c r="B645" s="462" t="s">
        <v>490</v>
      </c>
      <c r="C645" s="491" t="s">
        <v>2437</v>
      </c>
      <c r="D645" s="23">
        <v>1760</v>
      </c>
      <c r="E645" s="478">
        <v>13000</v>
      </c>
      <c r="F645" s="832">
        <f>IF(E645&lt;&gt;"", ROUNDUP(E645/D645,0),"")</f>
        <v>25568.666666666668</v>
      </c>
      <c r="G645" s="859">
        <f>IF(E645&lt;&gt;"", (SQRT(D645*E645))/300, "")</f>
      </c>
      <c r="H645" s="481">
        <v>86.4</v>
      </c>
      <c r="I645" s="481"/>
      <c r="J645" s="616">
        <v>35.7</v>
      </c>
      <c r="K645" s="481"/>
      <c r="L645" s="482" t="s">
        <v>830</v>
      </c>
      <c r="M645" s="231">
        <v>44986</v>
      </c>
      <c r="N645" s="223" t="s">
        <v>503</v>
      </c>
      <c r="O645" s="615" t="s">
        <v>2438</v>
      </c>
      <c r="P645" s="228" t="s">
        <v>802</v>
      </c>
      <c r="Q645" s="484" t="s">
        <v>808</v>
      </c>
      <c r="R645" s="21" t="s">
        <v>3239</v>
      </c>
      <c r="S645" s="485">
        <v>109</v>
      </c>
    </row>
    <row x14ac:dyDescent="0.25" r="646" customHeight="1" ht="17.25">
      <c r="A646" s="228" t="s">
        <v>3240</v>
      </c>
      <c r="B646" s="21" t="s">
        <v>853</v>
      </c>
      <c r="C646" s="491" t="s">
        <v>3241</v>
      </c>
      <c r="D646" s="477">
        <v>7</v>
      </c>
      <c r="E646" s="477">
        <v>1000</v>
      </c>
      <c r="F646" s="230">
        <f>IF(E646&lt;&gt;"", ROUNDUP(E646/D646,0),"")</f>
        <v>25568.666666666668</v>
      </c>
      <c r="G646" s="479">
        <f>IF(E646&lt;&gt;"", (SQRT(D646*E646))/300, "")</f>
      </c>
      <c r="H646" s="481"/>
      <c r="I646" s="481"/>
      <c r="J646" s="481"/>
      <c r="K646" s="481"/>
      <c r="L646" s="482" t="s">
        <v>830</v>
      </c>
      <c r="M646" s="231">
        <v>44986</v>
      </c>
      <c r="N646" s="223" t="s">
        <v>503</v>
      </c>
      <c r="O646" s="615" t="s">
        <v>3242</v>
      </c>
      <c r="P646" s="228" t="s">
        <v>819</v>
      </c>
      <c r="Q646" s="484"/>
      <c r="R646" s="21" t="s">
        <v>3243</v>
      </c>
      <c r="S646" s="485">
        <v>108</v>
      </c>
    </row>
    <row x14ac:dyDescent="0.25" r="647" customHeight="1" ht="17.25">
      <c r="A647" s="228" t="s">
        <v>3244</v>
      </c>
      <c r="B647" s="21" t="s">
        <v>864</v>
      </c>
      <c r="C647" s="491" t="s">
        <v>3245</v>
      </c>
      <c r="D647" s="477">
        <v>178</v>
      </c>
      <c r="E647" s="620"/>
      <c r="F647" s="230">
        <f>IF(E647&lt;&gt;"", ROUNDUP(E647/D647,0),"")</f>
        <v>25568.666666666668</v>
      </c>
      <c r="G647" s="479">
        <f>IF(E647&lt;&gt;"", (SQRT(D647*E647))/300, "")</f>
      </c>
      <c r="H647" s="481"/>
      <c r="I647" s="481"/>
      <c r="J647" s="481"/>
      <c r="K647" s="481"/>
      <c r="L647" s="482" t="s">
        <v>830</v>
      </c>
      <c r="M647" s="231">
        <v>44986</v>
      </c>
      <c r="N647" s="223" t="s">
        <v>503</v>
      </c>
      <c r="O647" s="615" t="s">
        <v>3246</v>
      </c>
      <c r="P647" s="228" t="s">
        <v>819</v>
      </c>
      <c r="Q647" s="566"/>
      <c r="R647" s="228"/>
      <c r="S647" s="485">
        <v>107</v>
      </c>
    </row>
    <row x14ac:dyDescent="0.25" r="648" customHeight="1" ht="17.25">
      <c r="A648" s="228" t="s">
        <v>3247</v>
      </c>
      <c r="B648" s="21" t="s">
        <v>1514</v>
      </c>
      <c r="C648" s="491" t="s">
        <v>3248</v>
      </c>
      <c r="D648" s="477">
        <v>20</v>
      </c>
      <c r="E648" s="620"/>
      <c r="F648" s="230">
        <f>IF(E648&lt;&gt;"", ROUNDUP(E648/D648,0),"")</f>
        <v>25568.666666666668</v>
      </c>
      <c r="G648" s="479">
        <f>IF(E648&lt;&gt;"", (SQRT(D648*E648))/300, "")</f>
      </c>
      <c r="H648" s="481">
        <v>33.6</v>
      </c>
      <c r="I648" s="481"/>
      <c r="J648" s="481"/>
      <c r="K648" s="481"/>
      <c r="L648" s="482" t="s">
        <v>830</v>
      </c>
      <c r="M648" s="231">
        <v>44986</v>
      </c>
      <c r="N648" s="223" t="s">
        <v>503</v>
      </c>
      <c r="O648" s="615" t="s">
        <v>3249</v>
      </c>
      <c r="P648" s="228" t="s">
        <v>819</v>
      </c>
      <c r="Q648" s="484"/>
      <c r="R648" s="21" t="s">
        <v>3250</v>
      </c>
      <c r="S648" s="485">
        <v>106</v>
      </c>
    </row>
    <row x14ac:dyDescent="0.25" r="649" customHeight="1" ht="17.25">
      <c r="A649" s="228" t="s">
        <v>3251</v>
      </c>
      <c r="B649" s="21" t="s">
        <v>834</v>
      </c>
      <c r="C649" s="858"/>
      <c r="D649" s="24">
        <v>1.6</v>
      </c>
      <c r="E649" s="477">
        <v>360</v>
      </c>
      <c r="F649" s="230">
        <f>IF(E649&lt;&gt;"", ROUNDUP(E649/D649,0),"")</f>
        <v>25568.666666666668</v>
      </c>
      <c r="G649" s="479">
        <f>IF(E649&lt;&gt;"", (SQRT(D649*E649))/300, "")</f>
      </c>
      <c r="H649" s="481"/>
      <c r="I649" s="481"/>
      <c r="J649" s="481"/>
      <c r="K649" s="481"/>
      <c r="L649" s="482" t="s">
        <v>830</v>
      </c>
      <c r="M649" s="231">
        <v>44958</v>
      </c>
      <c r="N649" s="754" t="s">
        <v>470</v>
      </c>
      <c r="O649" s="608" t="s">
        <v>3252</v>
      </c>
      <c r="P649" s="228" t="s">
        <v>819</v>
      </c>
      <c r="Q649" s="484"/>
      <c r="R649" s="21" t="s">
        <v>3253</v>
      </c>
      <c r="S649" s="485">
        <v>105</v>
      </c>
    </row>
    <row x14ac:dyDescent="0.25" r="650" customHeight="1" ht="17.25">
      <c r="A650" s="228" t="s">
        <v>3254</v>
      </c>
      <c r="B650" s="462" t="s">
        <v>498</v>
      </c>
      <c r="C650" s="491" t="s">
        <v>3255</v>
      </c>
      <c r="D650" s="23">
        <v>65</v>
      </c>
      <c r="E650" s="477">
        <v>1400</v>
      </c>
      <c r="F650" s="230">
        <f>IF(E650&lt;&gt;"", ROUNDUP(E650/D650,0),"")</f>
        <v>25568.666666666668</v>
      </c>
      <c r="G650" s="479">
        <f>IF(E650&lt;&gt;"", (SQRT(D650*E650))/300, "")</f>
      </c>
      <c r="H650" s="481">
        <v>68.9</v>
      </c>
      <c r="I650" s="481"/>
      <c r="J650" s="481"/>
      <c r="K650" s="481"/>
      <c r="L650" s="482" t="s">
        <v>830</v>
      </c>
      <c r="M650" s="231">
        <v>44958</v>
      </c>
      <c r="N650" s="223" t="s">
        <v>503</v>
      </c>
      <c r="O650" s="608" t="s">
        <v>3256</v>
      </c>
      <c r="P650" s="228" t="s">
        <v>819</v>
      </c>
      <c r="Q650" s="484" t="s">
        <v>808</v>
      </c>
      <c r="R650" s="21" t="s">
        <v>3257</v>
      </c>
      <c r="S650" s="485">
        <v>104</v>
      </c>
    </row>
    <row x14ac:dyDescent="0.25" r="651" customHeight="1" ht="17.25">
      <c r="A651" s="228" t="s">
        <v>3258</v>
      </c>
      <c r="B651" s="21" t="s">
        <v>2536</v>
      </c>
      <c r="C651" s="491" t="s">
        <v>3259</v>
      </c>
      <c r="D651" s="23">
        <v>16</v>
      </c>
      <c r="E651" s="477">
        <v>430</v>
      </c>
      <c r="F651" s="230">
        <f>IF(E651&lt;&gt;"", ROUNDUP(E651/D651,0),"")</f>
        <v>25568.666666666668</v>
      </c>
      <c r="G651" s="479">
        <f>IF(E651&lt;&gt;"", (SQRT(D651*E651))/300, "")</f>
      </c>
      <c r="H651" s="481"/>
      <c r="I651" s="481"/>
      <c r="J651" s="481"/>
      <c r="K651" s="481"/>
      <c r="L651" s="482" t="s">
        <v>830</v>
      </c>
      <c r="M651" s="231">
        <v>44958</v>
      </c>
      <c r="N651" s="223" t="s">
        <v>503</v>
      </c>
      <c r="O651" s="608" t="s">
        <v>3260</v>
      </c>
      <c r="P651" s="228" t="s">
        <v>819</v>
      </c>
      <c r="Q651" s="484"/>
      <c r="R651" s="21" t="s">
        <v>3261</v>
      </c>
      <c r="S651" s="485">
        <v>103</v>
      </c>
    </row>
    <row x14ac:dyDescent="0.25" r="652" customHeight="1" ht="17.25">
      <c r="A652" s="228" t="s">
        <v>3262</v>
      </c>
      <c r="B652" s="21" t="s">
        <v>2131</v>
      </c>
      <c r="C652" s="505" t="s">
        <v>3263</v>
      </c>
      <c r="D652" s="23">
        <v>20</v>
      </c>
      <c r="E652" s="477">
        <v>300</v>
      </c>
      <c r="F652" s="230">
        <f>IF(E652&lt;&gt;"", ROUNDUP(E652/D652,0),"")</f>
        <v>25568.666666666668</v>
      </c>
      <c r="G652" s="487">
        <f>IF(E652&lt;&gt;"", (SQRT(D652*E652))/300, "")</f>
      </c>
      <c r="H652" s="480"/>
      <c r="I652" s="480"/>
      <c r="J652" s="480"/>
      <c r="K652" s="481"/>
      <c r="L652" s="482" t="s">
        <v>830</v>
      </c>
      <c r="M652" s="231">
        <v>44958</v>
      </c>
      <c r="N652" s="223" t="s">
        <v>503</v>
      </c>
      <c r="O652" s="608" t="s">
        <v>3264</v>
      </c>
      <c r="P652" s="259" t="s">
        <v>819</v>
      </c>
      <c r="Q652" s="484"/>
      <c r="R652" s="21" t="s">
        <v>3265</v>
      </c>
      <c r="S652" s="485">
        <v>102</v>
      </c>
    </row>
    <row x14ac:dyDescent="0.25" r="653" customHeight="1" ht="17.25">
      <c r="A653" s="228" t="s">
        <v>3266</v>
      </c>
      <c r="B653" s="21" t="s">
        <v>2093</v>
      </c>
      <c r="C653" s="505" t="s">
        <v>3267</v>
      </c>
      <c r="D653" s="721">
        <v>70</v>
      </c>
      <c r="E653" s="721">
        <v>588</v>
      </c>
      <c r="F653" s="230">
        <f>IF(E653&lt;&gt;"", ROUNDUP(E653/D653,0),"")</f>
        <v>25568.666666666668</v>
      </c>
      <c r="G653" s="487">
        <f>IF(E653&lt;&gt;"", (SQRT(D653*E653))/300, "")</f>
      </c>
      <c r="H653" s="480"/>
      <c r="I653" s="480"/>
      <c r="J653" s="480"/>
      <c r="K653" s="481"/>
      <c r="L653" s="482" t="s">
        <v>830</v>
      </c>
      <c r="M653" s="231">
        <v>44958</v>
      </c>
      <c r="N653" s="223" t="s">
        <v>503</v>
      </c>
      <c r="O653" s="615" t="s">
        <v>3268</v>
      </c>
      <c r="P653" s="259" t="s">
        <v>819</v>
      </c>
      <c r="Q653" s="484"/>
      <c r="R653" s="21" t="s">
        <v>3269</v>
      </c>
      <c r="S653" s="485">
        <v>101</v>
      </c>
    </row>
    <row x14ac:dyDescent="0.25" r="654" customHeight="1" ht="17.25">
      <c r="A654" s="228" t="s">
        <v>3270</v>
      </c>
      <c r="B654" s="462" t="s">
        <v>498</v>
      </c>
      <c r="C654" s="505" t="s">
        <v>3271</v>
      </c>
      <c r="D654" s="620">
        <v>6.7</v>
      </c>
      <c r="E654" s="477">
        <v>402</v>
      </c>
      <c r="F654" s="230">
        <f>IF(E654&lt;&gt;"", ROUNDUP(E654/D654,0),"")</f>
        <v>25568.666666666668</v>
      </c>
      <c r="G654" s="487">
        <f>IF(E654&lt;&gt;"", (SQRT(D654*E654))/300, "")</f>
      </c>
      <c r="H654" s="480"/>
      <c r="I654" s="480"/>
      <c r="J654" s="480"/>
      <c r="K654" s="481"/>
      <c r="L654" s="482" t="s">
        <v>830</v>
      </c>
      <c r="M654" s="231">
        <v>44958</v>
      </c>
      <c r="N654" s="754" t="s">
        <v>470</v>
      </c>
      <c r="O654" s="608" t="s">
        <v>3272</v>
      </c>
      <c r="P654" s="259" t="s">
        <v>819</v>
      </c>
      <c r="Q654" s="484"/>
      <c r="R654" s="21" t="s">
        <v>3273</v>
      </c>
      <c r="S654" s="485">
        <v>100</v>
      </c>
    </row>
    <row x14ac:dyDescent="0.25" r="655" customHeight="1" ht="17.25">
      <c r="A655" s="228" t="s">
        <v>3274</v>
      </c>
      <c r="B655" s="462" t="s">
        <v>983</v>
      </c>
      <c r="C655" s="505" t="s">
        <v>3275</v>
      </c>
      <c r="D655" s="620">
        <v>0.738</v>
      </c>
      <c r="E655" s="620"/>
      <c r="F655" s="230">
        <f>IF(E655&lt;&gt;"", ROUNDUP(E655/D655,0),"")</f>
        <v>25568.666666666668</v>
      </c>
      <c r="G655" s="487">
        <f>IF(E655&lt;&gt;"", (SQRT(D655*E655))/300, "")</f>
      </c>
      <c r="H655" s="480"/>
      <c r="I655" s="480"/>
      <c r="J655" s="480"/>
      <c r="K655" s="481"/>
      <c r="L655" s="482" t="s">
        <v>1099</v>
      </c>
      <c r="M655" s="231">
        <v>44958</v>
      </c>
      <c r="N655" s="223" t="s">
        <v>503</v>
      </c>
      <c r="O655" s="608" t="s">
        <v>3276</v>
      </c>
      <c r="P655" s="259" t="s">
        <v>819</v>
      </c>
      <c r="Q655" s="484"/>
      <c r="R655" s="21" t="s">
        <v>3277</v>
      </c>
      <c r="S655" s="485">
        <v>99</v>
      </c>
    </row>
    <row x14ac:dyDescent="0.25" r="656" customHeight="1" ht="17.25">
      <c r="A656" s="541" t="s">
        <v>3278</v>
      </c>
      <c r="B656" s="542" t="s">
        <v>834</v>
      </c>
      <c r="C656" s="861"/>
      <c r="D656" s="862">
        <v>0.06</v>
      </c>
      <c r="E656" s="544">
        <v>9</v>
      </c>
      <c r="F656" s="545">
        <f>IF(E656&lt;&gt;"", ROUNDUP(E656/D656,0),"")</f>
        <v>25568.666666666668</v>
      </c>
      <c r="G656" s="765">
        <f>IF(E656&lt;&gt;"", (SQRT(D656*E656))/300, "")</f>
      </c>
      <c r="H656" s="838"/>
      <c r="I656" s="838"/>
      <c r="J656" s="838"/>
      <c r="K656" s="547"/>
      <c r="L656" s="766" t="s">
        <v>1099</v>
      </c>
      <c r="M656" s="549">
        <v>44957</v>
      </c>
      <c r="N656" s="839" t="s">
        <v>470</v>
      </c>
      <c r="O656" s="767" t="s">
        <v>3279</v>
      </c>
      <c r="P656" s="841" t="s">
        <v>819</v>
      </c>
      <c r="Q656" s="863"/>
      <c r="R656" s="542" t="s">
        <v>3280</v>
      </c>
      <c r="S656" s="553">
        <v>98</v>
      </c>
    </row>
    <row x14ac:dyDescent="0.25" r="657" customHeight="1" ht="17.25">
      <c r="A657" s="228" t="s">
        <v>3281</v>
      </c>
      <c r="B657" s="462" t="s">
        <v>828</v>
      </c>
      <c r="C657" s="864"/>
      <c r="D657" s="477">
        <v>540</v>
      </c>
      <c r="E657" s="477">
        <v>780</v>
      </c>
      <c r="F657" s="230">
        <f>IF(E657&lt;&gt;"", ROUNDUP(E657/D657,0),"")</f>
        <v>25568.666666666668</v>
      </c>
      <c r="G657" s="487">
        <f>IF(E657&lt;&gt;"", (SQRT(D657*E657))/300, "")</f>
      </c>
      <c r="H657" s="480"/>
      <c r="I657" s="480"/>
      <c r="J657" s="480"/>
      <c r="K657" s="481"/>
      <c r="L657" s="482" t="s">
        <v>830</v>
      </c>
      <c r="M657" s="231">
        <v>44896</v>
      </c>
      <c r="N657" s="754" t="s">
        <v>470</v>
      </c>
      <c r="O657" s="608" t="s">
        <v>3282</v>
      </c>
      <c r="P657" s="259" t="s">
        <v>819</v>
      </c>
      <c r="Q657" s="484"/>
      <c r="R657" s="21" t="s">
        <v>3283</v>
      </c>
      <c r="S657" s="485">
        <v>97</v>
      </c>
    </row>
    <row x14ac:dyDescent="0.25" r="658" customHeight="1" ht="17.25">
      <c r="A658" s="228" t="s">
        <v>3284</v>
      </c>
      <c r="B658" s="462" t="s">
        <v>498</v>
      </c>
      <c r="C658" s="505" t="s">
        <v>3285</v>
      </c>
      <c r="D658" s="477">
        <v>175</v>
      </c>
      <c r="E658" s="477">
        <v>300</v>
      </c>
      <c r="F658" s="230">
        <f>IF(E658&lt;&gt;"", ROUNDUP(E658/D658,0),"")</f>
        <v>25568.666666666668</v>
      </c>
      <c r="G658" s="487">
        <f>IF(E658&lt;&gt;"", (SQRT(D658*E658))/300, "")</f>
      </c>
      <c r="H658" s="480"/>
      <c r="I658" s="480"/>
      <c r="J658" s="480"/>
      <c r="K658" s="481"/>
      <c r="L658" s="482" t="s">
        <v>830</v>
      </c>
      <c r="M658" s="231">
        <v>44896</v>
      </c>
      <c r="N658" s="223" t="s">
        <v>503</v>
      </c>
      <c r="O658" s="608" t="s">
        <v>3286</v>
      </c>
      <c r="P658" s="259" t="s">
        <v>819</v>
      </c>
      <c r="Q658" s="484"/>
      <c r="R658" s="21" t="s">
        <v>3287</v>
      </c>
      <c r="S658" s="485">
        <v>96</v>
      </c>
    </row>
    <row x14ac:dyDescent="0.25" r="659" customHeight="1" ht="17.25">
      <c r="A659" s="228" t="s">
        <v>3288</v>
      </c>
      <c r="B659" s="21" t="s">
        <v>523</v>
      </c>
      <c r="C659" s="858"/>
      <c r="D659" s="477">
        <v>52</v>
      </c>
      <c r="E659" s="477">
        <v>400</v>
      </c>
      <c r="F659" s="230">
        <f>IF(E659&lt;&gt;"", ROUNDUP(E659/D659,0),"")</f>
        <v>25568.666666666668</v>
      </c>
      <c r="G659" s="487">
        <f>IF(E659&lt;&gt;"", (SQRT(D659*E659))/300, "")</f>
      </c>
      <c r="H659" s="480"/>
      <c r="I659" s="480"/>
      <c r="J659" s="480"/>
      <c r="K659" s="481"/>
      <c r="L659" s="482" t="s">
        <v>830</v>
      </c>
      <c r="M659" s="231">
        <v>44896</v>
      </c>
      <c r="N659" s="754" t="s">
        <v>470</v>
      </c>
      <c r="O659" s="608" t="s">
        <v>3289</v>
      </c>
      <c r="P659" s="259" t="s">
        <v>819</v>
      </c>
      <c r="Q659" s="484"/>
      <c r="R659" s="21" t="s">
        <v>3290</v>
      </c>
      <c r="S659" s="485">
        <v>95</v>
      </c>
    </row>
    <row x14ac:dyDescent="0.25" r="660" customHeight="1" ht="17.25">
      <c r="A660" s="228" t="s">
        <v>3291</v>
      </c>
      <c r="B660" s="462" t="s">
        <v>1039</v>
      </c>
      <c r="C660" s="864"/>
      <c r="D660" s="620">
        <v>0.56</v>
      </c>
      <c r="E660" s="620"/>
      <c r="F660" s="230">
        <f>IF(E660&lt;&gt;"", ROUNDUP(E660/D660,0),"")</f>
        <v>25568.666666666668</v>
      </c>
      <c r="G660" s="487">
        <f>IF(E660&lt;&gt;"", (SQRT(D660*E660))/300, "")</f>
      </c>
      <c r="H660" s="480"/>
      <c r="I660" s="480"/>
      <c r="J660" s="480"/>
      <c r="K660" s="481"/>
      <c r="L660" s="482" t="s">
        <v>2361</v>
      </c>
      <c r="M660" s="231">
        <v>44896</v>
      </c>
      <c r="N660" s="223" t="s">
        <v>503</v>
      </c>
      <c r="O660" s="608" t="s">
        <v>3292</v>
      </c>
      <c r="P660" s="259" t="s">
        <v>819</v>
      </c>
      <c r="Q660" s="484"/>
      <c r="R660" s="21"/>
      <c r="S660" s="485">
        <v>94</v>
      </c>
    </row>
    <row x14ac:dyDescent="0.25" r="661" customHeight="1" ht="17.25">
      <c r="A661" s="228" t="s">
        <v>3293</v>
      </c>
      <c r="B661" s="462" t="s">
        <v>508</v>
      </c>
      <c r="C661" s="864"/>
      <c r="D661" s="620">
        <v>0.035</v>
      </c>
      <c r="E661" s="620"/>
      <c r="F661" s="230"/>
      <c r="G661" s="487">
        <f>IF(E661&lt;&gt;"", (SQRT(D661*E661))/300, "")</f>
      </c>
      <c r="H661" s="480"/>
      <c r="I661" s="480"/>
      <c r="J661" s="480"/>
      <c r="K661" s="481"/>
      <c r="L661" s="482" t="s">
        <v>1099</v>
      </c>
      <c r="M661" s="231">
        <v>44896</v>
      </c>
      <c r="N661" s="754" t="s">
        <v>470</v>
      </c>
      <c r="O661" s="608" t="s">
        <v>3294</v>
      </c>
      <c r="P661" s="259" t="s">
        <v>819</v>
      </c>
      <c r="Q661" s="484"/>
      <c r="R661" s="21"/>
      <c r="S661" s="485">
        <v>93</v>
      </c>
    </row>
    <row x14ac:dyDescent="0.25" r="662" customHeight="1" ht="17.25">
      <c r="A662" s="228" t="s">
        <v>3295</v>
      </c>
      <c r="B662" s="462" t="s">
        <v>490</v>
      </c>
      <c r="C662" s="505" t="s">
        <v>2437</v>
      </c>
      <c r="D662" s="721">
        <v>20</v>
      </c>
      <c r="E662" s="620"/>
      <c r="F662" s="230">
        <f>IF(E662&lt;&gt;"", ROUNDUP(E662/D662,0),"")</f>
        <v>25568.666666666668</v>
      </c>
      <c r="G662" s="487">
        <f>IF(E662&lt;&gt;"", (SQRT(D662*E662))/300, "")</f>
      </c>
      <c r="H662" s="656">
        <v>70</v>
      </c>
      <c r="I662" s="480"/>
      <c r="J662" s="480">
        <v>28.1</v>
      </c>
      <c r="K662" s="481"/>
      <c r="L662" s="482" t="s">
        <v>830</v>
      </c>
      <c r="M662" s="231">
        <v>44866</v>
      </c>
      <c r="N662" s="223" t="s">
        <v>503</v>
      </c>
      <c r="O662" s="608" t="s">
        <v>3296</v>
      </c>
      <c r="P662" s="259" t="s">
        <v>819</v>
      </c>
      <c r="Q662" s="484"/>
      <c r="R662" s="21" t="s">
        <v>3297</v>
      </c>
      <c r="S662" s="485">
        <v>92</v>
      </c>
    </row>
    <row x14ac:dyDescent="0.25" r="663" customHeight="1" ht="17.25">
      <c r="A663" s="228" t="s">
        <v>409</v>
      </c>
      <c r="B663" s="462" t="s">
        <v>490</v>
      </c>
      <c r="C663" s="505" t="s">
        <v>2437</v>
      </c>
      <c r="D663" s="24"/>
      <c r="E663" s="620"/>
      <c r="F663" s="230">
        <f>IF(E663&lt;&gt;"", ROUNDUP(E663/D663,0),"")</f>
        <v>25568.666666666668</v>
      </c>
      <c r="G663" s="487">
        <f>IF(E663&lt;&gt;"", (SQRT(D663*E663))/300, "")</f>
      </c>
      <c r="H663" s="480"/>
      <c r="I663" s="480"/>
      <c r="J663" s="480"/>
      <c r="K663" s="481"/>
      <c r="L663" s="482" t="s">
        <v>830</v>
      </c>
      <c r="M663" s="231">
        <v>44866</v>
      </c>
      <c r="N663" s="223" t="s">
        <v>503</v>
      </c>
      <c r="O663" s="608" t="s">
        <v>3296</v>
      </c>
      <c r="P663" s="259" t="s">
        <v>819</v>
      </c>
      <c r="Q663" s="484"/>
      <c r="R663" s="21"/>
      <c r="S663" s="485">
        <v>91</v>
      </c>
    </row>
    <row x14ac:dyDescent="0.25" r="664" customHeight="1" ht="17.25">
      <c r="A664" s="228" t="s">
        <v>3298</v>
      </c>
      <c r="B664" s="21" t="s">
        <v>1514</v>
      </c>
      <c r="C664" s="505" t="s">
        <v>3299</v>
      </c>
      <c r="D664" s="477">
        <v>6</v>
      </c>
      <c r="E664" s="620"/>
      <c r="F664" s="230"/>
      <c r="G664" s="487">
        <f>IF(E664&lt;&gt;"", (SQRT(D664*E664))/300, "")</f>
      </c>
      <c r="H664" s="480"/>
      <c r="I664" s="480"/>
      <c r="J664" s="480"/>
      <c r="K664" s="481"/>
      <c r="L664" s="482" t="s">
        <v>830</v>
      </c>
      <c r="M664" s="269">
        <v>44866</v>
      </c>
      <c r="N664" s="223" t="s">
        <v>503</v>
      </c>
      <c r="O664" s="608" t="s">
        <v>3300</v>
      </c>
      <c r="P664" s="259" t="s">
        <v>819</v>
      </c>
      <c r="Q664" s="484"/>
      <c r="R664" s="21"/>
      <c r="S664" s="485">
        <v>90</v>
      </c>
    </row>
    <row x14ac:dyDescent="0.25" r="665" customHeight="1" ht="17.25">
      <c r="A665" s="228" t="s">
        <v>3301</v>
      </c>
      <c r="B665" s="21" t="s">
        <v>1788</v>
      </c>
      <c r="C665" s="505" t="s">
        <v>3302</v>
      </c>
      <c r="D665" s="477">
        <v>14</v>
      </c>
      <c r="E665" s="477">
        <v>332</v>
      </c>
      <c r="F665" s="230">
        <f>IF(E665&lt;&gt;"", ROUNDUP(E665/D665,0),"")</f>
        <v>25568.666666666668</v>
      </c>
      <c r="G665" s="487">
        <f>IF(E665&lt;&gt;"", (SQRT(D665*E665))/300, "")</f>
      </c>
      <c r="H665" s="480"/>
      <c r="I665" s="480"/>
      <c r="J665" s="480"/>
      <c r="K665" s="481"/>
      <c r="L665" s="482" t="s">
        <v>830</v>
      </c>
      <c r="M665" s="269">
        <v>44866</v>
      </c>
      <c r="N665" s="223" t="s">
        <v>503</v>
      </c>
      <c r="O665" s="615" t="s">
        <v>3303</v>
      </c>
      <c r="P665" s="259" t="s">
        <v>819</v>
      </c>
      <c r="Q665" s="484"/>
      <c r="R665" s="21" t="s">
        <v>3304</v>
      </c>
      <c r="S665" s="485">
        <v>89</v>
      </c>
    </row>
    <row x14ac:dyDescent="0.25" r="666" customHeight="1" ht="17.25">
      <c r="A666" s="228" t="s">
        <v>3305</v>
      </c>
      <c r="B666" s="462" t="s">
        <v>498</v>
      </c>
      <c r="C666" s="491" t="s">
        <v>3306</v>
      </c>
      <c r="D666" s="477">
        <v>120</v>
      </c>
      <c r="E666" s="477">
        <v>450</v>
      </c>
      <c r="F666" s="230">
        <f>IF(E666&lt;&gt;"", ROUNDUP(E666/D666,0),"")</f>
        <v>25568.666666666668</v>
      </c>
      <c r="G666" s="487">
        <f>IF(E666&lt;&gt;"", (SQRT(D666*E666))/300, "")</f>
      </c>
      <c r="H666" s="480">
        <v>52.6</v>
      </c>
      <c r="I666" s="480"/>
      <c r="J666" s="480"/>
      <c r="K666" s="481"/>
      <c r="L666" s="638" t="s">
        <v>3307</v>
      </c>
      <c r="M666" s="269">
        <v>44866</v>
      </c>
      <c r="N666" s="223" t="s">
        <v>503</v>
      </c>
      <c r="O666" s="608" t="s">
        <v>3308</v>
      </c>
      <c r="P666" s="259" t="s">
        <v>819</v>
      </c>
      <c r="Q666" s="484"/>
      <c r="R666" s="21" t="s">
        <v>3309</v>
      </c>
      <c r="S666" s="485">
        <v>88</v>
      </c>
    </row>
    <row x14ac:dyDescent="0.25" r="667" customHeight="1" ht="17.25">
      <c r="A667" s="228" t="s">
        <v>3310</v>
      </c>
      <c r="B667" s="462" t="s">
        <v>556</v>
      </c>
      <c r="C667" s="33"/>
      <c r="D667" s="27"/>
      <c r="E667" s="620"/>
      <c r="F667" s="230">
        <f>IF(E667&lt;&gt;"", ROUNDUP(E667/D667,0),"")</f>
        <v>25568.666666666668</v>
      </c>
      <c r="G667" s="487">
        <f>IF(E667&lt;&gt;"", (SQRT(D667*E667))/300, "")</f>
      </c>
      <c r="H667" s="480"/>
      <c r="I667" s="480"/>
      <c r="J667" s="480"/>
      <c r="K667" s="481"/>
      <c r="L667" s="482" t="s">
        <v>830</v>
      </c>
      <c r="M667" s="269">
        <v>44866</v>
      </c>
      <c r="N667" s="754" t="s">
        <v>470</v>
      </c>
      <c r="O667" s="608" t="s">
        <v>3311</v>
      </c>
      <c r="P667" s="259" t="s">
        <v>819</v>
      </c>
      <c r="Q667" s="566" t="s">
        <v>901</v>
      </c>
      <c r="R667" s="228" t="s">
        <v>3312</v>
      </c>
      <c r="S667" s="485">
        <v>87</v>
      </c>
    </row>
    <row x14ac:dyDescent="0.25" r="668" customHeight="1" ht="17.25">
      <c r="A668" s="228" t="s">
        <v>3313</v>
      </c>
      <c r="B668" s="21" t="s">
        <v>638</v>
      </c>
      <c r="C668" s="491" t="s">
        <v>3314</v>
      </c>
      <c r="D668" s="477">
        <v>13</v>
      </c>
      <c r="E668" s="477">
        <v>1000</v>
      </c>
      <c r="F668" s="230">
        <f>IF(E668&lt;&gt;"", ROUNDUP(E668/D668,0),"")</f>
        <v>25568.666666666668</v>
      </c>
      <c r="G668" s="487">
        <f>IF(E668&lt;&gt;"", (SQRT(D668*E668))/300, "")</f>
      </c>
      <c r="H668" s="480"/>
      <c r="I668" s="480"/>
      <c r="J668" s="480"/>
      <c r="K668" s="481"/>
      <c r="L668" s="750" t="s">
        <v>3232</v>
      </c>
      <c r="M668" s="269">
        <v>44866</v>
      </c>
      <c r="N668" s="223" t="s">
        <v>503</v>
      </c>
      <c r="O668" s="608" t="s">
        <v>3315</v>
      </c>
      <c r="P668" s="259" t="s">
        <v>819</v>
      </c>
      <c r="Q668" s="566"/>
      <c r="R668" s="228" t="s">
        <v>3316</v>
      </c>
      <c r="S668" s="485">
        <v>86</v>
      </c>
    </row>
    <row x14ac:dyDescent="0.25" r="669" customHeight="1" ht="22.5">
      <c r="A669" s="259" t="s">
        <v>3317</v>
      </c>
      <c r="B669" s="21" t="s">
        <v>638</v>
      </c>
      <c r="C669" s="505" t="s">
        <v>3314</v>
      </c>
      <c r="D669" s="486">
        <v>176</v>
      </c>
      <c r="E669" s="486">
        <v>366</v>
      </c>
      <c r="F669" s="651">
        <f>IF(E669&lt;&gt;"", ROUNDUP(E669/D669,0),"")</f>
        <v>25568.666666666668</v>
      </c>
      <c r="G669" s="487">
        <f>IF(E669&lt;&gt;"", (SQRT(D669*E669))/300, "")</f>
      </c>
      <c r="H669" s="480"/>
      <c r="I669" s="480"/>
      <c r="J669" s="480"/>
      <c r="K669" s="481"/>
      <c r="L669" s="482" t="s">
        <v>830</v>
      </c>
      <c r="M669" s="269">
        <v>44866</v>
      </c>
      <c r="N669" s="270" t="s">
        <v>503</v>
      </c>
      <c r="O669" s="615" t="s">
        <v>3315</v>
      </c>
      <c r="P669" s="259" t="s">
        <v>819</v>
      </c>
      <c r="Q669" s="566"/>
      <c r="R669" s="228" t="s">
        <v>3316</v>
      </c>
      <c r="S669" s="485">
        <v>85</v>
      </c>
    </row>
    <row x14ac:dyDescent="0.25" r="670" customHeight="1" ht="22.5">
      <c r="A670" s="228" t="s">
        <v>3318</v>
      </c>
      <c r="B670" s="21" t="s">
        <v>834</v>
      </c>
      <c r="C670" s="491" t="s">
        <v>3319</v>
      </c>
      <c r="D670" s="620"/>
      <c r="E670" s="620">
        <v>0.03</v>
      </c>
      <c r="F670" s="230"/>
      <c r="G670" s="487">
        <f>IF(E670&lt;&gt;"", (SQRT(D670*E670))/300, "")</f>
      </c>
      <c r="H670" s="480"/>
      <c r="I670" s="480"/>
      <c r="J670" s="480"/>
      <c r="K670" s="481"/>
      <c r="L670" s="482" t="s">
        <v>1099</v>
      </c>
      <c r="M670" s="231">
        <v>44835</v>
      </c>
      <c r="N670" s="223" t="s">
        <v>503</v>
      </c>
      <c r="O670" s="608" t="s">
        <v>3320</v>
      </c>
      <c r="P670" s="259" t="s">
        <v>819</v>
      </c>
      <c r="Q670" s="566"/>
      <c r="R670" s="228" t="s">
        <v>3321</v>
      </c>
      <c r="S670" s="485">
        <v>84</v>
      </c>
    </row>
    <row x14ac:dyDescent="0.25" r="671" customHeight="1" ht="17.25">
      <c r="A671" s="228" t="s">
        <v>3322</v>
      </c>
      <c r="B671" s="462" t="s">
        <v>508</v>
      </c>
      <c r="C671" s="491" t="s">
        <v>3143</v>
      </c>
      <c r="D671" s="477">
        <v>11</v>
      </c>
      <c r="E671" s="477">
        <v>1100</v>
      </c>
      <c r="F671" s="230">
        <f>IF(E671&lt;&gt;"", ROUNDUP(E671/D671,0),"")</f>
        <v>25568.666666666668</v>
      </c>
      <c r="G671" s="479">
        <f>IF(E671&lt;&gt;"", (SQRT(D671*E671))/300, "")</f>
      </c>
      <c r="H671" s="481"/>
      <c r="I671" s="481"/>
      <c r="J671" s="481"/>
      <c r="K671" s="481"/>
      <c r="L671" s="482" t="s">
        <v>830</v>
      </c>
      <c r="M671" s="231">
        <v>44835</v>
      </c>
      <c r="N671" s="223" t="s">
        <v>503</v>
      </c>
      <c r="O671" s="608" t="s">
        <v>3323</v>
      </c>
      <c r="P671" s="228" t="s">
        <v>819</v>
      </c>
      <c r="Q671" s="566" t="s">
        <v>808</v>
      </c>
      <c r="R671" s="228" t="s">
        <v>3324</v>
      </c>
      <c r="S671" s="485">
        <v>83</v>
      </c>
    </row>
    <row x14ac:dyDescent="0.25" r="672" customHeight="1" ht="17.25">
      <c r="A672" s="228" t="s">
        <v>3325</v>
      </c>
      <c r="B672" s="462" t="s">
        <v>508</v>
      </c>
      <c r="C672" s="858"/>
      <c r="D672" s="477">
        <v>540</v>
      </c>
      <c r="E672" s="477">
        <v>780</v>
      </c>
      <c r="F672" s="230">
        <f>IF(E672&lt;&gt;"", ROUNDUP(E672/D672,0),"")</f>
        <v>25568.666666666668</v>
      </c>
      <c r="G672" s="487">
        <f>IF(E672&lt;&gt;"", (SQRT(D672*E672))/300, "")</f>
      </c>
      <c r="H672" s="480">
        <v>73.5</v>
      </c>
      <c r="I672" s="480"/>
      <c r="J672" s="480"/>
      <c r="K672" s="481"/>
      <c r="L672" s="482" t="s">
        <v>830</v>
      </c>
      <c r="M672" s="231">
        <v>44835</v>
      </c>
      <c r="N672" s="754" t="s">
        <v>470</v>
      </c>
      <c r="O672" s="615" t="s">
        <v>3323</v>
      </c>
      <c r="P672" s="259" t="s">
        <v>819</v>
      </c>
      <c r="Q672" s="566"/>
      <c r="R672" s="228"/>
      <c r="S672" s="485">
        <v>82</v>
      </c>
    </row>
    <row x14ac:dyDescent="0.25" r="673" customHeight="1" ht="17.25">
      <c r="A673" s="228" t="s">
        <v>3326</v>
      </c>
      <c r="B673" s="462" t="s">
        <v>508</v>
      </c>
      <c r="C673" s="858"/>
      <c r="D673" s="477">
        <v>540</v>
      </c>
      <c r="E673" s="477">
        <v>780</v>
      </c>
      <c r="F673" s="230">
        <f>IF(E673&lt;&gt;"", ROUNDUP(E673/D673,0),"")</f>
        <v>25568.666666666668</v>
      </c>
      <c r="G673" s="487">
        <f>IF(E673&lt;&gt;"", (SQRT(D673*E673))/300, "")</f>
      </c>
      <c r="H673" s="480">
        <v>74.1</v>
      </c>
      <c r="I673" s="480"/>
      <c r="J673" s="480"/>
      <c r="K673" s="481"/>
      <c r="L673" s="482" t="s">
        <v>830</v>
      </c>
      <c r="M673" s="231">
        <v>44835</v>
      </c>
      <c r="N673" s="754" t="s">
        <v>470</v>
      </c>
      <c r="O673" s="608" t="s">
        <v>3327</v>
      </c>
      <c r="P673" s="259" t="s">
        <v>819</v>
      </c>
      <c r="Q673" s="566"/>
      <c r="R673" s="228"/>
      <c r="S673" s="485">
        <v>81</v>
      </c>
    </row>
    <row x14ac:dyDescent="0.25" r="674" customHeight="1" ht="17.25">
      <c r="A674" s="228" t="s">
        <v>3328</v>
      </c>
      <c r="B674" s="21" t="s">
        <v>474</v>
      </c>
      <c r="C674" s="865" t="s">
        <v>3329</v>
      </c>
      <c r="D674" s="620">
        <v>0.2</v>
      </c>
      <c r="E674" s="620"/>
      <c r="F674" s="230"/>
      <c r="G674" s="487">
        <f>IF(E674&lt;&gt;"", (SQRT(D674*E674))/300, "")</f>
      </c>
      <c r="H674" s="480"/>
      <c r="I674" s="480"/>
      <c r="J674" s="480"/>
      <c r="K674" s="481"/>
      <c r="L674" s="482" t="s">
        <v>1099</v>
      </c>
      <c r="M674" s="718">
        <v>44835</v>
      </c>
      <c r="N674" s="223" t="s">
        <v>503</v>
      </c>
      <c r="O674" s="608" t="s">
        <v>3330</v>
      </c>
      <c r="P674" s="259" t="s">
        <v>819</v>
      </c>
      <c r="Q674" s="484"/>
      <c r="R674" s="21"/>
      <c r="S674" s="485">
        <v>80</v>
      </c>
    </row>
    <row x14ac:dyDescent="0.25" r="675" customHeight="1" ht="17.25">
      <c r="A675" s="228" t="s">
        <v>3331</v>
      </c>
      <c r="B675" s="462" t="s">
        <v>1052</v>
      </c>
      <c r="C675" s="491" t="s">
        <v>3332</v>
      </c>
      <c r="D675" s="477">
        <v>13</v>
      </c>
      <c r="E675" s="477">
        <v>2000</v>
      </c>
      <c r="F675" s="230">
        <f>IF(E675&lt;&gt;"", ROUNDUP(E675/D675,0),"")</f>
        <v>25568.666666666668</v>
      </c>
      <c r="G675" s="487">
        <f>IF(E675&lt;&gt;"", (SQRT(D675*E675))/300, "")</f>
      </c>
      <c r="H675" s="480"/>
      <c r="I675" s="480"/>
      <c r="J675" s="480"/>
      <c r="K675" s="481"/>
      <c r="L675" s="482" t="s">
        <v>830</v>
      </c>
      <c r="M675" s="718">
        <v>44805</v>
      </c>
      <c r="N675" s="223" t="s">
        <v>503</v>
      </c>
      <c r="O675" s="608" t="s">
        <v>3333</v>
      </c>
      <c r="P675" s="259" t="s">
        <v>819</v>
      </c>
      <c r="Q675" s="484"/>
      <c r="R675" s="21" t="s">
        <v>3334</v>
      </c>
      <c r="S675" s="485">
        <v>79</v>
      </c>
    </row>
    <row x14ac:dyDescent="0.25" r="676" customHeight="1" ht="17.25">
      <c r="A676" s="228" t="s">
        <v>3335</v>
      </c>
      <c r="B676" s="21" t="s">
        <v>1077</v>
      </c>
      <c r="C676" s="491" t="s">
        <v>3336</v>
      </c>
      <c r="D676" s="477">
        <v>10</v>
      </c>
      <c r="E676" s="477">
        <v>300</v>
      </c>
      <c r="F676" s="230">
        <f>IF(E676&lt;&gt;"", ROUNDUP(E676/D676,0),"")</f>
        <v>25568.666666666668</v>
      </c>
      <c r="G676" s="487">
        <f>IF(E676&lt;&gt;"", (SQRT(D676*E676))/300, "")</f>
      </c>
      <c r="H676" s="480"/>
      <c r="I676" s="480"/>
      <c r="J676" s="480"/>
      <c r="K676" s="481"/>
      <c r="L676" s="482" t="s">
        <v>830</v>
      </c>
      <c r="M676" s="718">
        <v>44805</v>
      </c>
      <c r="N676" s="223" t="s">
        <v>503</v>
      </c>
      <c r="O676" s="608" t="s">
        <v>3337</v>
      </c>
      <c r="P676" s="259" t="s">
        <v>819</v>
      </c>
      <c r="Q676" s="484"/>
      <c r="R676" s="21" t="s">
        <v>3338</v>
      </c>
      <c r="S676" s="485">
        <v>78</v>
      </c>
    </row>
    <row x14ac:dyDescent="0.25" r="677" customHeight="1" ht="17.25">
      <c r="A677" s="228" t="s">
        <v>3339</v>
      </c>
      <c r="B677" s="462" t="s">
        <v>1052</v>
      </c>
      <c r="C677" s="866"/>
      <c r="D677" s="477">
        <v>13</v>
      </c>
      <c r="E677" s="477">
        <v>850</v>
      </c>
      <c r="F677" s="230">
        <f>IF(E677&lt;&gt;"", ROUNDUP(E677/D677,0),"")</f>
        <v>25568.666666666668</v>
      </c>
      <c r="G677" s="487">
        <f>IF(E677&lt;&gt;"", (SQRT(D677*E677))/300, "")</f>
      </c>
      <c r="H677" s="480"/>
      <c r="I677" s="480"/>
      <c r="J677" s="480"/>
      <c r="K677" s="481"/>
      <c r="L677" s="482" t="s">
        <v>2361</v>
      </c>
      <c r="M677" s="718">
        <v>44805</v>
      </c>
      <c r="N677" s="223" t="s">
        <v>503</v>
      </c>
      <c r="O677" s="608" t="s">
        <v>3340</v>
      </c>
      <c r="P677" s="259" t="s">
        <v>819</v>
      </c>
      <c r="Q677" s="484"/>
      <c r="R677" s="21"/>
      <c r="S677" s="485">
        <v>77</v>
      </c>
    </row>
    <row x14ac:dyDescent="0.25" r="678" customHeight="1" ht="17.25">
      <c r="A678" s="228" t="s">
        <v>3341</v>
      </c>
      <c r="B678" s="462" t="s">
        <v>556</v>
      </c>
      <c r="C678" s="866"/>
      <c r="D678" s="477">
        <v>70</v>
      </c>
      <c r="E678" s="477">
        <v>1400</v>
      </c>
      <c r="F678" s="230">
        <f>IF(E678&lt;&gt;"", ROUNDUP(E678/D678,0),"")</f>
        <v>25568.666666666668</v>
      </c>
      <c r="G678" s="487">
        <f>IF(E678&lt;&gt;"", (SQRT(D678*E678))/300, "")</f>
      </c>
      <c r="H678" s="480"/>
      <c r="I678" s="480"/>
      <c r="J678" s="480"/>
      <c r="K678" s="481"/>
      <c r="L678" s="482" t="s">
        <v>830</v>
      </c>
      <c r="M678" s="718">
        <v>44805</v>
      </c>
      <c r="N678" s="754" t="s">
        <v>470</v>
      </c>
      <c r="O678" s="608" t="s">
        <v>3342</v>
      </c>
      <c r="P678" s="259" t="s">
        <v>819</v>
      </c>
      <c r="Q678" s="484"/>
      <c r="R678" s="21" t="s">
        <v>3343</v>
      </c>
      <c r="S678" s="485">
        <v>76</v>
      </c>
    </row>
    <row x14ac:dyDescent="0.25" r="679" customHeight="1" ht="17.25">
      <c r="A679" s="228" t="s">
        <v>3344</v>
      </c>
      <c r="B679" s="462" t="s">
        <v>508</v>
      </c>
      <c r="C679" s="866"/>
      <c r="D679" s="477">
        <v>17</v>
      </c>
      <c r="E679" s="620"/>
      <c r="F679" s="230">
        <f>IF(E679&lt;&gt;"", ROUNDUP(E679/D679,0),"")</f>
        <v>25568.666666666668</v>
      </c>
      <c r="G679" s="487">
        <f>IF(E679&lt;&gt;"", (SQRT(D679*E679))/300, "")</f>
      </c>
      <c r="H679" s="480"/>
      <c r="I679" s="480"/>
      <c r="J679" s="480"/>
      <c r="K679" s="481"/>
      <c r="L679" s="638" t="s">
        <v>1099</v>
      </c>
      <c r="M679" s="718">
        <v>44805</v>
      </c>
      <c r="N679" s="754" t="s">
        <v>470</v>
      </c>
      <c r="O679" s="608" t="s">
        <v>3345</v>
      </c>
      <c r="P679" s="259" t="s">
        <v>819</v>
      </c>
      <c r="Q679" s="484"/>
      <c r="R679" s="21" t="s">
        <v>3346</v>
      </c>
      <c r="S679" s="485">
        <v>75</v>
      </c>
    </row>
    <row x14ac:dyDescent="0.25" r="680" customHeight="1" ht="17.25">
      <c r="A680" s="228" t="s">
        <v>3347</v>
      </c>
      <c r="B680" s="21" t="s">
        <v>474</v>
      </c>
      <c r="C680" s="491" t="s">
        <v>3348</v>
      </c>
      <c r="D680" s="477">
        <v>20</v>
      </c>
      <c r="E680" s="620"/>
      <c r="F680" s="230"/>
      <c r="G680" s="487">
        <f>IF(E680&lt;&gt;"", (SQRT(D680*E680))/300, "")</f>
      </c>
      <c r="H680" s="480"/>
      <c r="I680" s="480"/>
      <c r="J680" s="480"/>
      <c r="K680" s="481"/>
      <c r="L680" s="482" t="s">
        <v>830</v>
      </c>
      <c r="M680" s="718">
        <v>44805</v>
      </c>
      <c r="N680" s="223" t="s">
        <v>503</v>
      </c>
      <c r="O680" s="608" t="s">
        <v>3348</v>
      </c>
      <c r="P680" s="259" t="s">
        <v>819</v>
      </c>
      <c r="Q680" s="566"/>
      <c r="R680" s="228"/>
      <c r="S680" s="485">
        <v>74</v>
      </c>
    </row>
    <row x14ac:dyDescent="0.25" r="681" customHeight="1" ht="17.25">
      <c r="A681" s="228" t="s">
        <v>3349</v>
      </c>
      <c r="B681" s="21" t="s">
        <v>834</v>
      </c>
      <c r="C681" s="866"/>
      <c r="D681" s="620">
        <v>0.71</v>
      </c>
      <c r="E681" s="477">
        <v>500</v>
      </c>
      <c r="F681" s="230">
        <f>IF(E681&lt;&gt;"", ROUNDUP(E681/D681,0),"")</f>
        <v>25568.666666666668</v>
      </c>
      <c r="G681" s="487">
        <f>IF(E681&lt;&gt;"", (SQRT(D681*E681))/300, "")</f>
      </c>
      <c r="H681" s="480"/>
      <c r="I681" s="480"/>
      <c r="J681" s="480"/>
      <c r="K681" s="481"/>
      <c r="L681" s="482" t="s">
        <v>830</v>
      </c>
      <c r="M681" s="718">
        <v>44774</v>
      </c>
      <c r="N681" s="754" t="s">
        <v>470</v>
      </c>
      <c r="O681" s="608" t="s">
        <v>3350</v>
      </c>
      <c r="P681" s="259" t="s">
        <v>819</v>
      </c>
      <c r="Q681" s="566"/>
      <c r="R681" s="228" t="s">
        <v>3351</v>
      </c>
      <c r="S681" s="485">
        <v>73</v>
      </c>
    </row>
    <row x14ac:dyDescent="0.25" r="682" customHeight="1" ht="17.25">
      <c r="A682" s="228" t="s">
        <v>91</v>
      </c>
      <c r="B682" s="462" t="s">
        <v>498</v>
      </c>
      <c r="C682" s="33"/>
      <c r="D682" s="477">
        <v>11</v>
      </c>
      <c r="E682" s="477">
        <v>40</v>
      </c>
      <c r="F682" s="230">
        <f>IF(E682&lt;&gt;"", ROUNDUP(E682/D682,0),"")</f>
        <v>25568.666666666668</v>
      </c>
      <c r="G682" s="487">
        <f>IF(E682&lt;&gt;"", (SQRT(D682*E682))/300, "")</f>
      </c>
      <c r="H682" s="480">
        <v>47.9</v>
      </c>
      <c r="I682" s="480"/>
      <c r="J682" s="480"/>
      <c r="K682" s="481"/>
      <c r="L682" s="482" t="s">
        <v>830</v>
      </c>
      <c r="M682" s="718">
        <v>44774</v>
      </c>
      <c r="N682" s="223" t="s">
        <v>503</v>
      </c>
      <c r="O682" s="608" t="s">
        <v>3352</v>
      </c>
      <c r="P682" s="259" t="s">
        <v>819</v>
      </c>
      <c r="Q682" s="566"/>
      <c r="R682" s="228"/>
      <c r="S682" s="485">
        <v>72</v>
      </c>
    </row>
    <row x14ac:dyDescent="0.25" r="683" customHeight="1" ht="17.25">
      <c r="A683" s="228" t="s">
        <v>3353</v>
      </c>
      <c r="B683" s="462" t="s">
        <v>498</v>
      </c>
      <c r="C683" s="491" t="s">
        <v>3354</v>
      </c>
      <c r="D683" s="477">
        <v>175</v>
      </c>
      <c r="E683" s="477">
        <v>300</v>
      </c>
      <c r="F683" s="230">
        <f>IF(E683&lt;&gt;"", ROUNDUP(E683/D683,0),"")</f>
        <v>25568.666666666668</v>
      </c>
      <c r="G683" s="487">
        <f>IF(E683&lt;&gt;"", (SQRT(D683*E683))/300, "")</f>
      </c>
      <c r="H683" s="480"/>
      <c r="I683" s="480"/>
      <c r="J683" s="480"/>
      <c r="K683" s="481"/>
      <c r="L683" s="482" t="s">
        <v>830</v>
      </c>
      <c r="M683" s="718">
        <v>44774</v>
      </c>
      <c r="N683" s="223" t="s">
        <v>503</v>
      </c>
      <c r="O683" s="608" t="s">
        <v>3355</v>
      </c>
      <c r="P683" s="259" t="s">
        <v>819</v>
      </c>
      <c r="Q683" s="566"/>
      <c r="R683" s="228"/>
      <c r="S683" s="485">
        <v>71</v>
      </c>
    </row>
    <row x14ac:dyDescent="0.25" r="684" customHeight="1" ht="17.25">
      <c r="A684" s="228" t="s">
        <v>3356</v>
      </c>
      <c r="B684" s="462" t="s">
        <v>1052</v>
      </c>
      <c r="C684" s="491" t="s">
        <v>3357</v>
      </c>
      <c r="D684" s="477">
        <v>130</v>
      </c>
      <c r="E684" s="477">
        <v>400</v>
      </c>
      <c r="F684" s="230">
        <f>IF(E684&lt;&gt;"", ROUNDUP(E684/D684,0),"")</f>
        <v>25568.666666666668</v>
      </c>
      <c r="G684" s="487">
        <f>IF(E684&lt;&gt;"", (SQRT(D684*E684))/300, "")</f>
      </c>
      <c r="H684" s="480"/>
      <c r="I684" s="480"/>
      <c r="J684" s="480"/>
      <c r="K684" s="481"/>
      <c r="L684" s="482" t="s">
        <v>830</v>
      </c>
      <c r="M684" s="718">
        <v>44774</v>
      </c>
      <c r="N684" s="223" t="s">
        <v>503</v>
      </c>
      <c r="O684" s="608" t="s">
        <v>3358</v>
      </c>
      <c r="P684" s="259" t="s">
        <v>819</v>
      </c>
      <c r="Q684" s="566"/>
      <c r="R684" s="228" t="s">
        <v>3359</v>
      </c>
      <c r="S684" s="485">
        <v>70</v>
      </c>
    </row>
    <row x14ac:dyDescent="0.25" r="685" customHeight="1" ht="17.25">
      <c r="A685" s="228" t="s">
        <v>3360</v>
      </c>
      <c r="B685" s="462" t="s">
        <v>983</v>
      </c>
      <c r="C685" s="491" t="s">
        <v>3361</v>
      </c>
      <c r="D685" s="477">
        <v>20</v>
      </c>
      <c r="E685" s="477">
        <v>1300</v>
      </c>
      <c r="F685" s="230">
        <f>IF(E685&lt;&gt;"", ROUNDUP(E685/D685,0),"")</f>
        <v>25568.666666666668</v>
      </c>
      <c r="G685" s="487">
        <f>IF(E685&lt;&gt;"", (SQRT(D685*E685))/300, "")</f>
      </c>
      <c r="H685" s="480"/>
      <c r="I685" s="480"/>
      <c r="J685" s="480"/>
      <c r="K685" s="481"/>
      <c r="L685" s="482" t="s">
        <v>830</v>
      </c>
      <c r="M685" s="718">
        <v>44774</v>
      </c>
      <c r="N685" s="223" t="s">
        <v>503</v>
      </c>
      <c r="O685" s="608" t="s">
        <v>3362</v>
      </c>
      <c r="P685" s="259" t="s">
        <v>819</v>
      </c>
      <c r="Q685" s="566"/>
      <c r="R685" s="228" t="s">
        <v>3363</v>
      </c>
      <c r="S685" s="485">
        <v>69</v>
      </c>
    </row>
    <row x14ac:dyDescent="0.25" r="686" customHeight="1" ht="17.25">
      <c r="A686" s="228" t="s">
        <v>3364</v>
      </c>
      <c r="B686" s="462" t="s">
        <v>490</v>
      </c>
      <c r="C686" s="33"/>
      <c r="D686" s="620">
        <v>6.9</v>
      </c>
      <c r="E686" s="477">
        <v>100</v>
      </c>
      <c r="F686" s="230">
        <f>IF(E686&lt;&gt;"", ROUNDUP(E686/D686,0),"")</f>
        <v>25568.666666666668</v>
      </c>
      <c r="G686" s="487">
        <f>IF(E686&lt;&gt;"", (SQRT(D686*E686))/300, "")</f>
      </c>
      <c r="H686" s="480"/>
      <c r="I686" s="480"/>
      <c r="J686" s="480"/>
      <c r="K686" s="481"/>
      <c r="L686" s="482" t="s">
        <v>830</v>
      </c>
      <c r="M686" s="718">
        <v>44743</v>
      </c>
      <c r="N686" s="754" t="s">
        <v>470</v>
      </c>
      <c r="O686" s="608" t="s">
        <v>3365</v>
      </c>
      <c r="P686" s="259" t="s">
        <v>819</v>
      </c>
      <c r="Q686" s="566"/>
      <c r="R686" s="228" t="s">
        <v>3366</v>
      </c>
      <c r="S686" s="485">
        <v>68</v>
      </c>
    </row>
    <row x14ac:dyDescent="0.25" r="687" customHeight="1" ht="17.25">
      <c r="A687" s="228" t="s">
        <v>3367</v>
      </c>
      <c r="B687" s="462" t="s">
        <v>508</v>
      </c>
      <c r="C687" s="33"/>
      <c r="D687" s="620">
        <v>0.5</v>
      </c>
      <c r="E687" s="620"/>
      <c r="F687" s="230">
        <f>IF(E687&lt;&gt;"", ROUNDUP(E687/D687,0),"")</f>
        <v>25568.666666666668</v>
      </c>
      <c r="G687" s="487">
        <f>IF(E687&lt;&gt;"", (SQRT(D687*E687))/300, "")</f>
      </c>
      <c r="H687" s="480"/>
      <c r="I687" s="480"/>
      <c r="J687" s="480"/>
      <c r="K687" s="481"/>
      <c r="L687" s="482" t="s">
        <v>2361</v>
      </c>
      <c r="M687" s="718">
        <v>44743</v>
      </c>
      <c r="N687" s="754" t="s">
        <v>470</v>
      </c>
      <c r="O687" s="608" t="s">
        <v>3368</v>
      </c>
      <c r="P687" s="259" t="s">
        <v>819</v>
      </c>
      <c r="Q687" s="566"/>
      <c r="R687" s="228" t="s">
        <v>3369</v>
      </c>
      <c r="S687" s="485">
        <v>67</v>
      </c>
    </row>
    <row x14ac:dyDescent="0.25" r="688" customHeight="1" ht="17.25">
      <c r="A688" s="228" t="s">
        <v>3370</v>
      </c>
      <c r="B688" s="21" t="s">
        <v>1423</v>
      </c>
      <c r="C688" s="33"/>
      <c r="D688" s="620">
        <v>2.6</v>
      </c>
      <c r="E688" s="620"/>
      <c r="F688" s="230">
        <f>IF(E688&lt;&gt;"", ROUNDUP(E688/D688,0),"")</f>
        <v>25568.666666666668</v>
      </c>
      <c r="G688" s="487">
        <f>IF(E688&lt;&gt;"", (SQRT(D688*E688))/300, "")</f>
      </c>
      <c r="H688" s="480"/>
      <c r="I688" s="480"/>
      <c r="J688" s="480"/>
      <c r="K688" s="481"/>
      <c r="L688" s="489" t="s">
        <v>1099</v>
      </c>
      <c r="M688" s="718">
        <v>44743</v>
      </c>
      <c r="N688" s="754" t="s">
        <v>470</v>
      </c>
      <c r="O688" s="608" t="s">
        <v>3371</v>
      </c>
      <c r="P688" s="259" t="s">
        <v>819</v>
      </c>
      <c r="Q688" s="566"/>
      <c r="R688" s="228" t="s">
        <v>3372</v>
      </c>
      <c r="S688" s="485">
        <v>66</v>
      </c>
    </row>
    <row x14ac:dyDescent="0.25" r="689" customHeight="1" ht="17.25">
      <c r="A689" s="228" t="s">
        <v>3373</v>
      </c>
      <c r="B689" s="462" t="s">
        <v>498</v>
      </c>
      <c r="C689" s="491" t="s">
        <v>3361</v>
      </c>
      <c r="D689" s="620">
        <v>54.5</v>
      </c>
      <c r="E689" s="620"/>
      <c r="F689" s="230">
        <f>IF(E689&lt;&gt;"", ROUNDUP(E689/D689,0),"")</f>
        <v>25568.666666666668</v>
      </c>
      <c r="G689" s="487">
        <f>IF(E689&lt;&gt;"", (SQRT(D689*E689))/300, "")</f>
      </c>
      <c r="H689" s="480"/>
      <c r="I689" s="480"/>
      <c r="J689" s="480"/>
      <c r="K689" s="481"/>
      <c r="L689" s="489" t="s">
        <v>1099</v>
      </c>
      <c r="M689" s="718">
        <v>44743</v>
      </c>
      <c r="N689" s="223" t="s">
        <v>503</v>
      </c>
      <c r="O689" s="608" t="s">
        <v>3374</v>
      </c>
      <c r="P689" s="259" t="s">
        <v>802</v>
      </c>
      <c r="Q689" s="566"/>
      <c r="R689" s="228" t="s">
        <v>3375</v>
      </c>
      <c r="S689" s="485">
        <v>65</v>
      </c>
    </row>
    <row x14ac:dyDescent="0.25" r="690" customHeight="1" ht="17.25">
      <c r="A690" s="228" t="s">
        <v>3376</v>
      </c>
      <c r="B690" s="21" t="s">
        <v>864</v>
      </c>
      <c r="C690" s="491" t="s">
        <v>3377</v>
      </c>
      <c r="D690" s="477">
        <v>178</v>
      </c>
      <c r="E690" s="477">
        <v>300</v>
      </c>
      <c r="F690" s="230">
        <f>IF(E690&lt;&gt;"", ROUNDUP(E690/D690,0),"")</f>
        <v>25568.666666666668</v>
      </c>
      <c r="G690" s="487">
        <f>IF(E690&lt;&gt;"", (SQRT(D690*E690))/300, "")</f>
      </c>
      <c r="H690" s="480"/>
      <c r="I690" s="480"/>
      <c r="J690" s="480"/>
      <c r="K690" s="481"/>
      <c r="L690" s="489" t="s">
        <v>1099</v>
      </c>
      <c r="M690" s="718">
        <v>44743</v>
      </c>
      <c r="N690" s="223" t="s">
        <v>503</v>
      </c>
      <c r="O690" s="608" t="s">
        <v>3378</v>
      </c>
      <c r="P690" s="259" t="s">
        <v>819</v>
      </c>
      <c r="Q690" s="566"/>
      <c r="R690" s="228" t="s">
        <v>3379</v>
      </c>
      <c r="S690" s="485">
        <v>64</v>
      </c>
    </row>
    <row x14ac:dyDescent="0.25" r="691" customHeight="1" ht="17.25">
      <c r="A691" s="228" t="s">
        <v>3380</v>
      </c>
      <c r="B691" s="21" t="s">
        <v>638</v>
      </c>
      <c r="C691" s="491" t="s">
        <v>3381</v>
      </c>
      <c r="D691" s="477">
        <v>176</v>
      </c>
      <c r="E691" s="477">
        <v>366</v>
      </c>
      <c r="F691" s="230">
        <f>IF(E691&lt;&gt;"", ROUNDUP(E691/D691,0),"")</f>
        <v>25568.666666666668</v>
      </c>
      <c r="G691" s="487">
        <f>IF(E691&lt;&gt;"", (SQRT(D691*E691))/300, "")</f>
      </c>
      <c r="H691" s="480">
        <v>39.1</v>
      </c>
      <c r="I691" s="480"/>
      <c r="J691" s="480"/>
      <c r="K691" s="481"/>
      <c r="L691" s="482" t="s">
        <v>830</v>
      </c>
      <c r="M691" s="718">
        <v>44743</v>
      </c>
      <c r="N691" s="223" t="s">
        <v>503</v>
      </c>
      <c r="O691" s="608" t="s">
        <v>3382</v>
      </c>
      <c r="P691" s="259" t="s">
        <v>819</v>
      </c>
      <c r="Q691" s="566"/>
      <c r="R691" s="228"/>
      <c r="S691" s="485">
        <v>63</v>
      </c>
    </row>
    <row x14ac:dyDescent="0.25" r="692" customHeight="1" ht="17.25">
      <c r="A692" s="228" t="s">
        <v>3383</v>
      </c>
      <c r="B692" s="462" t="s">
        <v>508</v>
      </c>
      <c r="C692" s="33"/>
      <c r="D692" s="477">
        <v>540</v>
      </c>
      <c r="E692" s="620">
        <v>818.5</v>
      </c>
      <c r="F692" s="230">
        <f>IF(E692&lt;&gt;"", ROUNDUP(E692/D692,0),"")</f>
        <v>25568.666666666668</v>
      </c>
      <c r="G692" s="487">
        <f>IF(E692&lt;&gt;"", (SQRT(D692*E692))/300, "")</f>
      </c>
      <c r="H692" s="480"/>
      <c r="I692" s="480"/>
      <c r="J692" s="480"/>
      <c r="K692" s="481"/>
      <c r="L692" s="482" t="s">
        <v>830</v>
      </c>
      <c r="M692" s="718">
        <v>44713</v>
      </c>
      <c r="N692" s="754" t="s">
        <v>470</v>
      </c>
      <c r="O692" s="608" t="s">
        <v>3384</v>
      </c>
      <c r="P692" s="259" t="s">
        <v>819</v>
      </c>
      <c r="Q692" s="566"/>
      <c r="R692" s="228" t="s">
        <v>3385</v>
      </c>
      <c r="S692" s="485">
        <v>62</v>
      </c>
    </row>
    <row x14ac:dyDescent="0.25" r="693" customHeight="1" ht="17.25">
      <c r="A693" s="228" t="s">
        <v>3386</v>
      </c>
      <c r="B693" s="21" t="s">
        <v>834</v>
      </c>
      <c r="C693" s="866"/>
      <c r="D693" s="620">
        <v>2.7</v>
      </c>
      <c r="E693" s="620"/>
      <c r="F693" s="230">
        <f>IF(E693&lt;&gt;"", ROUNDUP(E693/D693,0),"")</f>
        <v>25568.666666666668</v>
      </c>
      <c r="G693" s="487">
        <f>IF(E693&lt;&gt;"", (SQRT(D693*E693))/300, "")</f>
      </c>
      <c r="H693" s="480"/>
      <c r="I693" s="480"/>
      <c r="J693" s="480"/>
      <c r="K693" s="481"/>
      <c r="L693" s="482" t="s">
        <v>3387</v>
      </c>
      <c r="M693" s="718">
        <v>44713</v>
      </c>
      <c r="N693" s="223" t="s">
        <v>503</v>
      </c>
      <c r="O693" s="608" t="s">
        <v>3388</v>
      </c>
      <c r="P693" s="259" t="s">
        <v>819</v>
      </c>
      <c r="Q693" s="566"/>
      <c r="R693" s="228" t="s">
        <v>3389</v>
      </c>
      <c r="S693" s="485">
        <v>61</v>
      </c>
    </row>
    <row x14ac:dyDescent="0.25" r="694" customHeight="1" ht="17.25">
      <c r="A694" s="228" t="s">
        <v>3390</v>
      </c>
      <c r="B694" s="21" t="s">
        <v>3391</v>
      </c>
      <c r="C694" s="491" t="s">
        <v>3361</v>
      </c>
      <c r="D694" s="477">
        <v>100</v>
      </c>
      <c r="E694" s="477">
        <v>300</v>
      </c>
      <c r="F694" s="230">
        <f>IF(E694&lt;&gt;"", ROUNDUP(E694/D694,0),"")</f>
        <v>25568.666666666668</v>
      </c>
      <c r="G694" s="487">
        <f>IF(E694&lt;&gt;"", (SQRT(D694*E694))/300, "")</f>
      </c>
      <c r="H694" s="480"/>
      <c r="I694" s="480"/>
      <c r="J694" s="480"/>
      <c r="K694" s="481"/>
      <c r="L694" s="482" t="s">
        <v>830</v>
      </c>
      <c r="M694" s="718">
        <v>44713</v>
      </c>
      <c r="N694" s="223" t="s">
        <v>503</v>
      </c>
      <c r="O694" s="608" t="s">
        <v>3392</v>
      </c>
      <c r="P694" s="259" t="s">
        <v>819</v>
      </c>
      <c r="Q694" s="566"/>
      <c r="R694" s="609" t="s">
        <v>3393</v>
      </c>
      <c r="S694" s="485">
        <v>60</v>
      </c>
    </row>
    <row x14ac:dyDescent="0.25" r="695" customHeight="1" ht="17.25">
      <c r="A695" s="228" t="s">
        <v>3394</v>
      </c>
      <c r="B695" s="21" t="s">
        <v>939</v>
      </c>
      <c r="C695" s="491" t="s">
        <v>3395</v>
      </c>
      <c r="D695" s="620">
        <v>2.8</v>
      </c>
      <c r="E695" s="620"/>
      <c r="F695" s="230">
        <f>IF(E695&lt;&gt;"", ROUNDUP(E695/D695,0),"")</f>
        <v>25568.666666666668</v>
      </c>
      <c r="G695" s="487">
        <f>IF(E695&lt;&gt;"", (SQRT(D695*E695))/300, "")</f>
      </c>
      <c r="H695" s="480"/>
      <c r="I695" s="480"/>
      <c r="J695" s="480"/>
      <c r="K695" s="481"/>
      <c r="L695" s="482" t="s">
        <v>830</v>
      </c>
      <c r="M695" s="718">
        <v>44713</v>
      </c>
      <c r="N695" s="754" t="s">
        <v>470</v>
      </c>
      <c r="O695" s="608" t="s">
        <v>3396</v>
      </c>
      <c r="P695" s="259" t="s">
        <v>819</v>
      </c>
      <c r="Q695" s="566"/>
      <c r="R695" s="228" t="s">
        <v>3397</v>
      </c>
      <c r="S695" s="485">
        <v>59</v>
      </c>
    </row>
    <row x14ac:dyDescent="0.25" r="696" customHeight="1" ht="17.25">
      <c r="A696" s="228" t="s">
        <v>3398</v>
      </c>
      <c r="B696" s="462" t="s">
        <v>556</v>
      </c>
      <c r="C696" s="33"/>
      <c r="D696" s="477">
        <v>1</v>
      </c>
      <c r="E696" s="620"/>
      <c r="F696" s="230">
        <f>IF(E696&lt;&gt;"", ROUNDUP(E696/D696,0),"")</f>
        <v>25568.666666666668</v>
      </c>
      <c r="G696" s="487">
        <f>IF(E696&lt;&gt;"", (SQRT(D696*E696))/300, "")</f>
      </c>
      <c r="H696" s="480"/>
      <c r="I696" s="480"/>
      <c r="J696" s="480"/>
      <c r="K696" s="481"/>
      <c r="L696" s="482" t="s">
        <v>830</v>
      </c>
      <c r="M696" s="718">
        <v>44713</v>
      </c>
      <c r="N696" s="754" t="s">
        <v>470</v>
      </c>
      <c r="O696" s="608" t="s">
        <v>3399</v>
      </c>
      <c r="P696" s="259" t="s">
        <v>819</v>
      </c>
      <c r="Q696" s="566"/>
      <c r="R696" s="228" t="s">
        <v>3400</v>
      </c>
      <c r="S696" s="485">
        <v>58</v>
      </c>
    </row>
    <row x14ac:dyDescent="0.25" r="697" customHeight="1" ht="17.25">
      <c r="A697" s="228" t="s">
        <v>3401</v>
      </c>
      <c r="B697" s="462" t="s">
        <v>508</v>
      </c>
      <c r="C697" s="858"/>
      <c r="D697" s="620">
        <v>5.6</v>
      </c>
      <c r="E697" s="620"/>
      <c r="F697" s="230">
        <f>IF(E697&lt;&gt;"", ROUNDUP(E697/D697,0),"")</f>
        <v>25568.666666666668</v>
      </c>
      <c r="G697" s="487">
        <f>IF(E697&lt;&gt;"", (SQRT(D697*E697))/300, "")</f>
      </c>
      <c r="H697" s="480"/>
      <c r="I697" s="480"/>
      <c r="J697" s="480"/>
      <c r="K697" s="481"/>
      <c r="L697" s="482" t="s">
        <v>830</v>
      </c>
      <c r="M697" s="718">
        <v>44713</v>
      </c>
      <c r="N697" s="754" t="s">
        <v>470</v>
      </c>
      <c r="O697" s="608" t="s">
        <v>3402</v>
      </c>
      <c r="P697" s="259" t="s">
        <v>802</v>
      </c>
      <c r="Q697" s="566"/>
      <c r="R697" s="228"/>
      <c r="S697" s="485">
        <v>57</v>
      </c>
    </row>
    <row x14ac:dyDescent="0.25" r="698" customHeight="1" ht="17.25">
      <c r="A698" s="228" t="s">
        <v>3403</v>
      </c>
      <c r="B698" s="21" t="s">
        <v>859</v>
      </c>
      <c r="C698" s="491" t="s">
        <v>3404</v>
      </c>
      <c r="D698" s="477">
        <v>6</v>
      </c>
      <c r="E698" s="620"/>
      <c r="F698" s="230">
        <f>IF(E698&lt;&gt;"", ROUNDUP(E698/D698,0),"")</f>
        <v>25568.666666666668</v>
      </c>
      <c r="G698" s="487">
        <f>IF(E698&lt;&gt;"", (SQRT(D698*E698))/300, "")</f>
      </c>
      <c r="H698" s="480"/>
      <c r="I698" s="480"/>
      <c r="J698" s="480"/>
      <c r="K698" s="481"/>
      <c r="L698" s="482" t="s">
        <v>830</v>
      </c>
      <c r="M698" s="718">
        <v>44713</v>
      </c>
      <c r="N698" s="223" t="s">
        <v>503</v>
      </c>
      <c r="O698" s="608" t="s">
        <v>3405</v>
      </c>
      <c r="P698" s="259" t="s">
        <v>819</v>
      </c>
      <c r="Q698" s="566"/>
      <c r="R698" s="228" t="s">
        <v>3406</v>
      </c>
      <c r="S698" s="485">
        <v>56</v>
      </c>
    </row>
    <row x14ac:dyDescent="0.25" r="699" customHeight="1" ht="17.25">
      <c r="A699" s="228" t="s">
        <v>3407</v>
      </c>
      <c r="B699" s="21" t="s">
        <v>853</v>
      </c>
      <c r="C699" s="491" t="s">
        <v>3361</v>
      </c>
      <c r="D699" s="620">
        <v>0.3</v>
      </c>
      <c r="E699" s="620"/>
      <c r="F699" s="230">
        <f>IF(E699&lt;&gt;"", ROUNDUP(E699/D699,0),"")</f>
        <v>25568.666666666668</v>
      </c>
      <c r="G699" s="487">
        <f>IF(E699&lt;&gt;"", (SQRT(D699*E699))/300, "")</f>
      </c>
      <c r="H699" s="480"/>
      <c r="I699" s="480"/>
      <c r="J699" s="480"/>
      <c r="K699" s="481"/>
      <c r="L699" s="750" t="s">
        <v>3408</v>
      </c>
      <c r="M699" s="718">
        <v>44682</v>
      </c>
      <c r="N699" s="223" t="s">
        <v>503</v>
      </c>
      <c r="O699" s="608" t="s">
        <v>3409</v>
      </c>
      <c r="P699" s="259" t="s">
        <v>819</v>
      </c>
      <c r="Q699" s="566" t="s">
        <v>901</v>
      </c>
      <c r="R699" s="228" t="s">
        <v>3410</v>
      </c>
      <c r="S699" s="485">
        <v>55</v>
      </c>
    </row>
    <row x14ac:dyDescent="0.25" r="700" customHeight="1" ht="17.25">
      <c r="A700" s="228" t="s">
        <v>3411</v>
      </c>
      <c r="B700" s="462" t="s">
        <v>508</v>
      </c>
      <c r="C700" s="33"/>
      <c r="D700" s="477">
        <v>20</v>
      </c>
      <c r="E700" s="477">
        <v>1000</v>
      </c>
      <c r="F700" s="230">
        <f>IF(E700&lt;&gt;"", ROUNDUP(E700/D700,0),"")</f>
        <v>25568.666666666668</v>
      </c>
      <c r="G700" s="487">
        <f>IF(E700&lt;&gt;"", (SQRT(D700*E700))/300, "")</f>
      </c>
      <c r="H700" s="480">
        <v>39.2</v>
      </c>
      <c r="I700" s="480"/>
      <c r="J700" s="480"/>
      <c r="K700" s="481"/>
      <c r="L700" s="482" t="s">
        <v>830</v>
      </c>
      <c r="M700" s="718">
        <v>44682</v>
      </c>
      <c r="N700" s="754" t="s">
        <v>470</v>
      </c>
      <c r="O700" s="608" t="s">
        <v>3412</v>
      </c>
      <c r="P700" s="259" t="s">
        <v>819</v>
      </c>
      <c r="Q700" s="566"/>
      <c r="R700" s="228" t="s">
        <v>3413</v>
      </c>
      <c r="S700" s="485">
        <v>54</v>
      </c>
    </row>
    <row x14ac:dyDescent="0.25" r="701" customHeight="1" ht="17.25">
      <c r="A701" s="228" t="s">
        <v>3414</v>
      </c>
      <c r="B701" s="462" t="s">
        <v>556</v>
      </c>
      <c r="C701" s="866"/>
      <c r="D701" s="477">
        <v>1</v>
      </c>
      <c r="E701" s="620"/>
      <c r="F701" s="230">
        <f>IF(E701&lt;&gt;"", ROUNDUP(E701/D701,0),"")</f>
        <v>25568.666666666668</v>
      </c>
      <c r="G701" s="487">
        <f>IF(E701&lt;&gt;"", (SQRT(D701*E701))/300, "")</f>
      </c>
      <c r="H701" s="480"/>
      <c r="I701" s="480"/>
      <c r="J701" s="480"/>
      <c r="K701" s="481"/>
      <c r="L701" s="482" t="s">
        <v>830</v>
      </c>
      <c r="M701" s="718">
        <v>44682</v>
      </c>
      <c r="N701" s="754" t="s">
        <v>470</v>
      </c>
      <c r="O701" s="608" t="s">
        <v>3415</v>
      </c>
      <c r="P701" s="259" t="s">
        <v>819</v>
      </c>
      <c r="Q701" s="566" t="s">
        <v>808</v>
      </c>
      <c r="R701" s="228" t="s">
        <v>3416</v>
      </c>
      <c r="S701" s="485">
        <v>53</v>
      </c>
    </row>
    <row x14ac:dyDescent="0.25" r="702" customHeight="1" ht="17.25">
      <c r="A702" s="492" t="s">
        <v>3417</v>
      </c>
      <c r="B702" s="462" t="s">
        <v>508</v>
      </c>
      <c r="C702" s="867" t="s">
        <v>3418</v>
      </c>
      <c r="D702" s="23">
        <v>137</v>
      </c>
      <c r="E702" s="868"/>
      <c r="F702" s="230">
        <f>IF(E702&lt;&gt;"", ROUNDUP(E702/D702,0),"")</f>
        <v>25568.666666666668</v>
      </c>
      <c r="G702" s="487">
        <f>IF(E702&lt;&gt;"", (SQRT(D702*E702))/300, "")</f>
      </c>
      <c r="H702" s="480"/>
      <c r="I702" s="480"/>
      <c r="J702" s="480"/>
      <c r="K702" s="481"/>
      <c r="L702" s="750" t="s">
        <v>3408</v>
      </c>
      <c r="M702" s="718">
        <v>44682</v>
      </c>
      <c r="N702" s="223" t="s">
        <v>484</v>
      </c>
      <c r="O702" s="615" t="s">
        <v>3419</v>
      </c>
      <c r="P702" s="259" t="s">
        <v>819</v>
      </c>
      <c r="Q702" s="502"/>
      <c r="R702" s="492" t="s">
        <v>3420</v>
      </c>
      <c r="S702" s="485">
        <v>52</v>
      </c>
    </row>
    <row x14ac:dyDescent="0.25" r="703" customHeight="1" ht="17.25">
      <c r="A703" s="228" t="s">
        <v>3421</v>
      </c>
      <c r="B703" s="462" t="s">
        <v>498</v>
      </c>
      <c r="C703" s="491" t="s">
        <v>3422</v>
      </c>
      <c r="D703" s="477">
        <v>175</v>
      </c>
      <c r="E703" s="477">
        <v>300</v>
      </c>
      <c r="F703" s="230">
        <f>IF(E703&lt;&gt;"", ROUNDUP(E703/D703,0),"")</f>
        <v>25568.666666666668</v>
      </c>
      <c r="G703" s="487">
        <f>IF(E703&lt;&gt;"", (SQRT(D703*E703))/300, "")</f>
      </c>
      <c r="H703" s="480"/>
      <c r="I703" s="480"/>
      <c r="J703" s="480"/>
      <c r="K703" s="481"/>
      <c r="L703" s="482" t="s">
        <v>830</v>
      </c>
      <c r="M703" s="231">
        <v>44682</v>
      </c>
      <c r="N703" s="223" t="s">
        <v>503</v>
      </c>
      <c r="O703" s="608" t="s">
        <v>3423</v>
      </c>
      <c r="P703" s="259" t="s">
        <v>819</v>
      </c>
      <c r="Q703" s="566"/>
      <c r="R703" s="228" t="s">
        <v>3424</v>
      </c>
      <c r="S703" s="485">
        <v>51</v>
      </c>
    </row>
    <row x14ac:dyDescent="0.25" r="704" customHeight="1" ht="17.25">
      <c r="A704" s="228" t="s">
        <v>3425</v>
      </c>
      <c r="B704" s="21" t="s">
        <v>1953</v>
      </c>
      <c r="C704" s="491" t="s">
        <v>3426</v>
      </c>
      <c r="D704" s="477">
        <v>11</v>
      </c>
      <c r="E704" s="620"/>
      <c r="F704" s="230"/>
      <c r="G704" s="487">
        <f>IF(E704&lt;&gt;"", (SQRT(D704*E704))/300, "")</f>
      </c>
      <c r="H704" s="480"/>
      <c r="I704" s="480"/>
      <c r="J704" s="480"/>
      <c r="K704" s="481"/>
      <c r="L704" s="750" t="s">
        <v>3232</v>
      </c>
      <c r="M704" s="231">
        <v>44652</v>
      </c>
      <c r="N704" s="223" t="s">
        <v>503</v>
      </c>
      <c r="O704" s="608" t="s">
        <v>3427</v>
      </c>
      <c r="P704" s="259" t="s">
        <v>819</v>
      </c>
      <c r="Q704" s="566"/>
      <c r="R704" s="228" t="s">
        <v>3428</v>
      </c>
      <c r="S704" s="485">
        <v>50</v>
      </c>
    </row>
    <row x14ac:dyDescent="0.25" r="705" customHeight="1" ht="17.25">
      <c r="A705" s="228" t="s">
        <v>3429</v>
      </c>
      <c r="B705" s="462" t="s">
        <v>498</v>
      </c>
      <c r="C705" s="491" t="s">
        <v>3430</v>
      </c>
      <c r="D705" s="620">
        <v>6.7</v>
      </c>
      <c r="E705" s="620"/>
      <c r="F705" s="230">
        <f>IF(E705&lt;&gt;"", ROUNDUP(E705/D705,0),"")</f>
        <v>25568.666666666668</v>
      </c>
      <c r="G705" s="487">
        <f>IF(E705&lt;&gt;"", (SQRT(D705*E705))/300, "")</f>
      </c>
      <c r="H705" s="480"/>
      <c r="I705" s="480"/>
      <c r="J705" s="480"/>
      <c r="K705" s="481"/>
      <c r="L705" s="482" t="s">
        <v>2361</v>
      </c>
      <c r="M705" s="231">
        <v>44652</v>
      </c>
      <c r="N705" s="223" t="s">
        <v>503</v>
      </c>
      <c r="O705" s="608" t="s">
        <v>3431</v>
      </c>
      <c r="P705" s="259" t="s">
        <v>819</v>
      </c>
      <c r="Q705" s="566"/>
      <c r="R705" s="228" t="s">
        <v>3432</v>
      </c>
      <c r="S705" s="485">
        <v>49</v>
      </c>
    </row>
    <row x14ac:dyDescent="0.25" r="706" customHeight="1" ht="17.25">
      <c r="A706" s="228" t="s">
        <v>3433</v>
      </c>
      <c r="B706" s="21" t="s">
        <v>552</v>
      </c>
      <c r="C706" s="858"/>
      <c r="D706" s="477">
        <v>10</v>
      </c>
      <c r="E706" s="620"/>
      <c r="F706" s="230">
        <f>IF(E706&lt;&gt;"", ROUNDUP(E706/D706,0),"")</f>
        <v>25568.666666666668</v>
      </c>
      <c r="G706" s="487">
        <f>IF(E706&lt;&gt;"", (SQRT(D706*E706))/300, "")</f>
      </c>
      <c r="H706" s="480"/>
      <c r="I706" s="480"/>
      <c r="J706" s="480"/>
      <c r="K706" s="481"/>
      <c r="L706" s="482" t="s">
        <v>830</v>
      </c>
      <c r="M706" s="231">
        <v>44652</v>
      </c>
      <c r="N706" s="754" t="s">
        <v>470</v>
      </c>
      <c r="O706" s="608" t="s">
        <v>3434</v>
      </c>
      <c r="P706" s="259" t="s">
        <v>819</v>
      </c>
      <c r="Q706" s="566"/>
      <c r="R706" s="228" t="s">
        <v>3435</v>
      </c>
      <c r="S706" s="485">
        <v>48</v>
      </c>
    </row>
    <row x14ac:dyDescent="0.25" r="707" customHeight="1" ht="17.25">
      <c r="A707" s="228" t="s">
        <v>3436</v>
      </c>
      <c r="B707" s="21" t="s">
        <v>3437</v>
      </c>
      <c r="C707" s="491" t="s">
        <v>1953</v>
      </c>
      <c r="D707" s="477">
        <v>13</v>
      </c>
      <c r="E707" s="620"/>
      <c r="F707" s="230">
        <f>IF(E707&lt;&gt;"", ROUNDUP(E707/D707,0),"")</f>
        <v>25568.666666666668</v>
      </c>
      <c r="G707" s="487">
        <f>IF(E707&lt;&gt;"", (SQRT(D707*E707))/300, "")</f>
      </c>
      <c r="H707" s="480"/>
      <c r="I707" s="480"/>
      <c r="J707" s="480"/>
      <c r="K707" s="481"/>
      <c r="L707" s="482" t="s">
        <v>830</v>
      </c>
      <c r="M707" s="231">
        <v>44652</v>
      </c>
      <c r="N707" s="223" t="s">
        <v>484</v>
      </c>
      <c r="O707" s="608" t="s">
        <v>3438</v>
      </c>
      <c r="P707" s="259" t="s">
        <v>819</v>
      </c>
      <c r="Q707" s="566"/>
      <c r="R707" s="228" t="s">
        <v>3439</v>
      </c>
      <c r="S707" s="485">
        <v>47</v>
      </c>
    </row>
    <row x14ac:dyDescent="0.25" r="708" customHeight="1" ht="17.25">
      <c r="A708" s="228" t="s">
        <v>3440</v>
      </c>
      <c r="B708" s="462" t="s">
        <v>508</v>
      </c>
      <c r="C708" s="858"/>
      <c r="D708" s="477">
        <v>540</v>
      </c>
      <c r="E708" s="477">
        <v>780</v>
      </c>
      <c r="F708" s="230">
        <f>IF(E708&lt;&gt;"", ROUNDUP(E708/D708,0),"")</f>
        <v>25568.666666666668</v>
      </c>
      <c r="G708" s="487">
        <f>IF(E708&lt;&gt;"", (SQRT(D708*E708))/300, "")</f>
      </c>
      <c r="H708" s="480"/>
      <c r="I708" s="480"/>
      <c r="J708" s="480"/>
      <c r="K708" s="481"/>
      <c r="L708" s="482" t="s">
        <v>3441</v>
      </c>
      <c r="M708" s="231">
        <v>44652</v>
      </c>
      <c r="N708" s="754" t="s">
        <v>470</v>
      </c>
      <c r="O708" s="608" t="s">
        <v>3442</v>
      </c>
      <c r="P708" s="259" t="s">
        <v>819</v>
      </c>
      <c r="Q708" s="566"/>
      <c r="R708" s="228"/>
      <c r="S708" s="485">
        <v>46</v>
      </c>
    </row>
    <row x14ac:dyDescent="0.25" r="709" customHeight="1" ht="17.25">
      <c r="A709" s="228" t="s">
        <v>3443</v>
      </c>
      <c r="B709" s="462" t="s">
        <v>508</v>
      </c>
      <c r="C709" s="858"/>
      <c r="D709" s="477">
        <v>540</v>
      </c>
      <c r="E709" s="477">
        <v>780</v>
      </c>
      <c r="F709" s="230">
        <f>IF(E709&lt;&gt;"", ROUNDUP(E709/D709,0),"")</f>
        <v>25568.666666666668</v>
      </c>
      <c r="G709" s="487">
        <f>IF(E709&lt;&gt;"", (SQRT(D709*E709))/300, "")</f>
      </c>
      <c r="H709" s="480"/>
      <c r="I709" s="480"/>
      <c r="J709" s="480"/>
      <c r="K709" s="481"/>
      <c r="L709" s="482" t="s">
        <v>830</v>
      </c>
      <c r="M709" s="231">
        <v>44652</v>
      </c>
      <c r="N709" s="754" t="s">
        <v>470</v>
      </c>
      <c r="O709" s="608" t="s">
        <v>3444</v>
      </c>
      <c r="P709" s="259" t="s">
        <v>819</v>
      </c>
      <c r="Q709" s="566" t="s">
        <v>808</v>
      </c>
      <c r="R709" s="228"/>
      <c r="S709" s="485">
        <v>45</v>
      </c>
    </row>
    <row x14ac:dyDescent="0.25" r="710" customHeight="1" ht="17.25">
      <c r="A710" s="228" t="s">
        <v>3445</v>
      </c>
      <c r="B710" s="462" t="s">
        <v>498</v>
      </c>
      <c r="C710" s="858"/>
      <c r="D710" s="620">
        <v>2.7</v>
      </c>
      <c r="E710" s="620"/>
      <c r="F710" s="230">
        <f>IF(E710&lt;&gt;"", ROUNDUP(E710/D710,0),"")</f>
        <v>25568.666666666668</v>
      </c>
      <c r="G710" s="487">
        <f>IF(E710&lt;&gt;"", (SQRT(D710*E710))/300, "")</f>
      </c>
      <c r="H710" s="480"/>
      <c r="I710" s="480"/>
      <c r="J710" s="480"/>
      <c r="K710" s="481"/>
      <c r="L710" s="482" t="s">
        <v>830</v>
      </c>
      <c r="M710" s="231">
        <v>44650</v>
      </c>
      <c r="N710" s="223" t="s">
        <v>503</v>
      </c>
      <c r="O710" s="608" t="s">
        <v>3446</v>
      </c>
      <c r="P710" s="259" t="s">
        <v>819</v>
      </c>
      <c r="Q710" s="566"/>
      <c r="R710" s="228" t="s">
        <v>3447</v>
      </c>
      <c r="S710" s="485">
        <v>44</v>
      </c>
    </row>
    <row x14ac:dyDescent="0.25" r="711" customHeight="1" ht="17.25">
      <c r="A711" s="228" t="s">
        <v>3448</v>
      </c>
      <c r="B711" s="21" t="s">
        <v>1106</v>
      </c>
      <c r="C711" s="858" t="s">
        <v>3449</v>
      </c>
      <c r="D711" s="477">
        <v>16</v>
      </c>
      <c r="E711" s="620"/>
      <c r="F711" s="230">
        <f>IF(E711&lt;&gt;"", ROUNDUP(E711/D711,0),"")</f>
        <v>25568.666666666668</v>
      </c>
      <c r="G711" s="487">
        <f>IF(E711&lt;&gt;"", (SQRT(D711*E711))/300, "")</f>
      </c>
      <c r="H711" s="480"/>
      <c r="I711" s="480"/>
      <c r="J711" s="480"/>
      <c r="K711" s="481"/>
      <c r="L711" s="482" t="s">
        <v>3450</v>
      </c>
      <c r="M711" s="231">
        <v>44650</v>
      </c>
      <c r="N711" s="223" t="s">
        <v>503</v>
      </c>
      <c r="O711" s="608" t="s">
        <v>3451</v>
      </c>
      <c r="P711" s="259" t="s">
        <v>819</v>
      </c>
      <c r="Q711" s="566"/>
      <c r="R711" s="228" t="s">
        <v>3452</v>
      </c>
      <c r="S711" s="485">
        <v>43</v>
      </c>
    </row>
    <row x14ac:dyDescent="0.25" r="712" customHeight="1" ht="17.25">
      <c r="A712" s="228" t="s">
        <v>3453</v>
      </c>
      <c r="B712" s="21" t="s">
        <v>3047</v>
      </c>
      <c r="C712" s="491" t="s">
        <v>3454</v>
      </c>
      <c r="D712" s="477">
        <v>10</v>
      </c>
      <c r="E712" s="620"/>
      <c r="F712" s="230">
        <f>IF(E712&lt;&gt;"", ROUNDUP(E712/D712,0),"")</f>
        <v>25568.666666666668</v>
      </c>
      <c r="G712" s="487">
        <f>IF(E712&lt;&gt;"", (SQRT(D712*E712))/300, "")</f>
      </c>
      <c r="H712" s="480"/>
      <c r="I712" s="480"/>
      <c r="J712" s="480"/>
      <c r="K712" s="481"/>
      <c r="L712" s="482" t="s">
        <v>830</v>
      </c>
      <c r="M712" s="231">
        <v>44621</v>
      </c>
      <c r="N712" s="223" t="s">
        <v>503</v>
      </c>
      <c r="O712" s="608" t="s">
        <v>3177</v>
      </c>
      <c r="P712" s="259" t="s">
        <v>819</v>
      </c>
      <c r="Q712" s="566"/>
      <c r="R712" s="228" t="s">
        <v>3455</v>
      </c>
      <c r="S712" s="485">
        <v>42</v>
      </c>
    </row>
    <row x14ac:dyDescent="0.25" r="713" customHeight="1" ht="17.25">
      <c r="A713" s="541" t="s">
        <v>3456</v>
      </c>
      <c r="B713" s="869" t="s">
        <v>498</v>
      </c>
      <c r="C713" s="870"/>
      <c r="D713" s="544">
        <v>13</v>
      </c>
      <c r="E713" s="862"/>
      <c r="F713" s="545">
        <f>IF(E713&lt;&gt;"", ROUNDUP(E713/D713,0),"")</f>
        <v>25568.666666666668</v>
      </c>
      <c r="G713" s="765">
        <f>IF(E713&lt;&gt;"", (SQRT(D713*E713))/300, "")</f>
      </c>
      <c r="H713" s="838"/>
      <c r="I713" s="838"/>
      <c r="J713" s="838"/>
      <c r="K713" s="547"/>
      <c r="L713" s="871" t="s">
        <v>3457</v>
      </c>
      <c r="M713" s="549">
        <v>44562</v>
      </c>
      <c r="N713" s="550" t="s">
        <v>503</v>
      </c>
      <c r="O713" s="767" t="s">
        <v>3458</v>
      </c>
      <c r="P713" s="841" t="s">
        <v>819</v>
      </c>
      <c r="Q713" s="551"/>
      <c r="R713" s="541" t="s">
        <v>3459</v>
      </c>
      <c r="S713" s="553">
        <v>41</v>
      </c>
    </row>
    <row x14ac:dyDescent="0.25" r="714" customHeight="1" ht="17.25">
      <c r="A714" s="228" t="s">
        <v>3460</v>
      </c>
      <c r="B714" s="21" t="s">
        <v>2093</v>
      </c>
      <c r="C714" s="491" t="s">
        <v>3461</v>
      </c>
      <c r="D714" s="872">
        <v>200</v>
      </c>
      <c r="E714" s="868"/>
      <c r="F714" s="230">
        <f>IF(E714&lt;&gt;"", ROUNDUP(E714/D714,0),"")</f>
        <v>25568.666666666668</v>
      </c>
      <c r="G714" s="487">
        <f>IF(E714&lt;&gt;"", (SQRT(D714*E714))/300, "")</f>
      </c>
      <c r="H714" s="480"/>
      <c r="I714" s="480"/>
      <c r="J714" s="480"/>
      <c r="K714" s="481"/>
      <c r="L714" s="482" t="s">
        <v>830</v>
      </c>
      <c r="M714" s="231">
        <v>44501</v>
      </c>
      <c r="N714" s="223" t="s">
        <v>503</v>
      </c>
      <c r="O714" s="608" t="s">
        <v>3462</v>
      </c>
      <c r="P714" s="259" t="s">
        <v>819</v>
      </c>
      <c r="Q714" s="566"/>
      <c r="R714" s="228" t="s">
        <v>3463</v>
      </c>
      <c r="S714" s="485">
        <v>40</v>
      </c>
    </row>
    <row x14ac:dyDescent="0.25" r="715" customHeight="1" ht="17.25">
      <c r="A715" s="228" t="s">
        <v>3464</v>
      </c>
      <c r="B715" s="462" t="s">
        <v>556</v>
      </c>
      <c r="C715" s="33"/>
      <c r="D715" s="477">
        <v>70</v>
      </c>
      <c r="E715" s="477">
        <v>1400</v>
      </c>
      <c r="F715" s="230">
        <f>IF(E715&lt;&gt;"", ROUNDUP(E715/D715,0),"")</f>
        <v>25568.666666666668</v>
      </c>
      <c r="G715" s="479">
        <f>IF(E715&lt;&gt;"", (SQRT(D715*E715))/300, "")</f>
      </c>
      <c r="H715" s="481">
        <v>67.5</v>
      </c>
      <c r="I715" s="481"/>
      <c r="J715" s="481"/>
      <c r="K715" s="481"/>
      <c r="L715" s="482" t="s">
        <v>830</v>
      </c>
      <c r="M715" s="231">
        <v>44621</v>
      </c>
      <c r="N715" s="754" t="s">
        <v>470</v>
      </c>
      <c r="O715" s="873" t="s">
        <v>3465</v>
      </c>
      <c r="P715" s="228" t="s">
        <v>819</v>
      </c>
      <c r="Q715" s="566" t="s">
        <v>808</v>
      </c>
      <c r="R715" s="228" t="s">
        <v>3466</v>
      </c>
      <c r="S715" s="485">
        <v>39</v>
      </c>
    </row>
    <row x14ac:dyDescent="0.25" r="716" customHeight="1" ht="17.25">
      <c r="A716" s="228" t="s">
        <v>3467</v>
      </c>
      <c r="B716" s="21" t="s">
        <v>595</v>
      </c>
      <c r="C716" s="491" t="s">
        <v>3468</v>
      </c>
      <c r="D716" s="477">
        <v>20</v>
      </c>
      <c r="E716" s="620"/>
      <c r="F716" s="230">
        <f>IF(E716&lt;&gt;"", ROUNDUP(E716/D716,0),"")</f>
        <v>25568.666666666668</v>
      </c>
      <c r="G716" s="487">
        <f>IF(E716&lt;&gt;"", (SQRT(D716*E716))/300, "")</f>
      </c>
      <c r="H716" s="480"/>
      <c r="I716" s="480"/>
      <c r="J716" s="480"/>
      <c r="K716" s="481"/>
      <c r="L716" s="482" t="s">
        <v>830</v>
      </c>
      <c r="M716" s="231">
        <v>44593</v>
      </c>
      <c r="N716" s="223" t="s">
        <v>503</v>
      </c>
      <c r="O716" s="608" t="s">
        <v>3469</v>
      </c>
      <c r="P716" s="259" t="s">
        <v>819</v>
      </c>
      <c r="Q716" s="566"/>
      <c r="R716" s="228" t="s">
        <v>3470</v>
      </c>
      <c r="S716" s="485">
        <v>38</v>
      </c>
    </row>
    <row x14ac:dyDescent="0.25" r="717" customHeight="1" ht="17.25">
      <c r="A717" s="228" t="s">
        <v>3471</v>
      </c>
      <c r="B717" s="462" t="s">
        <v>1039</v>
      </c>
      <c r="C717" s="858"/>
      <c r="D717" s="477">
        <v>260</v>
      </c>
      <c r="E717" s="620"/>
      <c r="F717" s="230"/>
      <c r="G717" s="487">
        <f>IF(E717&lt;&gt;"", (SQRT(D717*E717))/300, "")</f>
      </c>
      <c r="H717" s="480"/>
      <c r="I717" s="480"/>
      <c r="J717" s="480"/>
      <c r="K717" s="481"/>
      <c r="L717" s="482" t="s">
        <v>830</v>
      </c>
      <c r="M717" s="231">
        <v>44531</v>
      </c>
      <c r="N717" s="223" t="s">
        <v>503</v>
      </c>
      <c r="O717" s="608" t="s">
        <v>3472</v>
      </c>
      <c r="P717" s="259" t="s">
        <v>819</v>
      </c>
      <c r="Q717" s="566"/>
      <c r="R717" s="228"/>
      <c r="S717" s="485">
        <v>37</v>
      </c>
    </row>
    <row x14ac:dyDescent="0.25" r="718" customHeight="1" ht="17.25">
      <c r="A718" s="228" t="s">
        <v>3473</v>
      </c>
      <c r="B718" s="462" t="s">
        <v>498</v>
      </c>
      <c r="C718" s="858"/>
      <c r="D718" s="620">
        <v>7.5</v>
      </c>
      <c r="E718" s="620"/>
      <c r="F718" s="230">
        <f>IF(E718&lt;&gt;"", ROUNDUP(E718/D718,0),"")</f>
        <v>25568.666666666668</v>
      </c>
      <c r="G718" s="487">
        <f>IF(E718&lt;&gt;"", (SQRT(D718*E718))/300, "")</f>
      </c>
      <c r="H718" s="480"/>
      <c r="I718" s="480"/>
      <c r="J718" s="480"/>
      <c r="K718" s="481"/>
      <c r="L718" s="482" t="s">
        <v>830</v>
      </c>
      <c r="M718" s="231">
        <v>44531</v>
      </c>
      <c r="N718" s="223" t="s">
        <v>503</v>
      </c>
      <c r="O718" s="608" t="s">
        <v>3474</v>
      </c>
      <c r="P718" s="259" t="s">
        <v>819</v>
      </c>
      <c r="Q718" s="566"/>
      <c r="R718" s="228" t="s">
        <v>3475</v>
      </c>
      <c r="S718" s="485">
        <v>36</v>
      </c>
    </row>
    <row x14ac:dyDescent="0.25" r="719" customHeight="1" ht="17.25">
      <c r="A719" s="228" t="s">
        <v>3476</v>
      </c>
      <c r="B719" s="462" t="s">
        <v>498</v>
      </c>
      <c r="C719" s="33"/>
      <c r="D719" s="477">
        <v>1100</v>
      </c>
      <c r="E719" s="620"/>
      <c r="F719" s="230">
        <f>IF(E719&lt;&gt;"", ROUNDUP(E719/D719,0),"")</f>
        <v>25568.666666666668</v>
      </c>
      <c r="G719" s="487">
        <f>IF(E719&lt;&gt;"", (SQRT(D719*E719))/300, "")</f>
      </c>
      <c r="H719" s="480"/>
      <c r="I719" s="480"/>
      <c r="J719" s="480"/>
      <c r="K719" s="481"/>
      <c r="L719" s="482" t="s">
        <v>830</v>
      </c>
      <c r="M719" s="231">
        <v>44531</v>
      </c>
      <c r="N719" s="223" t="s">
        <v>503</v>
      </c>
      <c r="O719" s="608" t="s">
        <v>3477</v>
      </c>
      <c r="P719" s="259" t="s">
        <v>819</v>
      </c>
      <c r="Q719" s="566"/>
      <c r="R719" s="228" t="s">
        <v>3478</v>
      </c>
      <c r="S719" s="485">
        <v>35</v>
      </c>
    </row>
    <row x14ac:dyDescent="0.25" r="720" customHeight="1" ht="17.25">
      <c r="A720" s="228" t="s">
        <v>3479</v>
      </c>
      <c r="B720" s="462" t="s">
        <v>556</v>
      </c>
      <c r="C720" s="33"/>
      <c r="D720" s="477">
        <v>280</v>
      </c>
      <c r="E720" s="477">
        <v>300</v>
      </c>
      <c r="F720" s="230">
        <f>IF(E720&lt;&gt;"", ROUNDUP(E720/D720,0),"")</f>
        <v>25568.666666666668</v>
      </c>
      <c r="G720" s="487">
        <f>IF(E720&lt;&gt;"", (SQRT(D720*E720))/300, "")</f>
      </c>
      <c r="H720" s="656">
        <v>60</v>
      </c>
      <c r="I720" s="480"/>
      <c r="J720" s="480"/>
      <c r="K720" s="481"/>
      <c r="L720" s="482" t="s">
        <v>830</v>
      </c>
      <c r="M720" s="231">
        <v>44531</v>
      </c>
      <c r="N720" s="754" t="s">
        <v>470</v>
      </c>
      <c r="O720" s="608" t="s">
        <v>3480</v>
      </c>
      <c r="P720" s="259" t="s">
        <v>819</v>
      </c>
      <c r="Q720" s="566" t="s">
        <v>808</v>
      </c>
      <c r="R720" s="609" t="s">
        <v>3481</v>
      </c>
      <c r="S720" s="485">
        <v>34</v>
      </c>
    </row>
    <row x14ac:dyDescent="0.25" r="721" customHeight="1" ht="17.25">
      <c r="A721" s="228" t="s">
        <v>3482</v>
      </c>
      <c r="B721" s="462" t="s">
        <v>508</v>
      </c>
      <c r="C721" s="858"/>
      <c r="D721" s="477">
        <v>1200</v>
      </c>
      <c r="E721" s="620"/>
      <c r="F721" s="230">
        <f>IF(E721&lt;&gt;"", ROUNDUP(E721/D721,0),"")</f>
        <v>25568.666666666668</v>
      </c>
      <c r="G721" s="487">
        <f>IF(E721&lt;&gt;"", (SQRT(D721*E721))/300, "")</f>
      </c>
      <c r="H721" s="480"/>
      <c r="I721" s="480"/>
      <c r="J721" s="480"/>
      <c r="K721" s="481"/>
      <c r="L721" s="482" t="s">
        <v>830</v>
      </c>
      <c r="M721" s="231">
        <v>44531</v>
      </c>
      <c r="N721" s="754" t="s">
        <v>470</v>
      </c>
      <c r="O721" s="608" t="s">
        <v>3483</v>
      </c>
      <c r="P721" s="259" t="s">
        <v>802</v>
      </c>
      <c r="Q721" s="566"/>
      <c r="R721" s="228"/>
      <c r="S721" s="485">
        <v>33</v>
      </c>
    </row>
    <row x14ac:dyDescent="0.25" r="722" customHeight="1" ht="17.25">
      <c r="A722" s="228" t="s">
        <v>3484</v>
      </c>
      <c r="B722" s="21" t="s">
        <v>523</v>
      </c>
      <c r="C722" s="858"/>
      <c r="D722" s="477">
        <v>52</v>
      </c>
      <c r="E722" s="477">
        <v>400</v>
      </c>
      <c r="F722" s="230">
        <f>IF(E722&lt;&gt;"", ROUNDUP(E722/D722,0),"")</f>
        <v>25568.666666666668</v>
      </c>
      <c r="G722" s="487">
        <f>IF(E722&lt;&gt;"", (SQRT(D722*E722))/300, "")</f>
      </c>
      <c r="H722" s="480"/>
      <c r="I722" s="480"/>
      <c r="J722" s="480"/>
      <c r="K722" s="481"/>
      <c r="L722" s="482" t="s">
        <v>830</v>
      </c>
      <c r="M722" s="231">
        <v>44531</v>
      </c>
      <c r="N722" s="754" t="s">
        <v>470</v>
      </c>
      <c r="O722" s="608" t="s">
        <v>3485</v>
      </c>
      <c r="P722" s="259" t="s">
        <v>819</v>
      </c>
      <c r="Q722" s="566"/>
      <c r="R722" s="228" t="s">
        <v>3486</v>
      </c>
      <c r="S722" s="485">
        <v>32</v>
      </c>
    </row>
    <row x14ac:dyDescent="0.25" r="723" customHeight="1" ht="17.25">
      <c r="A723" s="228" t="s">
        <v>3487</v>
      </c>
      <c r="B723" s="462" t="s">
        <v>556</v>
      </c>
      <c r="C723" s="858"/>
      <c r="D723" s="620">
        <v>7.5</v>
      </c>
      <c r="E723" s="620"/>
      <c r="F723" s="230">
        <f>IF(E723&lt;&gt;"", ROUNDUP(E723/D723,0),"")</f>
        <v>25568.666666666668</v>
      </c>
      <c r="G723" s="487">
        <f>IF(E723&lt;&gt;"", (SQRT(D723*E723))/300, "")</f>
      </c>
      <c r="H723" s="480"/>
      <c r="I723" s="480"/>
      <c r="J723" s="480"/>
      <c r="K723" s="481"/>
      <c r="L723" s="482" t="s">
        <v>830</v>
      </c>
      <c r="M723" s="231">
        <v>44531</v>
      </c>
      <c r="N723" s="754" t="s">
        <v>470</v>
      </c>
      <c r="O723" s="608" t="s">
        <v>3488</v>
      </c>
      <c r="P723" s="259" t="s">
        <v>819</v>
      </c>
      <c r="Q723" s="566"/>
      <c r="R723" s="228" t="s">
        <v>3489</v>
      </c>
      <c r="S723" s="485">
        <v>31</v>
      </c>
    </row>
    <row x14ac:dyDescent="0.25" r="724" customHeight="1" ht="17.25">
      <c r="A724" s="228" t="s">
        <v>3490</v>
      </c>
      <c r="B724" s="21" t="s">
        <v>834</v>
      </c>
      <c r="C724" s="858"/>
      <c r="D724" s="620">
        <v>1.5</v>
      </c>
      <c r="E724" s="478">
        <v>162</v>
      </c>
      <c r="F724" s="230">
        <f>IF(E724&lt;&gt;"", ROUNDUP(E724/D724,0),"")</f>
        <v>25568.666666666668</v>
      </c>
      <c r="G724" s="487">
        <f>IF(E724&lt;&gt;"", (SQRT(D724*E724))/300, "")</f>
      </c>
      <c r="H724" s="480"/>
      <c r="I724" s="480"/>
      <c r="J724" s="480"/>
      <c r="K724" s="481"/>
      <c r="L724" s="482" t="s">
        <v>830</v>
      </c>
      <c r="M724" s="231">
        <v>44501</v>
      </c>
      <c r="N724" s="223" t="s">
        <v>503</v>
      </c>
      <c r="O724" s="608" t="s">
        <v>3491</v>
      </c>
      <c r="P724" s="259" t="s">
        <v>819</v>
      </c>
      <c r="Q724" s="566"/>
      <c r="R724" s="228" t="s">
        <v>3492</v>
      </c>
      <c r="S724" s="485">
        <v>30</v>
      </c>
    </row>
    <row x14ac:dyDescent="0.25" r="725" customHeight="1" ht="17.25">
      <c r="A725" s="228" t="s">
        <v>3493</v>
      </c>
      <c r="B725" s="462" t="s">
        <v>508</v>
      </c>
      <c r="C725" s="858"/>
      <c r="D725" s="477">
        <v>480</v>
      </c>
      <c r="E725" s="620"/>
      <c r="F725" s="230">
        <f>IF(E725&lt;&gt;"", ROUNDUP(E725/D725,0),"")</f>
        <v>25568.666666666668</v>
      </c>
      <c r="G725" s="487">
        <f>IF(E725&lt;&gt;"", (SQRT(D725*E725))/300, "")</f>
      </c>
      <c r="H725" s="480"/>
      <c r="I725" s="480"/>
      <c r="J725" s="480"/>
      <c r="K725" s="481"/>
      <c r="L725" s="482" t="s">
        <v>830</v>
      </c>
      <c r="M725" s="231">
        <v>44501</v>
      </c>
      <c r="N725" s="754" t="s">
        <v>470</v>
      </c>
      <c r="O725" s="608" t="s">
        <v>3494</v>
      </c>
      <c r="P725" s="259" t="s">
        <v>819</v>
      </c>
      <c r="Q725" s="566"/>
      <c r="R725" s="609" t="s">
        <v>3495</v>
      </c>
      <c r="S725" s="485">
        <v>29</v>
      </c>
    </row>
    <row x14ac:dyDescent="0.25" r="726" customHeight="1" ht="17.25">
      <c r="A726" s="228" t="s">
        <v>3496</v>
      </c>
      <c r="B726" s="462" t="s">
        <v>508</v>
      </c>
      <c r="C726" s="858"/>
      <c r="D726" s="477">
        <v>200</v>
      </c>
      <c r="E726" s="620"/>
      <c r="F726" s="230">
        <f>IF(E726&lt;&gt;"", ROUNDUP(E726/D726,0),"")</f>
        <v>25568.666666666668</v>
      </c>
      <c r="G726" s="487">
        <f>IF(E726&lt;&gt;"", (SQRT(D726*E726))/300, "")</f>
      </c>
      <c r="H726" s="480"/>
      <c r="I726" s="480"/>
      <c r="J726" s="480"/>
      <c r="K726" s="481"/>
      <c r="L726" s="482" t="s">
        <v>830</v>
      </c>
      <c r="M726" s="231">
        <v>44501</v>
      </c>
      <c r="N726" s="754" t="s">
        <v>470</v>
      </c>
      <c r="O726" s="608" t="s">
        <v>3497</v>
      </c>
      <c r="P726" s="259" t="s">
        <v>819</v>
      </c>
      <c r="Q726" s="566"/>
      <c r="R726" s="609" t="s">
        <v>3495</v>
      </c>
      <c r="S726" s="485">
        <v>28</v>
      </c>
    </row>
    <row x14ac:dyDescent="0.25" r="727" customHeight="1" ht="17.25">
      <c r="A727" s="228" t="s">
        <v>3498</v>
      </c>
      <c r="B727" s="21" t="s">
        <v>3499</v>
      </c>
      <c r="C727" s="491" t="s">
        <v>3500</v>
      </c>
      <c r="D727" s="477">
        <v>6</v>
      </c>
      <c r="E727" s="620"/>
      <c r="F727" s="230">
        <f>IF(E727&lt;&gt;"", ROUNDUP(E727/D727,0),"")</f>
        <v>25568.666666666668</v>
      </c>
      <c r="G727" s="487">
        <f>IF(E727&lt;&gt;"", (SQRT(D727*E727))/300, "")</f>
      </c>
      <c r="H727" s="480"/>
      <c r="I727" s="480"/>
      <c r="J727" s="480"/>
      <c r="K727" s="481"/>
      <c r="L727" s="482" t="s">
        <v>830</v>
      </c>
      <c r="M727" s="231">
        <v>44501</v>
      </c>
      <c r="N727" s="223" t="s">
        <v>503</v>
      </c>
      <c r="O727" s="608" t="s">
        <v>3501</v>
      </c>
      <c r="P727" s="259" t="s">
        <v>819</v>
      </c>
      <c r="Q727" s="566"/>
      <c r="R727" s="228" t="s">
        <v>3502</v>
      </c>
      <c r="S727" s="485">
        <v>27</v>
      </c>
    </row>
    <row x14ac:dyDescent="0.25" r="728" customHeight="1" ht="17.25">
      <c r="A728" s="228" t="s">
        <v>3503</v>
      </c>
      <c r="B728" s="21" t="s">
        <v>3504</v>
      </c>
      <c r="C728" s="874"/>
      <c r="D728" s="477">
        <v>530</v>
      </c>
      <c r="E728" s="477">
        <v>270</v>
      </c>
      <c r="F728" s="230">
        <f>IF(E728&lt;&gt;"", ROUNDUP(E728/D728,0),"")</f>
        <v>25568.666666666668</v>
      </c>
      <c r="G728" s="487">
        <f>IF(E728&lt;&gt;"", (SQRT(D728*E728))/300, "")</f>
      </c>
      <c r="H728" s="480"/>
      <c r="I728" s="480"/>
      <c r="J728" s="480"/>
      <c r="K728" s="481"/>
      <c r="L728" s="482" t="s">
        <v>830</v>
      </c>
      <c r="M728" s="231">
        <v>44470</v>
      </c>
      <c r="N728" s="754" t="s">
        <v>470</v>
      </c>
      <c r="O728" s="608" t="s">
        <v>3505</v>
      </c>
      <c r="P728" s="259" t="s">
        <v>819</v>
      </c>
      <c r="Q728" s="566"/>
      <c r="R728" s="228"/>
      <c r="S728" s="485">
        <v>26</v>
      </c>
    </row>
    <row x14ac:dyDescent="0.25" r="729" customHeight="1" ht="17.25">
      <c r="A729" s="228" t="s">
        <v>3506</v>
      </c>
      <c r="B729" s="462" t="s">
        <v>508</v>
      </c>
      <c r="C729" s="858"/>
      <c r="D729" s="477">
        <v>137</v>
      </c>
      <c r="E729" s="620"/>
      <c r="F729" s="230">
        <f>IF(E729&lt;&gt;"", ROUNDUP(E729/D729,0),"")</f>
        <v>25568.666666666668</v>
      </c>
      <c r="G729" s="487">
        <f>IF(E729&lt;&gt;"", (SQRT(D729*E729))/300, "")</f>
      </c>
      <c r="H729" s="480"/>
      <c r="I729" s="480"/>
      <c r="J729" s="480"/>
      <c r="K729" s="481"/>
      <c r="L729" s="875" t="s">
        <v>3507</v>
      </c>
      <c r="M729" s="231">
        <v>44440</v>
      </c>
      <c r="N729" s="754" t="s">
        <v>470</v>
      </c>
      <c r="O729" s="608" t="s">
        <v>3508</v>
      </c>
      <c r="P729" s="259" t="s">
        <v>819</v>
      </c>
      <c r="Q729" s="566"/>
      <c r="R729" s="228" t="s">
        <v>3509</v>
      </c>
      <c r="S729" s="485">
        <v>25</v>
      </c>
    </row>
    <row x14ac:dyDescent="0.25" r="730" customHeight="1" ht="17.25">
      <c r="A730" s="228" t="s">
        <v>3510</v>
      </c>
      <c r="B730" s="21" t="s">
        <v>1591</v>
      </c>
      <c r="C730" s="858"/>
      <c r="D730" s="620">
        <v>52.4</v>
      </c>
      <c r="E730" s="620"/>
      <c r="F730" s="230">
        <f>IF(E730&lt;&gt;"", ROUNDUP(E730/D730,0),"")</f>
        <v>25568.666666666668</v>
      </c>
      <c r="G730" s="487">
        <f>IF(E730&lt;&gt;"", (SQRT(D730*E730))/300, "")</f>
      </c>
      <c r="H730" s="480"/>
      <c r="I730" s="480"/>
      <c r="J730" s="480"/>
      <c r="K730" s="481"/>
      <c r="L730" s="638" t="s">
        <v>3511</v>
      </c>
      <c r="M730" s="231">
        <v>44440</v>
      </c>
      <c r="N730" s="223" t="s">
        <v>503</v>
      </c>
      <c r="O730" s="608" t="s">
        <v>3512</v>
      </c>
      <c r="P730" s="259" t="s">
        <v>819</v>
      </c>
      <c r="Q730" s="566"/>
      <c r="R730" s="228" t="s">
        <v>3513</v>
      </c>
      <c r="S730" s="485">
        <v>24</v>
      </c>
    </row>
    <row x14ac:dyDescent="0.25" r="731" customHeight="1" ht="17.25">
      <c r="A731" s="228" t="s">
        <v>3514</v>
      </c>
      <c r="B731" s="462" t="s">
        <v>1039</v>
      </c>
      <c r="C731" s="491" t="s">
        <v>1039</v>
      </c>
      <c r="D731" s="477">
        <v>11</v>
      </c>
      <c r="E731" s="620"/>
      <c r="F731" s="230">
        <f>IF(E731&lt;&gt;"", ROUNDUP(E731/D731,0),"")</f>
        <v>25568.666666666668</v>
      </c>
      <c r="G731" s="487">
        <f>IF(E731&lt;&gt;"", (SQRT(D731*E731))/300, "")</f>
      </c>
      <c r="H731" s="480"/>
      <c r="I731" s="480"/>
      <c r="J731" s="480"/>
      <c r="K731" s="481"/>
      <c r="L731" s="875" t="s">
        <v>3515</v>
      </c>
      <c r="M731" s="231">
        <v>44440</v>
      </c>
      <c r="N731" s="223" t="s">
        <v>503</v>
      </c>
      <c r="O731" s="608" t="s">
        <v>3516</v>
      </c>
      <c r="P731" s="259" t="s">
        <v>819</v>
      </c>
      <c r="Q731" s="566"/>
      <c r="R731" s="228" t="s">
        <v>3517</v>
      </c>
      <c r="S731" s="485">
        <v>23</v>
      </c>
    </row>
    <row x14ac:dyDescent="0.25" r="732" customHeight="1" ht="17.25">
      <c r="A732" s="228" t="s">
        <v>3518</v>
      </c>
      <c r="B732" s="21" t="s">
        <v>939</v>
      </c>
      <c r="C732" s="876" t="s">
        <v>3519</v>
      </c>
      <c r="D732" s="477">
        <v>11</v>
      </c>
      <c r="E732" s="620"/>
      <c r="F732" s="230">
        <f>IF(E732&lt;&gt;"", ROUNDUP(E732/D732,0),"")</f>
        <v>25568.666666666668</v>
      </c>
      <c r="G732" s="487">
        <f>IF(E732&lt;&gt;"", (SQRT(D732*E732))/300, "")</f>
      </c>
      <c r="H732" s="480"/>
      <c r="I732" s="480"/>
      <c r="J732" s="480"/>
      <c r="K732" s="481"/>
      <c r="L732" s="875" t="s">
        <v>3515</v>
      </c>
      <c r="M732" s="231">
        <v>44440</v>
      </c>
      <c r="N732" s="223" t="s">
        <v>484</v>
      </c>
      <c r="O732" s="608" t="s">
        <v>3520</v>
      </c>
      <c r="P732" s="259" t="s">
        <v>819</v>
      </c>
      <c r="Q732" s="566"/>
      <c r="R732" s="228" t="s">
        <v>3521</v>
      </c>
      <c r="S732" s="485">
        <v>22</v>
      </c>
    </row>
    <row x14ac:dyDescent="0.25" r="733" customHeight="1" ht="17.25">
      <c r="A733" s="228" t="s">
        <v>3522</v>
      </c>
      <c r="B733" s="21" t="s">
        <v>1106</v>
      </c>
      <c r="C733" s="858"/>
      <c r="D733" s="620">
        <v>0.7</v>
      </c>
      <c r="E733" s="620"/>
      <c r="F733" s="230">
        <f>IF(E733&lt;&gt;"", ROUNDUP(E733/D733,0),"")</f>
        <v>25568.666666666668</v>
      </c>
      <c r="G733" s="487">
        <f>IF(E733&lt;&gt;"", (SQRT(D733*E733))/300, "")</f>
      </c>
      <c r="H733" s="480"/>
      <c r="I733" s="480"/>
      <c r="J733" s="480"/>
      <c r="K733" s="481"/>
      <c r="L733" s="482" t="s">
        <v>3450</v>
      </c>
      <c r="M733" s="231">
        <v>44650</v>
      </c>
      <c r="N733" s="223" t="s">
        <v>503</v>
      </c>
      <c r="O733" s="608" t="s">
        <v>3523</v>
      </c>
      <c r="P733" s="259" t="s">
        <v>819</v>
      </c>
      <c r="Q733" s="566"/>
      <c r="R733" s="609" t="s">
        <v>3524</v>
      </c>
      <c r="S733" s="485">
        <v>21</v>
      </c>
    </row>
    <row x14ac:dyDescent="0.25" r="734" customHeight="1" ht="17.25">
      <c r="A734" s="228" t="s">
        <v>3525</v>
      </c>
      <c r="B734" s="462" t="s">
        <v>490</v>
      </c>
      <c r="C734" s="491" t="s">
        <v>691</v>
      </c>
      <c r="D734" s="477">
        <v>12</v>
      </c>
      <c r="E734" s="620"/>
      <c r="F734" s="230">
        <f>IF(E734&lt;&gt;"", ROUNDUP(E734/D734,0),"")</f>
        <v>25568.666666666668</v>
      </c>
      <c r="G734" s="487">
        <f>IF(E734&lt;&gt;"", (SQRT(D734*E734))/300, "")</f>
      </c>
      <c r="H734" s="480"/>
      <c r="I734" s="480"/>
      <c r="J734" s="480"/>
      <c r="K734" s="481"/>
      <c r="L734" s="482" t="s">
        <v>2361</v>
      </c>
      <c r="M734" s="231">
        <v>44409</v>
      </c>
      <c r="N734" s="223" t="s">
        <v>503</v>
      </c>
      <c r="O734" s="608" t="s">
        <v>3526</v>
      </c>
      <c r="P734" s="259" t="s">
        <v>819</v>
      </c>
      <c r="Q734" s="566"/>
      <c r="R734" s="228" t="s">
        <v>3452</v>
      </c>
      <c r="S734" s="485">
        <v>20</v>
      </c>
    </row>
    <row x14ac:dyDescent="0.25" r="735" customHeight="1" ht="17.25">
      <c r="A735" s="228" t="s">
        <v>3527</v>
      </c>
      <c r="B735" s="21" t="s">
        <v>864</v>
      </c>
      <c r="C735" s="33" t="s">
        <v>3528</v>
      </c>
      <c r="D735" s="477">
        <v>178</v>
      </c>
      <c r="E735" s="477">
        <v>300</v>
      </c>
      <c r="F735" s="230">
        <f>IF(E735&lt;&gt;"", ROUNDUP(E735/D735,0),"")</f>
        <v>25568.666666666668</v>
      </c>
      <c r="G735" s="487">
        <f>IF(E735&lt;&gt;"", (SQRT(D735*E735))/300, "")</f>
      </c>
      <c r="H735" s="480"/>
      <c r="I735" s="480"/>
      <c r="J735" s="480"/>
      <c r="K735" s="481"/>
      <c r="L735" s="482" t="s">
        <v>830</v>
      </c>
      <c r="M735" s="231">
        <v>44409</v>
      </c>
      <c r="N735" s="223" t="s">
        <v>503</v>
      </c>
      <c r="O735" s="608" t="s">
        <v>3378</v>
      </c>
      <c r="P735" s="259" t="s">
        <v>819</v>
      </c>
      <c r="Q735" s="566"/>
      <c r="R735" s="228" t="s">
        <v>3529</v>
      </c>
      <c r="S735" s="485">
        <v>19</v>
      </c>
    </row>
    <row x14ac:dyDescent="0.25" r="736" customHeight="1" ht="17.25">
      <c r="A736" s="228" t="s">
        <v>3530</v>
      </c>
      <c r="B736" s="462" t="s">
        <v>498</v>
      </c>
      <c r="C736" s="858"/>
      <c r="D736" s="620">
        <v>9.4</v>
      </c>
      <c r="E736" s="620"/>
      <c r="F736" s="230">
        <f>IF(E736&lt;&gt;"", ROUNDUP(E736/D736,0),"")</f>
        <v>25568.666666666668</v>
      </c>
      <c r="G736" s="487">
        <f>IF(E736&lt;&gt;"", (SQRT(D736*E736))/300, "")</f>
      </c>
      <c r="H736" s="480"/>
      <c r="I736" s="480"/>
      <c r="J736" s="480"/>
      <c r="K736" s="481"/>
      <c r="L736" s="750" t="s">
        <v>3408</v>
      </c>
      <c r="M736" s="231">
        <v>44378</v>
      </c>
      <c r="N736" s="223" t="s">
        <v>503</v>
      </c>
      <c r="O736" s="608" t="s">
        <v>3531</v>
      </c>
      <c r="P736" s="259" t="s">
        <v>819</v>
      </c>
      <c r="Q736" s="566"/>
      <c r="R736" s="228" t="s">
        <v>3521</v>
      </c>
      <c r="S736" s="485">
        <v>18</v>
      </c>
    </row>
    <row x14ac:dyDescent="0.25" r="737" customHeight="1" ht="17.25">
      <c r="A737" s="228" t="s">
        <v>3532</v>
      </c>
      <c r="B737" s="21" t="s">
        <v>595</v>
      </c>
      <c r="C737" s="491" t="s">
        <v>3468</v>
      </c>
      <c r="D737" s="477">
        <v>6</v>
      </c>
      <c r="E737" s="477">
        <v>402</v>
      </c>
      <c r="F737" s="230">
        <f>IF(E737&lt;&gt;"", ROUNDUP(E737/D737,0),"")</f>
        <v>25568.666666666668</v>
      </c>
      <c r="G737" s="487">
        <f>IF(E737&lt;&gt;"", (SQRT(D737*E737))/300, "")</f>
      </c>
      <c r="H737" s="480"/>
      <c r="I737" s="480"/>
      <c r="J737" s="480"/>
      <c r="K737" s="481"/>
      <c r="L737" s="482" t="s">
        <v>830</v>
      </c>
      <c r="M737" s="231">
        <v>44348</v>
      </c>
      <c r="N737" s="223" t="s">
        <v>503</v>
      </c>
      <c r="O737" s="608" t="s">
        <v>3533</v>
      </c>
      <c r="P737" s="259" t="s">
        <v>819</v>
      </c>
      <c r="Q737" s="566"/>
      <c r="R737" s="228" t="s">
        <v>3534</v>
      </c>
      <c r="S737" s="485">
        <v>17</v>
      </c>
    </row>
    <row x14ac:dyDescent="0.25" r="738" customHeight="1" ht="17.25">
      <c r="A738" s="228" t="s">
        <v>586</v>
      </c>
      <c r="B738" s="462" t="s">
        <v>508</v>
      </c>
      <c r="C738" s="876" t="s">
        <v>3418</v>
      </c>
      <c r="D738" s="477">
        <v>137</v>
      </c>
      <c r="E738" s="620"/>
      <c r="F738" s="230">
        <f>IF(E738&lt;&gt;"", ROUNDUP(E738/D738,0),"")</f>
        <v>25568.666666666668</v>
      </c>
      <c r="G738" s="487">
        <f>IF(E738&lt;&gt;"", (SQRT(D738*E738))/300, "")</f>
      </c>
      <c r="H738" s="480"/>
      <c r="I738" s="480"/>
      <c r="J738" s="480"/>
      <c r="K738" s="481"/>
      <c r="L738" s="875" t="s">
        <v>3507</v>
      </c>
      <c r="M738" s="231">
        <v>44348</v>
      </c>
      <c r="N738" s="754" t="s">
        <v>470</v>
      </c>
      <c r="O738" s="608" t="s">
        <v>3419</v>
      </c>
      <c r="P738" s="259" t="s">
        <v>819</v>
      </c>
      <c r="Q738" s="566" t="s">
        <v>808</v>
      </c>
      <c r="R738" s="228" t="s">
        <v>3521</v>
      </c>
      <c r="S738" s="485">
        <v>16</v>
      </c>
    </row>
    <row x14ac:dyDescent="0.25" r="739" customHeight="1" ht="17.25">
      <c r="A739" s="228" t="s">
        <v>3535</v>
      </c>
      <c r="B739" s="21" t="s">
        <v>3536</v>
      </c>
      <c r="C739" s="491" t="s">
        <v>3537</v>
      </c>
      <c r="D739" s="620">
        <v>1.3</v>
      </c>
      <c r="E739" s="620"/>
      <c r="F739" s="230">
        <f>IF(E739&lt;&gt;"", ROUNDUP(E739/D739,0),"")</f>
        <v>25568.666666666668</v>
      </c>
      <c r="G739" s="487">
        <f>IF(E739&lt;&gt;"", (SQRT(D739*E739))/300, "")</f>
      </c>
      <c r="H739" s="480"/>
      <c r="I739" s="480"/>
      <c r="J739" s="480"/>
      <c r="K739" s="481"/>
      <c r="L739" s="482" t="s">
        <v>830</v>
      </c>
      <c r="M739" s="231">
        <v>44228</v>
      </c>
      <c r="N739" s="223" t="s">
        <v>503</v>
      </c>
      <c r="O739" s="608" t="s">
        <v>3538</v>
      </c>
      <c r="P739" s="259" t="s">
        <v>819</v>
      </c>
      <c r="Q739" s="566"/>
      <c r="R739" s="228" t="s">
        <v>3539</v>
      </c>
      <c r="S739" s="485">
        <v>15</v>
      </c>
    </row>
    <row x14ac:dyDescent="0.25" r="740" customHeight="1" ht="20.25">
      <c r="A740" s="541" t="s">
        <v>3540</v>
      </c>
      <c r="B740" s="869" t="s">
        <v>508</v>
      </c>
      <c r="C740" s="877"/>
      <c r="D740" s="544">
        <v>1600</v>
      </c>
      <c r="E740" s="544">
        <v>576</v>
      </c>
      <c r="F740" s="878">
        <f>IF(E740&lt;&gt;"", ROUNDUP(E740/D740,0),"")</f>
        <v>25568.666666666668</v>
      </c>
      <c r="G740" s="879">
        <f>IF(E740&lt;&gt;"", (SQRT(D740*E740))/300, "")</f>
      </c>
      <c r="H740" s="838"/>
      <c r="I740" s="838"/>
      <c r="J740" s="838"/>
      <c r="K740" s="547"/>
      <c r="L740" s="880" t="s">
        <v>3541</v>
      </c>
      <c r="M740" s="549">
        <v>44197</v>
      </c>
      <c r="N740" s="550" t="s">
        <v>503</v>
      </c>
      <c r="O740" s="767" t="s">
        <v>3542</v>
      </c>
      <c r="P740" s="841" t="s">
        <v>802</v>
      </c>
      <c r="Q740" s="551"/>
      <c r="R740" s="541"/>
      <c r="S740" s="553">
        <v>14</v>
      </c>
    </row>
    <row x14ac:dyDescent="0.25" r="741" customHeight="1" ht="17.25">
      <c r="A741" s="228" t="s">
        <v>160</v>
      </c>
      <c r="B741" s="462" t="s">
        <v>490</v>
      </c>
      <c r="C741" s="33" t="s">
        <v>3528</v>
      </c>
      <c r="D741" s="477">
        <v>175</v>
      </c>
      <c r="E741" s="477">
        <v>300</v>
      </c>
      <c r="F741" s="230">
        <f>IF(E741&lt;&gt;"", ROUNDUP(E741/D741,0),"")</f>
        <v>25568.666666666668</v>
      </c>
      <c r="G741" s="479">
        <f>IF(E741&lt;&gt;"", (SQRT(D741*E741))/300, "")</f>
      </c>
      <c r="H741" s="481">
        <v>43.9</v>
      </c>
      <c r="I741" s="481"/>
      <c r="J741" s="481"/>
      <c r="K741" s="481"/>
      <c r="L741" s="482" t="s">
        <v>830</v>
      </c>
      <c r="M741" s="231">
        <v>43952</v>
      </c>
      <c r="N741" s="223" t="s">
        <v>503</v>
      </c>
      <c r="O741" s="873" t="s">
        <v>196</v>
      </c>
      <c r="P741" s="228" t="s">
        <v>819</v>
      </c>
      <c r="Q741" s="566" t="s">
        <v>808</v>
      </c>
      <c r="R741" s="609" t="s">
        <v>3543</v>
      </c>
      <c r="S741" s="485">
        <v>13</v>
      </c>
    </row>
    <row x14ac:dyDescent="0.25" r="742" customHeight="1" ht="17.25">
      <c r="A742" s="228" t="s">
        <v>3544</v>
      </c>
      <c r="B742" s="462" t="s">
        <v>498</v>
      </c>
      <c r="C742" s="491" t="s">
        <v>3545</v>
      </c>
      <c r="D742" s="477">
        <v>11</v>
      </c>
      <c r="E742" s="477">
        <v>2200</v>
      </c>
      <c r="F742" s="230">
        <f>IF(E742&lt;&gt;"", ROUNDUP(E742/D742,0),"")</f>
        <v>25568.666666666668</v>
      </c>
      <c r="G742" s="487">
        <f>IF(E742&lt;&gt;"", (SQRT(D742*E742))/300, "")</f>
      </c>
      <c r="H742" s="480"/>
      <c r="I742" s="480"/>
      <c r="J742" s="480"/>
      <c r="K742" s="481"/>
      <c r="L742" s="482" t="s">
        <v>830</v>
      </c>
      <c r="M742" s="231">
        <v>43922</v>
      </c>
      <c r="N742" s="223" t="s">
        <v>503</v>
      </c>
      <c r="O742" s="608" t="s">
        <v>3546</v>
      </c>
      <c r="P742" s="259" t="s">
        <v>819</v>
      </c>
      <c r="Q742" s="566"/>
      <c r="R742" s="609" t="s">
        <v>3547</v>
      </c>
      <c r="S742" s="485">
        <v>12</v>
      </c>
    </row>
    <row x14ac:dyDescent="0.25" r="743" customHeight="1" ht="20.25">
      <c r="A743" s="228" t="s">
        <v>3548</v>
      </c>
      <c r="B743" s="21" t="s">
        <v>3549</v>
      </c>
      <c r="C743" s="846"/>
      <c r="D743" s="620">
        <v>0.212</v>
      </c>
      <c r="E743" s="620">
        <v>0.1</v>
      </c>
      <c r="F743" s="230">
        <f>IF(E743&lt;&gt;"", ROUNDUP(E743/D743,0),"")</f>
        <v>25568.666666666668</v>
      </c>
      <c r="G743" s="487">
        <f>IF(E743&lt;&gt;"", (SQRT(D743*E743))/300, "")</f>
      </c>
      <c r="H743" s="480"/>
      <c r="I743" s="480"/>
      <c r="J743" s="480"/>
      <c r="K743" s="481"/>
      <c r="L743" s="489" t="s">
        <v>2025</v>
      </c>
      <c r="M743" s="231">
        <v>43891</v>
      </c>
      <c r="N743" s="754" t="s">
        <v>470</v>
      </c>
      <c r="O743" s="608" t="s">
        <v>3550</v>
      </c>
      <c r="P743" s="259" t="s">
        <v>819</v>
      </c>
      <c r="Q743" s="566"/>
      <c r="R743" s="228" t="s">
        <v>3551</v>
      </c>
      <c r="S743" s="485">
        <v>11</v>
      </c>
    </row>
    <row x14ac:dyDescent="0.25" r="744" customHeight="1" ht="20.25">
      <c r="A744" s="541" t="s">
        <v>3552</v>
      </c>
      <c r="B744" s="869" t="s">
        <v>508</v>
      </c>
      <c r="C744" s="877"/>
      <c r="D744" s="862">
        <v>2.6</v>
      </c>
      <c r="E744" s="544">
        <v>10000</v>
      </c>
      <c r="F744" s="545">
        <f>IF(E744&lt;&gt;"", ROUNDUP(E744/D744,0),"")</f>
        <v>25568.666666666668</v>
      </c>
      <c r="G744" s="765">
        <f>IF(E744&lt;&gt;"", (SQRT(D744*E744))/300, "")</f>
      </c>
      <c r="H744" s="838"/>
      <c r="I744" s="838"/>
      <c r="J744" s="838"/>
      <c r="K744" s="547"/>
      <c r="L744" s="766" t="s">
        <v>830</v>
      </c>
      <c r="M744" s="549">
        <v>43831</v>
      </c>
      <c r="N744" s="839" t="s">
        <v>470</v>
      </c>
      <c r="O744" s="767" t="s">
        <v>3553</v>
      </c>
      <c r="P744" s="841" t="s">
        <v>819</v>
      </c>
      <c r="Q744" s="551" t="s">
        <v>808</v>
      </c>
      <c r="R744" s="541" t="s">
        <v>3554</v>
      </c>
      <c r="S744" s="553">
        <v>10</v>
      </c>
    </row>
    <row x14ac:dyDescent="0.25" r="745" customHeight="1" ht="17.25">
      <c r="A745" s="228" t="s">
        <v>3555</v>
      </c>
      <c r="B745" s="462" t="s">
        <v>508</v>
      </c>
      <c r="C745" s="491" t="s">
        <v>3556</v>
      </c>
      <c r="D745" s="477">
        <v>11</v>
      </c>
      <c r="E745" s="477">
        <v>1000</v>
      </c>
      <c r="F745" s="230">
        <f>IF(E745&lt;&gt;"", ROUNDUP(E745/D745,0),"")</f>
        <v>25568.666666666668</v>
      </c>
      <c r="G745" s="479">
        <f>IF(E745&lt;&gt;"", (SQRT(D745*E745))/300, "")</f>
      </c>
      <c r="H745" s="480"/>
      <c r="I745" s="480"/>
      <c r="J745" s="480"/>
      <c r="K745" s="481"/>
      <c r="L745" s="750" t="s">
        <v>3541</v>
      </c>
      <c r="M745" s="231">
        <v>43739</v>
      </c>
      <c r="N745" s="223" t="s">
        <v>503</v>
      </c>
      <c r="O745" s="608" t="s">
        <v>3557</v>
      </c>
      <c r="P745" s="259" t="s">
        <v>819</v>
      </c>
      <c r="Q745" s="566"/>
      <c r="R745" s="228" t="s">
        <v>3558</v>
      </c>
      <c r="S745" s="485">
        <v>9</v>
      </c>
    </row>
    <row x14ac:dyDescent="0.25" r="746" customHeight="1" ht="20.25">
      <c r="A746" s="228" t="s">
        <v>3559</v>
      </c>
      <c r="B746" s="21" t="s">
        <v>474</v>
      </c>
      <c r="C746" s="846"/>
      <c r="D746" s="620">
        <v>8.3</v>
      </c>
      <c r="E746" s="478">
        <v>800</v>
      </c>
      <c r="F746" s="230">
        <f>IF(E746&lt;&gt;"", ROUNDUP(E746/D746,0),"")</f>
        <v>25568.666666666668</v>
      </c>
      <c r="G746" s="479">
        <f>IF(E746&lt;&gt;"", (SQRT(D746*E746))/300, "")</f>
      </c>
      <c r="H746" s="480"/>
      <c r="I746" s="480"/>
      <c r="J746" s="480"/>
      <c r="K746" s="481"/>
      <c r="L746" s="482" t="s">
        <v>830</v>
      </c>
      <c r="M746" s="231">
        <v>43709</v>
      </c>
      <c r="N746" s="223" t="s">
        <v>503</v>
      </c>
      <c r="O746" s="608" t="s">
        <v>3560</v>
      </c>
      <c r="P746" s="259" t="s">
        <v>819</v>
      </c>
      <c r="Q746" s="484"/>
      <c r="R746" s="21"/>
      <c r="S746" s="485">
        <v>8</v>
      </c>
    </row>
    <row x14ac:dyDescent="0.25" r="747" customHeight="1" ht="20.25">
      <c r="A747" s="228" t="s">
        <v>3561</v>
      </c>
      <c r="B747" s="462" t="s">
        <v>498</v>
      </c>
      <c r="C747" s="491" t="s">
        <v>3562</v>
      </c>
      <c r="D747" s="620">
        <v>0.355</v>
      </c>
      <c r="E747" s="477">
        <v>2200</v>
      </c>
      <c r="F747" s="230">
        <f>IF(E747&lt;&gt;"", ROUNDUP(E747/D747,0),"")</f>
        <v>25568.666666666668</v>
      </c>
      <c r="G747" s="479">
        <f>IF(E747&lt;&gt;"", (SQRT(D747*E747))/300, "")</f>
      </c>
      <c r="H747" s="480">
        <v>27.9</v>
      </c>
      <c r="I747" s="480"/>
      <c r="J747" s="480"/>
      <c r="K747" s="481"/>
      <c r="L747" s="482" t="s">
        <v>830</v>
      </c>
      <c r="M747" s="231">
        <v>43647</v>
      </c>
      <c r="N747" s="223" t="s">
        <v>503</v>
      </c>
      <c r="O747" s="608" t="s">
        <v>3563</v>
      </c>
      <c r="P747" s="259" t="s">
        <v>819</v>
      </c>
      <c r="Q747" s="484"/>
      <c r="R747" s="25" t="s">
        <v>3564</v>
      </c>
      <c r="S747" s="485">
        <v>7</v>
      </c>
    </row>
    <row x14ac:dyDescent="0.25" r="748" customHeight="1" ht="17.25">
      <c r="A748" s="541" t="s">
        <v>673</v>
      </c>
      <c r="B748" s="869" t="s">
        <v>490</v>
      </c>
      <c r="C748" s="543" t="s">
        <v>3565</v>
      </c>
      <c r="D748" s="862">
        <v>1.5</v>
      </c>
      <c r="E748" s="544">
        <v>40</v>
      </c>
      <c r="F748" s="545">
        <f>IF(E748&lt;&gt;"", ROUNDUP(E748/D748,0),"")</f>
        <v>25568.666666666668</v>
      </c>
      <c r="G748" s="546">
        <f>IF(E748&lt;&gt;"", (SQRT(D748*E748))/300, "")</f>
      </c>
      <c r="H748" s="838">
        <v>32.4</v>
      </c>
      <c r="I748" s="838"/>
      <c r="J748" s="838"/>
      <c r="K748" s="547"/>
      <c r="L748" s="881" t="s">
        <v>3566</v>
      </c>
      <c r="M748" s="549">
        <v>43497</v>
      </c>
      <c r="N748" s="550" t="s">
        <v>503</v>
      </c>
      <c r="O748" s="767" t="s">
        <v>3567</v>
      </c>
      <c r="P748" s="841" t="s">
        <v>819</v>
      </c>
      <c r="Q748" s="551" t="s">
        <v>808</v>
      </c>
      <c r="R748" s="541" t="s">
        <v>3568</v>
      </c>
      <c r="S748" s="553">
        <v>6</v>
      </c>
    </row>
    <row x14ac:dyDescent="0.25" r="749" customHeight="1" ht="17.25">
      <c r="A749" s="228" t="s">
        <v>3569</v>
      </c>
      <c r="B749" s="462" t="s">
        <v>508</v>
      </c>
      <c r="C749" s="491" t="s">
        <v>3570</v>
      </c>
      <c r="D749" s="620">
        <v>0.34</v>
      </c>
      <c r="E749" s="477">
        <v>137</v>
      </c>
      <c r="F749" s="230">
        <f>IF(E749&lt;&gt;"", ROUNDUP(E749/D749,0),"")</f>
        <v>25568.666666666668</v>
      </c>
      <c r="G749" s="479">
        <f>IF(E749&lt;&gt;"", (SQRT(D749*E749))/300, "")</f>
      </c>
      <c r="H749" s="480"/>
      <c r="I749" s="480"/>
      <c r="J749" s="480"/>
      <c r="K749" s="481"/>
      <c r="L749" s="638" t="s">
        <v>3571</v>
      </c>
      <c r="M749" s="231">
        <v>43374</v>
      </c>
      <c r="N749" s="223" t="s">
        <v>503</v>
      </c>
      <c r="O749" s="608" t="s">
        <v>3572</v>
      </c>
      <c r="P749" s="259" t="s">
        <v>819</v>
      </c>
      <c r="Q749" s="566" t="s">
        <v>808</v>
      </c>
      <c r="R749" s="228" t="s">
        <v>3573</v>
      </c>
      <c r="S749" s="485">
        <v>5</v>
      </c>
    </row>
    <row x14ac:dyDescent="0.25" r="750" customHeight="1" ht="17.25">
      <c r="A750" s="228" t="s">
        <v>676</v>
      </c>
      <c r="B750" s="462" t="s">
        <v>490</v>
      </c>
      <c r="C750" s="491" t="s">
        <v>3574</v>
      </c>
      <c r="D750" s="620">
        <v>0.117</v>
      </c>
      <c r="E750" s="620">
        <v>98.4</v>
      </c>
      <c r="F750" s="230">
        <f>IF(E750&lt;&gt;"", ROUNDUP(E750/D750,0),"")</f>
        <v>25568.666666666668</v>
      </c>
      <c r="G750" s="479">
        <f>IF(E750&lt;&gt;"", (SQRT(D750*E750))/300, "")</f>
      </c>
      <c r="H750" s="480"/>
      <c r="I750" s="480"/>
      <c r="J750" s="480"/>
      <c r="K750" s="481"/>
      <c r="L750" s="489" t="s">
        <v>2025</v>
      </c>
      <c r="M750" s="231">
        <v>43252</v>
      </c>
      <c r="N750" s="223" t="s">
        <v>503</v>
      </c>
      <c r="O750" s="608" t="s">
        <v>3575</v>
      </c>
      <c r="P750" s="259" t="s">
        <v>819</v>
      </c>
      <c r="Q750" s="566" t="s">
        <v>808</v>
      </c>
      <c r="R750" s="228" t="s">
        <v>3576</v>
      </c>
      <c r="S750" s="485">
        <v>4</v>
      </c>
    </row>
    <row x14ac:dyDescent="0.25" r="751" customHeight="1" ht="17.25">
      <c r="A751" s="541" t="s">
        <v>3577</v>
      </c>
      <c r="B751" s="542" t="s">
        <v>3578</v>
      </c>
      <c r="C751" s="543" t="s">
        <v>3579</v>
      </c>
      <c r="D751" s="882">
        <v>0.034</v>
      </c>
      <c r="E751" s="883">
        <v>1.44</v>
      </c>
      <c r="F751" s="545">
        <f>IF(E751&lt;&gt;"", ROUNDUP(E751/D751,0),"")</f>
        <v>25568.666666666668</v>
      </c>
      <c r="G751" s="546">
        <f>IF(E751&lt;&gt;"", (SQRT(D751*E751))/300, "")</f>
      </c>
      <c r="H751" s="838"/>
      <c r="I751" s="838"/>
      <c r="J751" s="838"/>
      <c r="K751" s="547"/>
      <c r="L751" s="871" t="s">
        <v>3580</v>
      </c>
      <c r="M751" s="549">
        <v>43101</v>
      </c>
      <c r="N751" s="550" t="s">
        <v>503</v>
      </c>
      <c r="O751" s="884" t="s">
        <v>3581</v>
      </c>
      <c r="P751" s="841" t="s">
        <v>819</v>
      </c>
      <c r="Q751" s="551"/>
      <c r="R751" s="552" t="s">
        <v>3582</v>
      </c>
      <c r="S751" s="553">
        <v>3</v>
      </c>
    </row>
    <row x14ac:dyDescent="0.25" r="752" customHeight="1" ht="17.25">
      <c r="A752" s="228" t="s">
        <v>3583</v>
      </c>
      <c r="B752" s="462" t="s">
        <v>508</v>
      </c>
      <c r="C752" s="491" t="s">
        <v>3584</v>
      </c>
      <c r="D752" s="24">
        <v>0.213</v>
      </c>
      <c r="E752" s="24">
        <v>9.8</v>
      </c>
      <c r="F752" s="230">
        <f>IF(E752&lt;&gt;"", ROUNDUP(E752/D752,0),"")</f>
        <v>25568.666666666668</v>
      </c>
      <c r="G752" s="479">
        <f>IF(E752&lt;&gt;"", (SQRT(D752*E752))/300, "")</f>
      </c>
      <c r="H752" s="480"/>
      <c r="I752" s="480"/>
      <c r="J752" s="480"/>
      <c r="K752" s="481"/>
      <c r="L752" s="489" t="s">
        <v>2025</v>
      </c>
      <c r="M752" s="231">
        <v>42887</v>
      </c>
      <c r="N752" s="223" t="s">
        <v>503</v>
      </c>
      <c r="O752" s="615" t="s">
        <v>3585</v>
      </c>
      <c r="P752" s="259" t="s">
        <v>819</v>
      </c>
      <c r="Q752" s="566" t="s">
        <v>808</v>
      </c>
      <c r="R752" s="228" t="s">
        <v>3586</v>
      </c>
      <c r="S752" s="485">
        <v>2</v>
      </c>
    </row>
    <row x14ac:dyDescent="0.25" r="753" customHeight="1" ht="17.25">
      <c r="A753" s="228" t="s">
        <v>3587</v>
      </c>
      <c r="B753" s="462" t="s">
        <v>508</v>
      </c>
      <c r="C753" s="491" t="s">
        <v>3584</v>
      </c>
      <c r="D753" s="24">
        <v>0.065</v>
      </c>
      <c r="E753" s="24">
        <v>3.3</v>
      </c>
      <c r="F753" s="230">
        <f>IF(E753&lt;&gt;"", ROUNDUP(E753/D753,0),"")</f>
        <v>25568.666666666668</v>
      </c>
      <c r="G753" s="479">
        <f>IF(E753&lt;&gt;"", (SQRT(D753*E753))/300, "")</f>
      </c>
      <c r="H753" s="480"/>
      <c r="I753" s="480"/>
      <c r="J753" s="480"/>
      <c r="K753" s="481"/>
      <c r="L753" s="489" t="s">
        <v>2025</v>
      </c>
      <c r="M753" s="231">
        <v>42887</v>
      </c>
      <c r="N753" s="223" t="s">
        <v>503</v>
      </c>
      <c r="O753" s="615" t="s">
        <v>3585</v>
      </c>
      <c r="P753" s="259" t="s">
        <v>819</v>
      </c>
      <c r="Q753" s="566" t="s">
        <v>808</v>
      </c>
      <c r="R753" s="228" t="s">
        <v>3588</v>
      </c>
      <c r="S753" s="485">
        <v>1</v>
      </c>
    </row>
    <row x14ac:dyDescent="0.25" r="754" customHeight="1" ht="17.25">
      <c r="A754" s="25" t="s">
        <v>678</v>
      </c>
      <c r="B754" s="885"/>
      <c r="C754" s="858"/>
      <c r="D754" s="24"/>
      <c r="E754" s="24"/>
      <c r="F754" s="230"/>
      <c r="G754" s="479"/>
      <c r="H754" s="480"/>
      <c r="I754" s="480"/>
      <c r="J754" s="480"/>
      <c r="K754" s="886"/>
      <c r="L754" s="887"/>
      <c r="M754" s="231"/>
      <c r="N754" s="223"/>
      <c r="O754" s="244"/>
      <c r="P754" s="259"/>
      <c r="Q754" s="223"/>
      <c r="R754" s="21"/>
      <c r="S754" s="2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48"/>
  <sheetViews>
    <sheetView workbookViewId="0"/>
  </sheetViews>
  <sheetFormatPr defaultRowHeight="15" x14ac:dyDescent="0.25"/>
  <cols>
    <col min="1" max="1" style="196" width="1.719285714285714" customWidth="1" bestFit="1"/>
    <col min="2" max="2" style="412" width="7.2907142857142855" customWidth="1" bestFit="1"/>
    <col min="3" max="3" style="196" width="4.433571428571429" customWidth="1" bestFit="1"/>
    <col min="4" max="4" style="237" width="38.005" customWidth="1" bestFit="1"/>
    <col min="5" max="5" style="413" width="20.14785714285714" customWidth="1" bestFit="1"/>
    <col min="6" max="6" style="414" width="11.43357142857143" customWidth="1" bestFit="1"/>
    <col min="7" max="7" style="415" width="10.719285714285713" customWidth="1" bestFit="1"/>
    <col min="8" max="8" style="4" width="1.4335714285714287" customWidth="1" bestFit="1"/>
    <col min="9" max="9" style="195" width="7.2907142857142855" customWidth="1" bestFit="1"/>
    <col min="10" max="10" style="196" width="4.433571428571429" customWidth="1" bestFit="1"/>
    <col min="11" max="11" style="4" width="38.005" customWidth="1" bestFit="1"/>
    <col min="12" max="12" style="237" width="20.14785714285714" customWidth="1" bestFit="1"/>
    <col min="13" max="13" style="414" width="11.576428571428572" customWidth="1" bestFit="1"/>
    <col min="14" max="14" style="195" width="10.862142857142858" customWidth="1" bestFit="1"/>
    <col min="15" max="15" style="4" width="1.4335714285714287" customWidth="1" bestFit="1"/>
  </cols>
  <sheetData>
    <row x14ac:dyDescent="0.25" r="1" customHeight="1" ht="54">
      <c r="A1" s="279" t="s">
        <v>723</v>
      </c>
      <c r="B1" s="280"/>
      <c r="C1" s="182"/>
      <c r="D1" s="281"/>
      <c r="E1" s="282"/>
      <c r="F1" s="283"/>
      <c r="G1" s="284"/>
      <c r="H1" s="279" t="s">
        <v>727</v>
      </c>
      <c r="I1" s="181"/>
      <c r="J1" s="182"/>
      <c r="K1" s="29"/>
      <c r="L1" s="281"/>
      <c r="M1" s="283"/>
      <c r="N1" s="181"/>
      <c r="O1" s="29"/>
    </row>
    <row x14ac:dyDescent="0.25" r="2" customHeight="1" ht="17.25">
      <c r="A2" s="285"/>
      <c r="B2" s="286" t="s">
        <v>774</v>
      </c>
      <c r="C2" s="287"/>
      <c r="D2" s="285" t="s">
        <v>149</v>
      </c>
      <c r="E2" s="288">
        <f>IFERROR(__xludf.DUMMYFUNCTION("""COMPUTED_VALUE"""),"Lab")</f>
      </c>
      <c r="F2" s="289">
        <f>IFERROR(__xludf.DUMMYFUNCTION("""COMPUTED_VALUE"""),"Date")</f>
      </c>
      <c r="G2" s="290">
        <f>IFERROR(__xludf.DUMMYFUNCTION("""COMPUTED_VALUE"""),"GPQA")</f>
      </c>
      <c r="H2" s="285"/>
      <c r="I2" s="286" t="s">
        <v>774</v>
      </c>
      <c r="J2" s="287"/>
      <c r="K2" s="285" t="s">
        <v>149</v>
      </c>
      <c r="L2" s="291">
        <f>IFERROR(__xludf.DUMMYFUNCTION("""COMPUTED_VALUE"""),"Lab")</f>
      </c>
      <c r="M2" s="289">
        <f>IFERROR(__xludf.DUMMYFUNCTION("""COMPUTED_VALUE"""),"Date")</f>
      </c>
      <c r="N2" s="286">
        <f>IFERROR(__xludf.DUMMYFUNCTION("""COMPUTED_VALUE"""),"HLE")</f>
      </c>
      <c r="O2" s="285"/>
    </row>
    <row x14ac:dyDescent="0.25" r="3" customHeight="1" ht="17.25">
      <c r="A3" s="292"/>
      <c r="B3" s="293">
        <v>1</v>
      </c>
      <c r="C3" s="294" t="s">
        <v>775</v>
      </c>
      <c r="D3" s="295">
        <f>IFERROR(__xludf.DUMMYFUNCTION("""COMPUTED_VALUE"""),"Gemini 3")</f>
      </c>
      <c r="E3" s="296">
        <f>IFERROR(__xludf.DUMMYFUNCTION("""COMPUTED_VALUE"""),"Google DeepMind")</f>
      </c>
      <c r="F3" s="297">
        <f>IFERROR(__xludf.DUMMYFUNCTION("""COMPUTED_VALUE"""),45962.0)</f>
        <v>25568.666666666668</v>
      </c>
      <c r="G3" s="298">
        <f>IFERROR(__xludf.DUMMYFUNCTION("""COMPUTED_VALUE"""),93.8)</f>
      </c>
      <c r="H3" s="292"/>
      <c r="I3" s="293">
        <v>1</v>
      </c>
      <c r="J3" s="294" t="s">
        <v>775</v>
      </c>
      <c r="K3" s="295">
        <f>IFERROR(__xludf.DUMMYFUNCTION("""COMPUTED_VALUE"""),"GPT-5.2")</f>
      </c>
      <c r="L3" s="299">
        <f>IFERROR(__xludf.DUMMYFUNCTION("""COMPUTED_VALUE"""),"OpenAI")</f>
      </c>
      <c r="M3" s="297">
        <f>IFERROR(__xludf.DUMMYFUNCTION("""COMPUTED_VALUE"""),45992.0)</f>
        <v>25568.666666666668</v>
      </c>
      <c r="N3" s="293">
        <f>IFERROR(__xludf.DUMMYFUNCTION("""COMPUTED_VALUE"""),50.0)</f>
      </c>
      <c r="O3" s="292"/>
    </row>
    <row x14ac:dyDescent="0.25" r="4" customHeight="1" ht="17.25">
      <c r="A4" s="292"/>
      <c r="B4" s="293">
        <v>2</v>
      </c>
      <c r="C4" s="300">
        <f>IFERROR(__xludf.DUMMYFUNCTION("""COMPUTED_VALUE"""),"🇺🇸")</f>
      </c>
      <c r="D4" s="295">
        <f>IFERROR(__xludf.DUMMYFUNCTION("""COMPUTED_VALUE"""),"GPT-5.2")</f>
      </c>
      <c r="E4" s="296">
        <f>IFERROR(__xludf.DUMMYFUNCTION("""COMPUTED_VALUE"""),"OpenAI")</f>
      </c>
      <c r="F4" s="297">
        <f>IFERROR(__xludf.DUMMYFUNCTION("""COMPUTED_VALUE"""),45992.0)</f>
        <v>25568.666666666668</v>
      </c>
      <c r="G4" s="298">
        <f>IFERROR(__xludf.DUMMYFUNCTION("""COMPUTED_VALUE"""),93.2)</f>
      </c>
      <c r="H4" s="292"/>
      <c r="I4" s="293">
        <v>2</v>
      </c>
      <c r="J4" s="300">
        <f>IFERROR(__xludf.DUMMYFUNCTION("""COMPUTED_VALUE"""),"🇺🇸")</f>
      </c>
      <c r="K4" s="295">
        <f>IFERROR(__xludf.DUMMYFUNCTION("""COMPUTED_VALUE"""),"Gemini 3")</f>
      </c>
      <c r="L4" s="299">
        <f>IFERROR(__xludf.DUMMYFUNCTION("""COMPUTED_VALUE"""),"Google DeepMind")</f>
      </c>
      <c r="M4" s="297">
        <f>IFERROR(__xludf.DUMMYFUNCTION("""COMPUTED_VALUE"""),45962.0)</f>
        <v>25568.666666666668</v>
      </c>
      <c r="N4" s="298">
        <f>IFERROR(__xludf.DUMMYFUNCTION("""COMPUTED_VALUE"""),45.8)</f>
      </c>
      <c r="O4" s="292"/>
    </row>
    <row x14ac:dyDescent="0.25" r="5" customHeight="1" ht="17.25">
      <c r="A5" s="292"/>
      <c r="B5" s="293">
        <v>3</v>
      </c>
      <c r="C5" s="300">
        <f>IFERROR(__xludf.DUMMYFUNCTION("""COMPUTED_VALUE"""),"🇺🇸")</f>
      </c>
      <c r="D5" s="295">
        <f>IFERROR(__xludf.DUMMYFUNCTION("""COMPUTED_VALUE"""),"Gemini 3 Flash")</f>
      </c>
      <c r="E5" s="296">
        <f>IFERROR(__xludf.DUMMYFUNCTION("""COMPUTED_VALUE"""),"Google DeepMind")</f>
      </c>
      <c r="F5" s="297">
        <f>IFERROR(__xludf.DUMMYFUNCTION("""COMPUTED_VALUE"""),45992.0)</f>
        <v>25568.666666666668</v>
      </c>
      <c r="G5" s="298">
        <f>IFERROR(__xludf.DUMMYFUNCTION("""COMPUTED_VALUE"""),90.4)</f>
      </c>
      <c r="H5" s="292"/>
      <c r="I5" s="293">
        <v>3</v>
      </c>
      <c r="J5" s="300">
        <f>IFERROR(__xludf.DUMMYFUNCTION("""COMPUTED_VALUE"""),"🇺🇸")</f>
      </c>
      <c r="K5" s="295">
        <f>IFERROR(__xludf.DUMMYFUNCTION("""COMPUTED_VALUE"""),"Grok 4")</f>
      </c>
      <c r="L5" s="299">
        <f>IFERROR(__xludf.DUMMYFUNCTION("""COMPUTED_VALUE"""),"xAI")</f>
      </c>
      <c r="M5" s="297">
        <f>IFERROR(__xludf.DUMMYFUNCTION("""COMPUTED_VALUE"""),45839.0)</f>
        <v>25568.666666666668</v>
      </c>
      <c r="N5" s="298">
        <f>IFERROR(__xludf.DUMMYFUNCTION("""COMPUTED_VALUE"""),44.4)</f>
      </c>
      <c r="O5" s="292"/>
    </row>
    <row x14ac:dyDescent="0.25" r="6" customHeight="1" ht="17.25">
      <c r="A6" s="292"/>
      <c r="B6" s="293">
        <v>4</v>
      </c>
      <c r="C6" s="300">
        <f>IFERROR(__xludf.DUMMYFUNCTION("""COMPUTED_VALUE"""),"🇺🇸")</f>
      </c>
      <c r="D6" s="295">
        <f>IFERROR(__xludf.DUMMYFUNCTION("""COMPUTED_VALUE"""),"GPT-5")</f>
      </c>
      <c r="E6" s="296">
        <f>IFERROR(__xludf.DUMMYFUNCTION("""COMPUTED_VALUE"""),"OpenAI")</f>
      </c>
      <c r="F6" s="297">
        <f>IFERROR(__xludf.DUMMYFUNCTION("""COMPUTED_VALUE"""),45870.0)</f>
        <v>25568.666666666668</v>
      </c>
      <c r="G6" s="298">
        <f>IFERROR(__xludf.DUMMYFUNCTION("""COMPUTED_VALUE"""),89.4)</f>
      </c>
      <c r="H6" s="292"/>
      <c r="I6" s="293">
        <v>4</v>
      </c>
      <c r="J6" s="300">
        <f>IFERROR(__xludf.DUMMYFUNCTION("""COMPUTED_VALUE"""),"🇨🇳")</f>
      </c>
      <c r="K6" s="295">
        <f>IFERROR(__xludf.DUMMYFUNCTION("""COMPUTED_VALUE"""),"Kimi K2 Thinking")</f>
      </c>
      <c r="L6" s="299">
        <f>IFERROR(__xludf.DUMMYFUNCTION("""COMPUTED_VALUE"""),"Moonshot AI")</f>
      </c>
      <c r="M6" s="297">
        <f>IFERROR(__xludf.DUMMYFUNCTION("""COMPUTED_VALUE"""),45962.0)</f>
        <v>25568.666666666668</v>
      </c>
      <c r="N6" s="293">
        <f>IFERROR(__xludf.DUMMYFUNCTION("""COMPUTED_VALUE"""),44.0)</f>
      </c>
      <c r="O6" s="292"/>
    </row>
    <row x14ac:dyDescent="0.25" r="7" customHeight="1" ht="17.25">
      <c r="A7" s="292"/>
      <c r="B7" s="293">
        <v>5</v>
      </c>
      <c r="C7" s="300">
        <f>IFERROR(__xludf.DUMMYFUNCTION("""COMPUTED_VALUE"""),"🇺🇸")</f>
      </c>
      <c r="D7" s="295">
        <f>IFERROR(__xludf.DUMMYFUNCTION("""COMPUTED_VALUE"""),"Grok 4")</f>
      </c>
      <c r="E7" s="296">
        <f>IFERROR(__xludf.DUMMYFUNCTION("""COMPUTED_VALUE"""),"xAI")</f>
      </c>
      <c r="F7" s="297">
        <f>IFERROR(__xludf.DUMMYFUNCTION("""COMPUTED_VALUE"""),45839.0)</f>
        <v>25568.666666666668</v>
      </c>
      <c r="G7" s="298">
        <f>IFERROR(__xludf.DUMMYFUNCTION("""COMPUTED_VALUE"""),88.9)</f>
      </c>
      <c r="H7" s="292"/>
      <c r="I7" s="293">
        <v>5</v>
      </c>
      <c r="J7" s="300">
        <f>IFERROR(__xludf.DUMMYFUNCTION("""COMPUTED_VALUE"""),"🇺🇸")</f>
      </c>
      <c r="K7" s="295">
        <f>IFERROR(__xludf.DUMMYFUNCTION("""COMPUTED_VALUE"""),"Gemini 3 Flash")</f>
      </c>
      <c r="L7" s="299">
        <f>IFERROR(__xludf.DUMMYFUNCTION("""COMPUTED_VALUE"""),"Google DeepMind")</f>
      </c>
      <c r="M7" s="297">
        <f>IFERROR(__xludf.DUMMYFUNCTION("""COMPUTED_VALUE"""),45992.0)</f>
        <v>25568.666666666668</v>
      </c>
      <c r="N7" s="298">
        <f>IFERROR(__xludf.DUMMYFUNCTION("""COMPUTED_VALUE"""),43.5)</f>
      </c>
      <c r="O7" s="292"/>
    </row>
    <row x14ac:dyDescent="0.25" r="8" customHeight="1" ht="17.25">
      <c r="A8" s="292"/>
      <c r="B8" s="293">
        <v>6</v>
      </c>
      <c r="C8" s="300">
        <f>IFERROR(__xludf.DUMMYFUNCTION("""COMPUTED_VALUE"""),"🇺🇸")</f>
      </c>
      <c r="D8" s="295">
        <f>IFERROR(__xludf.DUMMYFUNCTION("""COMPUTED_VALUE"""),"GPT-5.1")</f>
      </c>
      <c r="E8" s="296">
        <f>IFERROR(__xludf.DUMMYFUNCTION("""COMPUTED_VALUE"""),"OpenAI")</f>
      </c>
      <c r="F8" s="297">
        <f>IFERROR(__xludf.DUMMYFUNCTION("""COMPUTED_VALUE"""),45962.0)</f>
        <v>25568.666666666668</v>
      </c>
      <c r="G8" s="298">
        <f>IFERROR(__xludf.DUMMYFUNCTION("""COMPUTED_VALUE"""),88.1)</f>
      </c>
      <c r="H8" s="292"/>
      <c r="I8" s="293">
        <v>6</v>
      </c>
      <c r="J8" s="300">
        <f>IFERROR(__xludf.DUMMYFUNCTION("""COMPUTED_VALUE"""),"🇺🇸")</f>
      </c>
      <c r="K8" s="295">
        <f>IFERROR(__xludf.DUMMYFUNCTION("""COMPUTED_VALUE"""),"Claude Opus 4.5")</f>
      </c>
      <c r="L8" s="299">
        <f>IFERROR(__xludf.DUMMYFUNCTION("""COMPUTED_VALUE"""),"Anthropic")</f>
      </c>
      <c r="M8" s="297">
        <f>IFERROR(__xludf.DUMMYFUNCTION("""COMPUTED_VALUE"""),45962.0)</f>
        <v>25568.666666666668</v>
      </c>
      <c r="N8" s="298">
        <f>IFERROR(__xludf.DUMMYFUNCTION("""COMPUTED_VALUE"""),43.2)</f>
      </c>
      <c r="O8" s="292"/>
    </row>
    <row x14ac:dyDescent="0.25" r="9" customHeight="1" ht="17.25">
      <c r="A9" s="292"/>
      <c r="B9" s="293">
        <v>7</v>
      </c>
      <c r="C9" s="300">
        <f>IFERROR(__xludf.DUMMYFUNCTION("""COMPUTED_VALUE"""),"🇺🇸")</f>
      </c>
      <c r="D9" s="295">
        <f>IFERROR(__xludf.DUMMYFUNCTION("""COMPUTED_VALUE"""),"o3-preview")</f>
      </c>
      <c r="E9" s="296">
        <f>IFERROR(__xludf.DUMMYFUNCTION("""COMPUTED_VALUE"""),"OpenAI")</f>
      </c>
      <c r="F9" s="297">
        <f>IFERROR(__xludf.DUMMYFUNCTION("""COMPUTED_VALUE"""),45627.0)</f>
        <v>25568.666666666668</v>
      </c>
      <c r="G9" s="298">
        <f>IFERROR(__xludf.DUMMYFUNCTION("""COMPUTED_VALUE"""),87.7)</f>
      </c>
      <c r="H9" s="292"/>
      <c r="I9" s="293">
        <v>7</v>
      </c>
      <c r="J9" s="300">
        <f>IFERROR(__xludf.DUMMYFUNCTION("""COMPUTED_VALUE"""),"🇨🇳")</f>
      </c>
      <c r="K9" s="295">
        <f>IFERROR(__xludf.DUMMYFUNCTION("""COMPUTED_VALUE"""),"GLM-4.7")</f>
      </c>
      <c r="L9" s="301">
        <f>IFERROR(__xludf.DUMMYFUNCTION("""COMPUTED_VALUE"""),"Z.AI")</f>
      </c>
      <c r="M9" s="297">
        <f>IFERROR(__xludf.DUMMYFUNCTION("""COMPUTED_VALUE"""),45992.0)</f>
        <v>25568.666666666668</v>
      </c>
      <c r="N9" s="298">
        <f>IFERROR(__xludf.DUMMYFUNCTION("""COMPUTED_VALUE"""),42.8)</f>
      </c>
      <c r="O9" s="292"/>
    </row>
    <row x14ac:dyDescent="0.25" r="10" customHeight="1" ht="17.25">
      <c r="A10" s="292"/>
      <c r="B10" s="293">
        <v>8</v>
      </c>
      <c r="C10" s="300">
        <f>IFERROR(__xludf.DUMMYFUNCTION("""COMPUTED_VALUE"""),"🇺🇸")</f>
      </c>
      <c r="D10" s="295">
        <f>IFERROR(__xludf.DUMMYFUNCTION("""COMPUTED_VALUE"""),"Claude Opus 4.5")</f>
      </c>
      <c r="E10" s="296">
        <f>IFERROR(__xludf.DUMMYFUNCTION("""COMPUTED_VALUE"""),"Anthropic")</f>
      </c>
      <c r="F10" s="297">
        <f>IFERROR(__xludf.DUMMYFUNCTION("""COMPUTED_VALUE"""),45962.0)</f>
        <v>25568.666666666668</v>
      </c>
      <c r="G10" s="298">
        <f>IFERROR(__xludf.DUMMYFUNCTION("""COMPUTED_VALUE"""),86.95)</f>
      </c>
      <c r="H10" s="292"/>
      <c r="I10" s="293">
        <v>8</v>
      </c>
      <c r="J10" s="300">
        <f>IFERROR(__xludf.DUMMYFUNCTION("""COMPUTED_VALUE"""),"🇺🇸")</f>
      </c>
      <c r="K10" s="295">
        <f>IFERROR(__xludf.DUMMYFUNCTION("""COMPUTED_VALUE"""),"GPT-5")</f>
      </c>
      <c r="L10" s="299">
        <f>IFERROR(__xludf.DUMMYFUNCTION("""COMPUTED_VALUE"""),"OpenAI")</f>
      </c>
      <c r="M10" s="297">
        <f>IFERROR(__xludf.DUMMYFUNCTION("""COMPUTED_VALUE"""),45870.0)</f>
        <v>25568.666666666668</v>
      </c>
      <c r="N10" s="293">
        <f>IFERROR(__xludf.DUMMYFUNCTION("""COMPUTED_VALUE"""),42.0)</f>
      </c>
      <c r="O10" s="292"/>
    </row>
    <row x14ac:dyDescent="0.25" r="11" customHeight="1" ht="17.25">
      <c r="A11" s="292"/>
      <c r="B11" s="293">
        <v>9</v>
      </c>
      <c r="C11" s="300">
        <f>IFERROR(__xludf.DUMMYFUNCTION("""COMPUTED_VALUE"""),"🇺🇸")</f>
      </c>
      <c r="D11" s="295">
        <f>IFERROR(__xludf.DUMMYFUNCTION("""COMPUTED_VALUE"""),"Gemini 2.5 Pro 06-05")</f>
      </c>
      <c r="E11" s="296">
        <f>IFERROR(__xludf.DUMMYFUNCTION("""COMPUTED_VALUE"""),"Google DeepMind")</f>
      </c>
      <c r="F11" s="297">
        <f>IFERROR(__xludf.DUMMYFUNCTION("""COMPUTED_VALUE"""),45809.0)</f>
        <v>25568.666666666668</v>
      </c>
      <c r="G11" s="298">
        <f>IFERROR(__xludf.DUMMYFUNCTION("""COMPUTED_VALUE"""),86.4)</f>
      </c>
      <c r="H11" s="292"/>
      <c r="I11" s="293">
        <v>9</v>
      </c>
      <c r="J11" s="300">
        <f>IFERROR(__xludf.DUMMYFUNCTION("""COMPUTED_VALUE"""),"")</f>
      </c>
      <c r="K11" s="295">
        <f>IFERROR(__xludf.DUMMYFUNCTION("""COMPUTED_VALUE"""),"MiroThinker v1.5")</f>
      </c>
      <c r="L11" s="299">
        <f>IFERROR(__xludf.DUMMYFUNCTION("""COMPUTED_VALUE"""),"MiroMindAI")</f>
      </c>
      <c r="M11" s="297">
        <f>IFERROR(__xludf.DUMMYFUNCTION("""COMPUTED_VALUE"""),46023.0)</f>
        <v>25568.666666666668</v>
      </c>
      <c r="N11" s="298">
        <f>IFERROR(__xludf.DUMMYFUNCTION("""COMPUTED_VALUE"""),39.2)</f>
      </c>
      <c r="O11" s="292"/>
    </row>
    <row x14ac:dyDescent="0.25" r="12" customHeight="1" ht="17.25">
      <c r="A12" s="292"/>
      <c r="B12" s="293">
        <v>10</v>
      </c>
      <c r="C12" s="300">
        <f>IFERROR(__xludf.DUMMYFUNCTION("""COMPUTED_VALUE"""),"🇨🇳")</f>
      </c>
      <c r="D12" s="295">
        <f>IFERROR(__xludf.DUMMYFUNCTION("""COMPUTED_VALUE"""),"DeepSeek-V3.2-Speciale")</f>
      </c>
      <c r="E12" s="296">
        <f>IFERROR(__xludf.DUMMYFUNCTION("""COMPUTED_VALUE"""),"DeepSeek-AI")</f>
      </c>
      <c r="F12" s="297">
        <f>IFERROR(__xludf.DUMMYFUNCTION("""COMPUTED_VALUE"""),45992.0)</f>
        <v>25568.666666666668</v>
      </c>
      <c r="G12" s="298">
        <f>IFERROR(__xludf.DUMMYFUNCTION("""COMPUTED_VALUE"""),85.7)</f>
      </c>
      <c r="H12" s="292"/>
      <c r="I12" s="293">
        <v>10</v>
      </c>
      <c r="J12" s="300">
        <f>IFERROR(__xludf.DUMMYFUNCTION("""COMPUTED_VALUE"""),"🇺🇸")</f>
      </c>
      <c r="K12" s="295">
        <f>IFERROR(__xludf.DUMMYFUNCTION("""COMPUTED_VALUE"""),"Orchestrator-8B")</f>
      </c>
      <c r="L12" s="299">
        <f>IFERROR(__xludf.DUMMYFUNCTION("""COMPUTED_VALUE"""),"NVIDIA")</f>
      </c>
      <c r="M12" s="297">
        <f>IFERROR(__xludf.DUMMYFUNCTION("""COMPUTED_VALUE"""),45962.0)</f>
        <v>25568.666666666668</v>
      </c>
      <c r="N12" s="298">
        <f>IFERROR(__xludf.DUMMYFUNCTION("""COMPUTED_VALUE"""),37.1)</f>
      </c>
      <c r="O12" s="292"/>
    </row>
    <row x14ac:dyDescent="0.25" r="13" customHeight="1" ht="17.25">
      <c r="A13" s="302"/>
      <c r="B13" s="303">
        <v>11</v>
      </c>
      <c r="C13" s="304">
        <f>IFERROR(__xludf.DUMMYFUNCTION("""COMPUTED_VALUE"""),"🇨🇳")</f>
      </c>
      <c r="D13" s="305">
        <f>IFERROR(__xludf.DUMMYFUNCTION("""COMPUTED_VALUE"""),"GLM-4.7")</f>
      </c>
      <c r="E13" s="306">
        <f>IFERROR(__xludf.DUMMYFUNCTION("""COMPUTED_VALUE"""),"Z.AI")</f>
      </c>
      <c r="F13" s="307">
        <f>IFERROR(__xludf.DUMMYFUNCTION("""COMPUTED_VALUE"""),45992.0)</f>
        <v>25568.666666666668</v>
      </c>
      <c r="G13" s="308">
        <f>IFERROR(__xludf.DUMMYFUNCTION("""COMPUTED_VALUE"""),85.7)</f>
      </c>
      <c r="H13" s="302"/>
      <c r="I13" s="303">
        <v>11</v>
      </c>
      <c r="J13" s="304">
        <f>IFERROR(__xludf.DUMMYFUNCTION("""COMPUTED_VALUE"""),"🇨🇳")</f>
      </c>
      <c r="K13" s="305">
        <f>IFERROR(__xludf.DUMMYFUNCTION("""COMPUTED_VALUE"""),"MiniMax-M2")</f>
      </c>
      <c r="L13" s="309">
        <f>IFERROR(__xludf.DUMMYFUNCTION("""COMPUTED_VALUE"""),"MiniMax")</f>
      </c>
      <c r="M13" s="307">
        <f>IFERROR(__xludf.DUMMYFUNCTION("""COMPUTED_VALUE"""),45931.0)</f>
        <v>25568.666666666668</v>
      </c>
      <c r="N13" s="308">
        <f>IFERROR(__xludf.DUMMYFUNCTION("""COMPUTED_VALUE"""),31.8)</f>
      </c>
      <c r="O13" s="302"/>
    </row>
    <row x14ac:dyDescent="0.25" r="14" customHeight="1" ht="17.25">
      <c r="A14" s="310"/>
      <c r="B14" s="303">
        <v>12</v>
      </c>
      <c r="C14" s="304">
        <f>IFERROR(__xludf.DUMMYFUNCTION("""COMPUTED_VALUE"""),"🇺🇸")</f>
      </c>
      <c r="D14" s="305">
        <f>IFERROR(__xludf.DUMMYFUNCTION("""COMPUTED_VALUE"""),"Grok 4 Fast")</f>
      </c>
      <c r="E14" s="311">
        <f>IFERROR(__xludf.DUMMYFUNCTION("""COMPUTED_VALUE"""),"xAI")</f>
      </c>
      <c r="F14" s="307">
        <f>IFERROR(__xludf.DUMMYFUNCTION("""COMPUTED_VALUE"""),45901.0)</f>
        <v>25568.666666666668</v>
      </c>
      <c r="G14" s="308">
        <f>IFERROR(__xludf.DUMMYFUNCTION("""COMPUTED_VALUE"""),85.7)</f>
      </c>
      <c r="H14" s="310"/>
      <c r="I14" s="303">
        <v>12</v>
      </c>
      <c r="J14" s="304">
        <f>IFERROR(__xludf.DUMMYFUNCTION("""COMPUTED_VALUE"""),"🇨🇳")</f>
      </c>
      <c r="K14" s="305">
        <f>IFERROR(__xludf.DUMMYFUNCTION("""COMPUTED_VALUE"""),"DeepSeek-V3.2-Speciale")</f>
      </c>
      <c r="L14" s="309">
        <f>IFERROR(__xludf.DUMMYFUNCTION("""COMPUTED_VALUE"""),"DeepSeek-AI")</f>
      </c>
      <c r="M14" s="307">
        <f>IFERROR(__xludf.DUMMYFUNCTION("""COMPUTED_VALUE"""),45992.0)</f>
        <v>25568.666666666668</v>
      </c>
      <c r="N14" s="308">
        <f>IFERROR(__xludf.DUMMYFUNCTION("""COMPUTED_VALUE"""),30.6)</f>
      </c>
      <c r="O14" s="310"/>
    </row>
    <row x14ac:dyDescent="0.25" r="15" customHeight="1" ht="31.5">
      <c r="A15" s="312"/>
      <c r="B15" s="313" t="s">
        <v>298</v>
      </c>
      <c r="C15" s="314" t="s">
        <v>298</v>
      </c>
      <c r="D15" s="315" t="s">
        <v>776</v>
      </c>
      <c r="E15" s="316" t="s">
        <v>298</v>
      </c>
      <c r="F15" s="317" t="s">
        <v>298</v>
      </c>
      <c r="G15" s="318">
        <v>34</v>
      </c>
      <c r="H15" s="312"/>
      <c r="I15" s="313" t="s">
        <v>298</v>
      </c>
      <c r="J15" s="314" t="s">
        <v>298</v>
      </c>
      <c r="K15" s="315" t="s">
        <v>777</v>
      </c>
      <c r="L15" s="319" t="s">
        <v>298</v>
      </c>
      <c r="M15" s="317" t="s">
        <v>298</v>
      </c>
      <c r="N15" s="318">
        <v>0</v>
      </c>
      <c r="O15" s="312"/>
    </row>
    <row x14ac:dyDescent="0.25" r="16" customHeight="1" ht="31.5">
      <c r="A16" s="320"/>
      <c r="B16" s="321">
        <f>IFERROR(__xludf.DUMMYFUNCTION("""Models Table Rankings. Alan D. Thompson. Live, last model "" &amp; TEXT(INDEX(FILTER('Models Table'!M:M, 'Models Table'!M:M&lt;&gt;""TBA"", ISNUMBER('Models Table'!M:M)),1),""mmm/yyyy"") &amp; ""."""),"Models Table Rankings. Alan D. Thompson. Live, last model Jan/2026.")</f>
      </c>
      <c r="C16" s="322"/>
      <c r="D16" s="320"/>
      <c r="E16" s="323"/>
      <c r="F16" s="323"/>
      <c r="G16" s="324" t="s">
        <v>778</v>
      </c>
      <c r="H16" s="320"/>
      <c r="I16" s="321">
        <f>IFERROR(__xludf.DUMMYFUNCTION("""Models Table Rankings. Alan D. Thompson. Live, last model "" &amp; TEXT(INDEX(FILTER('Models Table'!M:M, 'Models Table'!M:M&lt;&gt;""TBA"", ISNUMBER('Models Table'!M:M)),1),""mmm/yyyy"") &amp; ""."""),"Models Table Rankings. Alan D. Thompson. Live, last model Jan/2026.")</f>
      </c>
      <c r="J16" s="322"/>
      <c r="K16" s="320"/>
      <c r="L16" s="320"/>
      <c r="M16" s="325"/>
      <c r="N16" s="326" t="s">
        <v>778</v>
      </c>
      <c r="O16" s="320"/>
    </row>
    <row x14ac:dyDescent="0.25" r="17" customHeight="1" ht="32.25">
      <c r="A17" s="327"/>
      <c r="B17" s="328"/>
      <c r="C17" s="329"/>
      <c r="D17" s="330"/>
      <c r="E17" s="331"/>
      <c r="F17" s="332"/>
      <c r="G17" s="333"/>
      <c r="H17" s="330"/>
      <c r="I17" s="334"/>
      <c r="J17" s="335"/>
      <c r="K17" s="330"/>
      <c r="L17" s="336"/>
      <c r="M17" s="332"/>
      <c r="N17" s="334"/>
      <c r="O17" s="330"/>
    </row>
    <row x14ac:dyDescent="0.25" r="18" customHeight="1" ht="17.25">
      <c r="A18" s="337"/>
      <c r="B18" s="286" t="s">
        <v>774</v>
      </c>
      <c r="C18" s="287"/>
      <c r="D18" s="285" t="s">
        <v>149</v>
      </c>
      <c r="E18" s="288">
        <f>IFERROR(__xludf.DUMMYFUNCTION("""COMPUTED_VALUE"""),"Lab")</f>
      </c>
      <c r="F18" s="289">
        <f>IFERROR(__xludf.DUMMYFUNCTION("""COMPUTED_VALUE"""),"Date")</f>
      </c>
      <c r="G18" s="290">
        <f>IFERROR(__xludf.DUMMYFUNCTION("""COMPUTED_VALUE"""),"MMLU")</f>
      </c>
      <c r="H18" s="285"/>
      <c r="I18" s="338" t="s">
        <v>779</v>
      </c>
      <c r="J18" s="339"/>
      <c r="K18" s="340"/>
      <c r="L18" s="340"/>
      <c r="M18" s="341"/>
      <c r="N18" s="342"/>
      <c r="O18" s="340"/>
    </row>
    <row x14ac:dyDescent="0.25" r="19" customHeight="1" ht="17.25">
      <c r="A19" s="343"/>
      <c r="B19" s="293">
        <v>1</v>
      </c>
      <c r="C19" s="294" t="s">
        <v>780</v>
      </c>
      <c r="D19" s="295">
        <f>IFERROR(__xludf.DUMMYFUNCTION("""COMPUTED_VALUE"""),"Kimi K2 Thinking")</f>
      </c>
      <c r="E19" s="296">
        <f>IFERROR(__xludf.DUMMYFUNCTION("""COMPUTED_VALUE"""),"Moonshot AI")</f>
      </c>
      <c r="F19" s="297">
        <f>IFERROR(__xludf.DUMMYFUNCTION("""COMPUTED_VALUE"""),45962.0)</f>
        <v>25568.666666666668</v>
      </c>
      <c r="G19" s="298">
        <f>IFERROR(__xludf.DUMMYFUNCTION("""COMPUTED_VALUE"""),94.4)</f>
      </c>
      <c r="H19" s="292"/>
      <c r="I19" s="344"/>
      <c r="J19" s="345"/>
      <c r="K19" s="346"/>
      <c r="L19" s="347"/>
      <c r="M19" s="348"/>
      <c r="N19" s="344"/>
      <c r="O19" s="346"/>
    </row>
    <row x14ac:dyDescent="0.25" r="20" customHeight="1" ht="17.25">
      <c r="A20" s="343"/>
      <c r="B20" s="293">
        <v>2</v>
      </c>
      <c r="C20" s="300">
        <f>IFERROR(__xludf.DUMMYFUNCTION("""COMPUTED_VALUE"""),"🇨🇳")</f>
      </c>
      <c r="D20" s="295">
        <f>IFERROR(__xludf.DUMMYFUNCTION("""COMPUTED_VALUE"""),"Qwen3-235B-A22B-Thinking-2507")</f>
      </c>
      <c r="E20" s="296">
        <f>IFERROR(__xludf.DUMMYFUNCTION("""COMPUTED_VALUE"""),"Alibaba")</f>
      </c>
      <c r="F20" s="297">
        <f>IFERROR(__xludf.DUMMYFUNCTION("""COMPUTED_VALUE"""),45839.0)</f>
        <v>25568.666666666668</v>
      </c>
      <c r="G20" s="298">
        <f>IFERROR(__xludf.DUMMYFUNCTION("""COMPUTED_VALUE"""),93.8)</f>
      </c>
      <c r="H20" s="292"/>
      <c r="I20" s="344"/>
      <c r="J20" s="345"/>
      <c r="K20" s="346"/>
      <c r="L20" s="347"/>
      <c r="M20" s="348"/>
      <c r="N20" s="344"/>
      <c r="O20" s="346"/>
    </row>
    <row x14ac:dyDescent="0.25" r="21" customHeight="1" ht="17.25">
      <c r="A21" s="343"/>
      <c r="B21" s="293">
        <v>3</v>
      </c>
      <c r="C21" s="300">
        <f>IFERROR(__xludf.DUMMYFUNCTION("""COMPUTED_VALUE"""),"🇨🇳")</f>
      </c>
      <c r="D21" s="295">
        <f>IFERROR(__xludf.DUMMYFUNCTION("""COMPUTED_VALUE"""),"DeepSeek-V3.1-Base")</f>
      </c>
      <c r="E21" s="296">
        <f>IFERROR(__xludf.DUMMYFUNCTION("""COMPUTED_VALUE"""),"DeepSeek-AI")</f>
      </c>
      <c r="F21" s="297">
        <f>IFERROR(__xludf.DUMMYFUNCTION("""COMPUTED_VALUE"""),45870.0)</f>
        <v>25568.666666666668</v>
      </c>
      <c r="G21" s="298">
        <f>IFERROR(__xludf.DUMMYFUNCTION("""COMPUTED_VALUE"""),93.7)</f>
      </c>
      <c r="H21" s="292"/>
      <c r="I21" s="344"/>
      <c r="J21" s="345"/>
      <c r="K21" s="346"/>
      <c r="L21" s="347"/>
      <c r="M21" s="348"/>
      <c r="N21" s="344"/>
      <c r="O21" s="346"/>
    </row>
    <row x14ac:dyDescent="0.25" r="22" customHeight="1" ht="17.25">
      <c r="A22" s="343"/>
      <c r="B22" s="293">
        <v>4</v>
      </c>
      <c r="C22" s="300">
        <f>IFERROR(__xludf.DUMMYFUNCTION("""COMPUTED_VALUE"""),"🇨🇳")</f>
      </c>
      <c r="D22" s="295">
        <f>IFERROR(__xludf.DUMMYFUNCTION("""COMPUTED_VALUE"""),"DeepSeek-R1-0528")</f>
      </c>
      <c r="E22" s="296">
        <f>IFERROR(__xludf.DUMMYFUNCTION("""COMPUTED_VALUE"""),"DeepSeek-AI")</f>
      </c>
      <c r="F22" s="297">
        <f>IFERROR(__xludf.DUMMYFUNCTION("""COMPUTED_VALUE"""),45778.0)</f>
        <v>25568.666666666668</v>
      </c>
      <c r="G22" s="298">
        <f>IFERROR(__xludf.DUMMYFUNCTION("""COMPUTED_VALUE"""),93.4)</f>
      </c>
      <c r="H22" s="292"/>
      <c r="I22" s="344"/>
      <c r="J22" s="345"/>
      <c r="K22" s="346"/>
      <c r="L22" s="347"/>
      <c r="M22" s="348"/>
      <c r="N22" s="344"/>
      <c r="O22" s="346"/>
    </row>
    <row x14ac:dyDescent="0.25" r="23" customHeight="1" ht="17.25">
      <c r="A23" s="343"/>
      <c r="B23" s="293">
        <v>5</v>
      </c>
      <c r="C23" s="300">
        <f>IFERROR(__xludf.DUMMYFUNCTION("""COMPUTED_VALUE"""),"🇨🇳")</f>
      </c>
      <c r="D23" s="295">
        <f>IFERROR(__xludf.DUMMYFUNCTION("""COMPUTED_VALUE"""),"Qwen3-235B-A22B-Instruct-2507")</f>
      </c>
      <c r="E23" s="296">
        <f>IFERROR(__xludf.DUMMYFUNCTION("""COMPUTED_VALUE"""),"Alibaba")</f>
      </c>
      <c r="F23" s="297">
        <f>IFERROR(__xludf.DUMMYFUNCTION("""COMPUTED_VALUE"""),45839.0)</f>
        <v>25568.666666666668</v>
      </c>
      <c r="G23" s="298">
        <f>IFERROR(__xludf.DUMMYFUNCTION("""COMPUTED_VALUE"""),93.1)</f>
      </c>
      <c r="H23" s="292"/>
      <c r="I23" s="344"/>
      <c r="J23" s="345"/>
      <c r="K23" s="346"/>
      <c r="L23" s="347"/>
      <c r="M23" s="348"/>
      <c r="N23" s="344"/>
      <c r="O23" s="346"/>
    </row>
    <row x14ac:dyDescent="0.25" r="24" customHeight="1" ht="17.25">
      <c r="A24" s="343"/>
      <c r="B24" s="293">
        <v>6</v>
      </c>
      <c r="C24" s="300">
        <f>IFERROR(__xludf.DUMMYFUNCTION("""COMPUTED_VALUE"""),"🇰🇷")</f>
      </c>
      <c r="D24" s="295">
        <f>IFERROR(__xludf.DUMMYFUNCTION("""COMPUTED_VALUE"""),"EXAONE 4.0")</f>
      </c>
      <c r="E24" s="296">
        <f>IFERROR(__xludf.DUMMYFUNCTION("""COMPUTED_VALUE"""),"LG")</f>
      </c>
      <c r="F24" s="297">
        <f>IFERROR(__xludf.DUMMYFUNCTION("""COMPUTED_VALUE"""),45839.0)</f>
        <v>25568.666666666668</v>
      </c>
      <c r="G24" s="298">
        <f>IFERROR(__xludf.DUMMYFUNCTION("""COMPUTED_VALUE"""),92.3)</f>
      </c>
      <c r="H24" s="292"/>
      <c r="I24" s="344"/>
      <c r="J24" s="345"/>
      <c r="K24" s="346"/>
      <c r="L24" s="347"/>
      <c r="M24" s="348"/>
      <c r="N24" s="344"/>
      <c r="O24" s="346"/>
    </row>
    <row x14ac:dyDescent="0.25" r="25" customHeight="1" ht="17.25">
      <c r="A25" s="343"/>
      <c r="B25" s="293">
        <v>7</v>
      </c>
      <c r="C25" s="300">
        <f>IFERROR(__xludf.DUMMYFUNCTION("""COMPUTED_VALUE"""),"🇺🇸")</f>
      </c>
      <c r="D25" s="295">
        <f>IFERROR(__xludf.DUMMYFUNCTION("""COMPUTED_VALUE"""),"o1")</f>
      </c>
      <c r="E25" s="296">
        <f>IFERROR(__xludf.DUMMYFUNCTION("""COMPUTED_VALUE"""),"OpenAI")</f>
      </c>
      <c r="F25" s="297">
        <f>IFERROR(__xludf.DUMMYFUNCTION("""COMPUTED_VALUE"""),45627.0)</f>
        <v>25568.666666666668</v>
      </c>
      <c r="G25" s="298">
        <f>IFERROR(__xludf.DUMMYFUNCTION("""COMPUTED_VALUE"""),92.3)</f>
      </c>
      <c r="H25" s="292"/>
      <c r="I25" s="344"/>
      <c r="J25" s="345"/>
      <c r="K25" s="346"/>
      <c r="L25" s="347"/>
      <c r="M25" s="348"/>
      <c r="N25" s="344"/>
      <c r="O25" s="346"/>
    </row>
    <row x14ac:dyDescent="0.25" r="26" customHeight="1" ht="17.25">
      <c r="A26" s="343"/>
      <c r="B26" s="293">
        <v>8</v>
      </c>
      <c r="C26" s="300">
        <f>IFERROR(__xludf.DUMMYFUNCTION("""COMPUTED_VALUE"""),"🇺🇸")</f>
      </c>
      <c r="D26" s="295">
        <f>IFERROR(__xludf.DUMMYFUNCTION("""COMPUTED_VALUE"""),"GPT-5.2")</f>
      </c>
      <c r="E26" s="296">
        <f>IFERROR(__xludf.DUMMYFUNCTION("""COMPUTED_VALUE"""),"OpenAI")</f>
      </c>
      <c r="F26" s="297">
        <f>IFERROR(__xludf.DUMMYFUNCTION("""COMPUTED_VALUE"""),45992.0)</f>
        <v>25568.666666666668</v>
      </c>
      <c r="G26" s="298">
        <f>IFERROR(__xludf.DUMMYFUNCTION("""COMPUTED_VALUE"""),91.3)</f>
      </c>
      <c r="H26" s="292"/>
      <c r="I26" s="344"/>
      <c r="J26" s="345"/>
      <c r="K26" s="346"/>
      <c r="L26" s="347"/>
      <c r="M26" s="348"/>
      <c r="N26" s="344"/>
      <c r="O26" s="346"/>
    </row>
    <row x14ac:dyDescent="0.25" r="27" customHeight="1" ht="17.25">
      <c r="A27" s="343"/>
      <c r="B27" s="293">
        <v>9</v>
      </c>
      <c r="C27" s="300">
        <f>IFERROR(__xludf.DUMMYFUNCTION("""COMPUTED_VALUE"""),"🇺🇸")</f>
      </c>
      <c r="D27" s="295">
        <f>IFERROR(__xludf.DUMMYFUNCTION("""COMPUTED_VALUE"""),"o3")</f>
      </c>
      <c r="E27" s="296">
        <f>IFERROR(__xludf.DUMMYFUNCTION("""COMPUTED_VALUE"""),"OpenAI")</f>
      </c>
      <c r="F27" s="297">
        <f>IFERROR(__xludf.DUMMYFUNCTION("""COMPUTED_VALUE"""),45748.0)</f>
        <v>25568.666666666668</v>
      </c>
      <c r="G27" s="298">
        <f>IFERROR(__xludf.DUMMYFUNCTION("""COMPUTED_VALUE"""),91.2)</f>
      </c>
      <c r="H27" s="292"/>
      <c r="I27" s="344"/>
      <c r="J27" s="345"/>
      <c r="K27" s="346"/>
      <c r="L27" s="347"/>
      <c r="M27" s="348"/>
      <c r="N27" s="344"/>
      <c r="O27" s="346"/>
    </row>
    <row x14ac:dyDescent="0.25" r="28" customHeight="1" ht="17.25">
      <c r="A28" s="343"/>
      <c r="B28" s="293">
        <v>10</v>
      </c>
      <c r="C28" s="300">
        <f>IFERROR(__xludf.DUMMYFUNCTION("""COMPUTED_VALUE"""),"🇺🇸")</f>
      </c>
      <c r="D28" s="295">
        <f>IFERROR(__xludf.DUMMYFUNCTION("""COMPUTED_VALUE"""),"Cogito 70B")</f>
      </c>
      <c r="E28" s="296">
        <f>IFERROR(__xludf.DUMMYFUNCTION("""COMPUTED_VALUE"""),"Deep Cogito")</f>
      </c>
      <c r="F28" s="297">
        <f>IFERROR(__xludf.DUMMYFUNCTION("""COMPUTED_VALUE"""),45748.0)</f>
        <v>25568.666666666668</v>
      </c>
      <c r="G28" s="293">
        <f>IFERROR(__xludf.DUMMYFUNCTION("""COMPUTED_VALUE"""),91.0)</f>
      </c>
      <c r="H28" s="292"/>
      <c r="I28" s="344"/>
      <c r="J28" s="345"/>
      <c r="K28" s="346"/>
      <c r="L28" s="347"/>
      <c r="M28" s="348"/>
      <c r="N28" s="344"/>
      <c r="O28" s="346"/>
    </row>
    <row x14ac:dyDescent="0.25" r="29" customHeight="1" ht="17.25">
      <c r="A29" s="349"/>
      <c r="B29" s="303">
        <v>11</v>
      </c>
      <c r="C29" s="304">
        <f>IFERROR(__xludf.DUMMYFUNCTION("""COMPUTED_VALUE"""),"🇺🇸")</f>
      </c>
      <c r="D29" s="305">
        <f>IFERROR(__xludf.DUMMYFUNCTION("""COMPUTED_VALUE"""),"GPT-5")</f>
      </c>
      <c r="E29" s="311">
        <f>IFERROR(__xludf.DUMMYFUNCTION("""COMPUTED_VALUE"""),"OpenAI")</f>
      </c>
      <c r="F29" s="307">
        <f>IFERROR(__xludf.DUMMYFUNCTION("""COMPUTED_VALUE"""),45870.0)</f>
        <v>25568.666666666668</v>
      </c>
      <c r="G29" s="303">
        <f>IFERROR(__xludf.DUMMYFUNCTION("""COMPUTED_VALUE"""),91.0)</f>
      </c>
      <c r="H29" s="302"/>
      <c r="I29" s="350"/>
      <c r="J29" s="351"/>
      <c r="K29" s="352"/>
      <c r="L29" s="353"/>
      <c r="M29" s="354"/>
      <c r="N29" s="350"/>
      <c r="O29" s="352"/>
    </row>
    <row x14ac:dyDescent="0.25" r="30" customHeight="1" ht="17.25">
      <c r="A30" s="355"/>
      <c r="B30" s="356">
        <v>12</v>
      </c>
      <c r="C30" s="357">
        <f>IFERROR(__xludf.DUMMYFUNCTION("""COMPUTED_VALUE"""),"🇺🇸")</f>
      </c>
      <c r="D30" s="358">
        <f>IFERROR(__xludf.DUMMYFUNCTION("""COMPUTED_VALUE"""),"GPT-5.1")</f>
      </c>
      <c r="E30" s="359">
        <f>IFERROR(__xludf.DUMMYFUNCTION("""COMPUTED_VALUE"""),"OpenAI")</f>
      </c>
      <c r="F30" s="360">
        <f>IFERROR(__xludf.DUMMYFUNCTION("""COMPUTED_VALUE"""),45962.0)</f>
        <v>25568.666666666668</v>
      </c>
      <c r="G30" s="356">
        <f>IFERROR(__xludf.DUMMYFUNCTION("""COMPUTED_VALUE"""),91.0)</f>
      </c>
      <c r="H30" s="310"/>
      <c r="I30" s="361"/>
      <c r="J30" s="362"/>
      <c r="K30" s="363"/>
      <c r="L30" s="364"/>
      <c r="M30" s="365"/>
      <c r="N30" s="361"/>
      <c r="O30" s="363"/>
    </row>
    <row x14ac:dyDescent="0.25" r="31" customHeight="1" ht="31.5">
      <c r="A31" s="366"/>
      <c r="B31" s="321">
        <f>IFERROR(__xludf.DUMMYFUNCTION("""Models Table Rankings. Alan D. Thompson. Live, last model "" &amp; TEXT(INDEX(FILTER('Models Table'!M:M, 'Models Table'!M:M&lt;&gt;""TBA"", ISNUMBER('Models Table'!M:M)),1),""mmm/yyyy"") &amp; ""."""),"Models Table Rankings. Alan D. Thompson. Live, last model Jan/2026.")</f>
      </c>
      <c r="C31" s="322"/>
      <c r="D31" s="320"/>
      <c r="E31" s="323"/>
      <c r="F31" s="325"/>
      <c r="G31" s="324" t="s">
        <v>778</v>
      </c>
      <c r="H31" s="320"/>
      <c r="I31" s="367"/>
      <c r="J31" s="368"/>
      <c r="K31" s="369"/>
      <c r="L31" s="370"/>
      <c r="M31" s="371"/>
      <c r="N31" s="367"/>
      <c r="O31" s="369"/>
    </row>
    <row x14ac:dyDescent="0.25" r="32" customHeight="1" ht="32.25">
      <c r="A32" s="327"/>
      <c r="B32" s="372"/>
      <c r="C32" s="329"/>
      <c r="D32" s="330"/>
      <c r="E32" s="373"/>
      <c r="F32" s="332"/>
      <c r="G32" s="333"/>
      <c r="H32" s="330"/>
      <c r="I32" s="334"/>
      <c r="J32" s="335"/>
      <c r="K32" s="330"/>
      <c r="L32" s="336"/>
      <c r="M32" s="332"/>
      <c r="N32" s="334"/>
      <c r="O32" s="330"/>
    </row>
    <row x14ac:dyDescent="0.25" r="33" customHeight="1" ht="32.25">
      <c r="A33" s="327"/>
      <c r="B33" s="372" t="s">
        <v>781</v>
      </c>
      <c r="C33" s="329"/>
      <c r="D33" s="330"/>
      <c r="E33" s="373">
        <v>45383</v>
      </c>
      <c r="F33" s="332"/>
      <c r="G33" s="333"/>
      <c r="H33" s="330"/>
      <c r="I33" s="334"/>
      <c r="J33" s="335"/>
      <c r="K33" s="330"/>
      <c r="L33" s="336"/>
      <c r="M33" s="332"/>
      <c r="N33" s="334"/>
      <c r="O33" s="330"/>
    </row>
    <row x14ac:dyDescent="0.25" r="34" customHeight="1" ht="32.25">
      <c r="A34" s="374"/>
      <c r="B34" s="375" t="s">
        <v>774</v>
      </c>
      <c r="C34" s="374"/>
      <c r="D34" s="376" t="s">
        <v>149</v>
      </c>
      <c r="E34" s="377">
        <f>IFERROR(__xludf.DUMMYFUNCTION("""COMPUTED_VALUE"""),"Lab")</f>
      </c>
      <c r="F34" s="378">
        <f>IFERROR(__xludf.DUMMYFUNCTION("""COMPUTED_VALUE"""),"Date")</f>
      </c>
      <c r="G34" s="379">
        <f>IFERROR(__xludf.DUMMYFUNCTION("""COMPUTED_VALUE"""),"MMLU")</f>
      </c>
      <c r="H34" s="374"/>
      <c r="I34" s="375" t="s">
        <v>774</v>
      </c>
      <c r="J34" s="374"/>
      <c r="K34" s="376" t="s">
        <v>149</v>
      </c>
      <c r="L34" s="380">
        <f>IFERROR(__xludf.DUMMYFUNCTION("""COMPUTED_VALUE"""),"Lab")</f>
      </c>
      <c r="M34" s="378">
        <f>IFERROR(__xludf.DUMMYFUNCTION("""COMPUTED_VALUE"""),"Date")</f>
      </c>
      <c r="N34" s="375">
        <f>IFERROR(__xludf.DUMMYFUNCTION("""COMPUTED_VALUE"""),"GPQA")</f>
      </c>
      <c r="O34" s="374"/>
    </row>
    <row x14ac:dyDescent="0.25" r="35" customHeight="1" ht="32.25">
      <c r="A35" s="374"/>
      <c r="B35" s="344">
        <v>1</v>
      </c>
      <c r="C35" s="345" t="s">
        <v>775</v>
      </c>
      <c r="D35" s="381">
        <f>IFERROR(__xludf.DUMMYFUNCTION("""COMPUTED_VALUE"""),"Claude 3 Opus")</f>
      </c>
      <c r="E35" s="382">
        <f>IFERROR(__xludf.DUMMYFUNCTION("""COMPUTED_VALUE"""),"Anthropic")</f>
      </c>
      <c r="F35" s="348">
        <f>IFERROR(__xludf.DUMMYFUNCTION("""COMPUTED_VALUE"""),45352.0)</f>
        <v>25568.666666666668</v>
      </c>
      <c r="G35" s="383">
        <f>IFERROR(__xludf.DUMMYFUNCTION("""COMPUTED_VALUE"""),86.8)</f>
      </c>
      <c r="H35" s="374"/>
      <c r="I35" s="344">
        <v>1</v>
      </c>
      <c r="J35" s="345" t="s">
        <v>775</v>
      </c>
      <c r="K35" s="381">
        <f>IFERROR(__xludf.DUMMYFUNCTION("""COMPUTED_VALUE"""),"Claude 3 Opus")</f>
      </c>
      <c r="L35" s="384">
        <f>IFERROR(__xludf.DUMMYFUNCTION("""COMPUTED_VALUE"""),"Anthropic")</f>
      </c>
      <c r="M35" s="348">
        <f>IFERROR(__xludf.DUMMYFUNCTION("""COMPUTED_VALUE"""),45352.0)</f>
        <v>25568.666666666668</v>
      </c>
      <c r="N35" s="383">
        <f>IFERROR(__xludf.DUMMYFUNCTION("""COMPUTED_VALUE"""),59.5)</f>
      </c>
      <c r="O35" s="374"/>
    </row>
    <row x14ac:dyDescent="0.25" r="36" customHeight="1" ht="32.25">
      <c r="A36" s="374"/>
      <c r="B36" s="385">
        <v>2</v>
      </c>
      <c r="C36" s="386">
        <f>IFERROR(__xludf.DUMMYFUNCTION("""COMPUTED_VALUE"""),"🇺🇸")</f>
      </c>
      <c r="D36" s="387">
        <f>IFERROR(__xludf.DUMMYFUNCTION("""COMPUTED_VALUE"""),"gpt-4-turbo-2024-04-09")</f>
      </c>
      <c r="E36" s="388">
        <f>IFERROR(__xludf.DUMMYFUNCTION("""COMPUTED_VALUE"""),"OpenAI")</f>
      </c>
      <c r="F36" s="389">
        <f>IFERROR(__xludf.DUMMYFUNCTION("""COMPUTED_VALUE"""),45383.0)</f>
        <v>25568.666666666668</v>
      </c>
      <c r="G36" s="390">
        <f>IFERROR(__xludf.DUMMYFUNCTION("""COMPUTED_VALUE"""),86.5)</f>
      </c>
      <c r="H36" s="374"/>
      <c r="I36" s="385">
        <v>2</v>
      </c>
      <c r="J36" s="386">
        <f>IFERROR(__xludf.DUMMYFUNCTION("""COMPUTED_VALUE"""),"🇺🇸")</f>
      </c>
      <c r="K36" s="387">
        <f>IFERROR(__xludf.DUMMYFUNCTION("""COMPUTED_VALUE"""),"gpt-4-turbo-2024-04-09")</f>
      </c>
      <c r="L36" s="391">
        <f>IFERROR(__xludf.DUMMYFUNCTION("""COMPUTED_VALUE"""),"OpenAI")</f>
      </c>
      <c r="M36" s="389">
        <f>IFERROR(__xludf.DUMMYFUNCTION("""COMPUTED_VALUE"""),45383.0)</f>
        <v>25568.666666666668</v>
      </c>
      <c r="N36" s="390">
        <f>IFERROR(__xludf.DUMMYFUNCTION("""COMPUTED_VALUE"""),49.1)</f>
      </c>
      <c r="O36" s="374"/>
    </row>
    <row x14ac:dyDescent="0.25" r="37" customHeight="1" ht="32.25">
      <c r="A37" s="374"/>
      <c r="B37" s="344">
        <v>3</v>
      </c>
      <c r="C37" s="392">
        <f>IFERROR(__xludf.DUMMYFUNCTION("""COMPUTED_VALUE"""),"🇺🇸")</f>
      </c>
      <c r="D37" s="381">
        <f>IFERROR(__xludf.DUMMYFUNCTION("""COMPUTED_VALUE"""),"GPT-4 Classic (gpt-4-0314 &amp; gpt-4-0613, non-Turbo)")</f>
      </c>
      <c r="E37" s="382">
        <f>IFERROR(__xludf.DUMMYFUNCTION("""COMPUTED_VALUE"""),"OpenAI")</f>
      </c>
      <c r="F37" s="348">
        <f>IFERROR(__xludf.DUMMYFUNCTION("""COMPUTED_VALUE"""),44986.0)</f>
        <v>25568.666666666668</v>
      </c>
      <c r="G37" s="383">
        <f>IFERROR(__xludf.DUMMYFUNCTION("""COMPUTED_VALUE"""),86.4)</f>
      </c>
      <c r="H37" s="374"/>
      <c r="I37" s="344">
        <v>3</v>
      </c>
      <c r="J37" s="392">
        <f>IFERROR(__xludf.DUMMYFUNCTION("""COMPUTED_VALUE"""),"🇺🇸")</f>
      </c>
      <c r="K37" s="381">
        <f>IFERROR(__xludf.DUMMYFUNCTION("""COMPUTED_VALUE"""),"GPT-4 Turbo")</f>
      </c>
      <c r="L37" s="384">
        <f>IFERROR(__xludf.DUMMYFUNCTION("""COMPUTED_VALUE"""),"OpenAI")</f>
      </c>
      <c r="M37" s="348">
        <f>IFERROR(__xludf.DUMMYFUNCTION("""COMPUTED_VALUE"""),45231.0)</f>
        <v>25568.666666666668</v>
      </c>
      <c r="N37" s="383">
        <f>IFERROR(__xludf.DUMMYFUNCTION("""COMPUTED_VALUE"""),46.5)</f>
      </c>
      <c r="O37" s="374"/>
    </row>
    <row x14ac:dyDescent="0.25" r="38" customHeight="1" ht="32.25">
      <c r="A38" s="374"/>
      <c r="B38" s="385">
        <v>4</v>
      </c>
      <c r="C38" s="386">
        <f>IFERROR(__xludf.DUMMYFUNCTION("""COMPUTED_VALUE"""),"🇺🇸")</f>
      </c>
      <c r="D38" s="387">
        <f>IFERROR(__xludf.DUMMYFUNCTION("""COMPUTED_VALUE"""),"GPT-4 Turbo")</f>
      </c>
      <c r="E38" s="388">
        <f>IFERROR(__xludf.DUMMYFUNCTION("""COMPUTED_VALUE"""),"OpenAI")</f>
      </c>
      <c r="F38" s="389">
        <f>IFERROR(__xludf.DUMMYFUNCTION("""COMPUTED_VALUE"""),45231.0)</f>
        <v>25568.666666666668</v>
      </c>
      <c r="G38" s="390">
        <f>IFERROR(__xludf.DUMMYFUNCTION("""COMPUTED_VALUE"""),86.4)</f>
      </c>
      <c r="H38" s="374"/>
      <c r="I38" s="385">
        <v>4</v>
      </c>
      <c r="J38" s="386">
        <f>IFERROR(__xludf.DUMMYFUNCTION("""COMPUTED_VALUE"""),"🇺🇸")</f>
      </c>
      <c r="K38" s="387">
        <f>IFERROR(__xludf.DUMMYFUNCTION("""COMPUTED_VALUE"""),"Gemini 1.5 Pro")</f>
      </c>
      <c r="L38" s="391">
        <f>IFERROR(__xludf.DUMMYFUNCTION("""COMPUTED_VALUE"""),"Google DeepMind")</f>
      </c>
      <c r="M38" s="389">
        <f>IFERROR(__xludf.DUMMYFUNCTION("""COMPUTED_VALUE"""),45323.0)</f>
        <v>25568.666666666668</v>
      </c>
      <c r="N38" s="390">
        <f>IFERROR(__xludf.DUMMYFUNCTION("""COMPUTED_VALUE"""),46.2)</f>
      </c>
      <c r="O38" s="374"/>
    </row>
    <row x14ac:dyDescent="0.25" r="39" customHeight="1" ht="32.25">
      <c r="A39" s="374"/>
      <c r="B39" s="344">
        <v>5</v>
      </c>
      <c r="C39" s="392">
        <f>IFERROR(__xludf.DUMMYFUNCTION("""COMPUTED_VALUE"""),"🇺🇸")</f>
      </c>
      <c r="D39" s="381">
        <f>IFERROR(__xludf.DUMMYFUNCTION("""COMPUTED_VALUE"""),"Gemini 1.5 Pro")</f>
      </c>
      <c r="E39" s="382">
        <f>IFERROR(__xludf.DUMMYFUNCTION("""COMPUTED_VALUE"""),"Google DeepMind")</f>
      </c>
      <c r="F39" s="348">
        <f>IFERROR(__xludf.DUMMYFUNCTION("""COMPUTED_VALUE"""),45323.0)</f>
        <v>25568.666666666668</v>
      </c>
      <c r="G39" s="383">
        <f>IFERROR(__xludf.DUMMYFUNCTION("""COMPUTED_VALUE"""),85.9)</f>
      </c>
      <c r="H39" s="374"/>
      <c r="I39" s="344">
        <v>5</v>
      </c>
      <c r="J39" s="392">
        <f>IFERROR(__xludf.DUMMYFUNCTION("""COMPUTED_VALUE"""),"🇨🇳")</f>
      </c>
      <c r="K39" s="381">
        <f>IFERROR(__xludf.DUMMYFUNCTION("""COMPUTED_VALUE"""),"SenseNova 5.0")</f>
      </c>
      <c r="L39" s="384">
        <f>IFERROR(__xludf.DUMMYFUNCTION("""COMPUTED_VALUE"""),"SenseTime")</f>
      </c>
      <c r="M39" s="348">
        <f>IFERROR(__xludf.DUMMYFUNCTION("""COMPUTED_VALUE"""),45383.0)</f>
        <v>25568.666666666668</v>
      </c>
      <c r="N39" s="383">
        <f>IFERROR(__xludf.DUMMYFUNCTION("""COMPUTED_VALUE"""),42.93)</f>
      </c>
      <c r="O39" s="374"/>
    </row>
    <row x14ac:dyDescent="0.25" r="40" customHeight="1" ht="32.25">
      <c r="A40" s="374"/>
      <c r="B40" s="385">
        <v>6</v>
      </c>
      <c r="C40" s="386">
        <f>IFERROR(__xludf.DUMMYFUNCTION("""COMPUTED_VALUE"""),"🇺🇸")</f>
      </c>
      <c r="D40" s="387">
        <f>IFERROR(__xludf.DUMMYFUNCTION("""COMPUTED_VALUE"""),"Inflection-2.5")</f>
      </c>
      <c r="E40" s="388">
        <f>IFERROR(__xludf.DUMMYFUNCTION("""COMPUTED_VALUE"""),"Inflection AI")</f>
      </c>
      <c r="F40" s="389">
        <f>IFERROR(__xludf.DUMMYFUNCTION("""COMPUTED_VALUE"""),45352.0)</f>
        <v>25568.666666666668</v>
      </c>
      <c r="G40" s="390">
        <f>IFERROR(__xludf.DUMMYFUNCTION("""COMPUTED_VALUE"""),85.5)</f>
      </c>
      <c r="H40" s="374"/>
      <c r="I40" s="385">
        <v>6</v>
      </c>
      <c r="J40" s="386">
        <f>IFERROR(__xludf.DUMMYFUNCTION("""COMPUTED_VALUE"""),"🇺🇸")</f>
      </c>
      <c r="K40" s="387">
        <f>IFERROR(__xludf.DUMMYFUNCTION("""COMPUTED_VALUE"""),"Inflection-2.5")</f>
      </c>
      <c r="L40" s="391">
        <f>IFERROR(__xludf.DUMMYFUNCTION("""COMPUTED_VALUE"""),"Inflection AI")</f>
      </c>
      <c r="M40" s="389">
        <f>IFERROR(__xludf.DUMMYFUNCTION("""COMPUTED_VALUE"""),45352.0)</f>
        <v>25568.666666666668</v>
      </c>
      <c r="N40" s="390">
        <f>IFERROR(__xludf.DUMMYFUNCTION("""COMPUTED_VALUE"""),38.4)</f>
      </c>
      <c r="O40" s="374"/>
    </row>
    <row x14ac:dyDescent="0.25" r="41" customHeight="1" ht="32.25">
      <c r="A41" s="374"/>
      <c r="B41" s="344">
        <v>7</v>
      </c>
      <c r="C41" s="392">
        <f>IFERROR(__xludf.DUMMYFUNCTION("""COMPUTED_VALUE"""),"🇨🇳")</f>
      </c>
      <c r="D41" s="381">
        <f>IFERROR(__xludf.DUMMYFUNCTION("""COMPUTED_VALUE"""),"SenseNova 5.0")</f>
      </c>
      <c r="E41" s="382">
        <f>IFERROR(__xludf.DUMMYFUNCTION("""COMPUTED_VALUE"""),"SenseTime")</f>
      </c>
      <c r="F41" s="348">
        <f>IFERROR(__xludf.DUMMYFUNCTION("""COMPUTED_VALUE"""),45383.0)</f>
        <v>25568.666666666668</v>
      </c>
      <c r="G41" s="383">
        <f>IFERROR(__xludf.DUMMYFUNCTION("""COMPUTED_VALUE"""),84.78)</f>
      </c>
      <c r="H41" s="374"/>
      <c r="I41" s="344">
        <v>7</v>
      </c>
      <c r="J41" s="392">
        <f>IFERROR(__xludf.DUMMYFUNCTION("""COMPUTED_VALUE"""),"🇺🇸")</f>
      </c>
      <c r="K41" s="381">
        <f>IFERROR(__xludf.DUMMYFUNCTION("""COMPUTED_VALUE"""),"Reka Core")</f>
      </c>
      <c r="L41" s="384">
        <f>IFERROR(__xludf.DUMMYFUNCTION("""COMPUTED_VALUE"""),"Reka AI")</f>
      </c>
      <c r="M41" s="348">
        <f>IFERROR(__xludf.DUMMYFUNCTION("""COMPUTED_VALUE"""),45383.0)</f>
        <v>25568.666666666668</v>
      </c>
      <c r="N41" s="383">
        <f>IFERROR(__xludf.DUMMYFUNCTION("""COMPUTED_VALUE"""),38.2)</f>
      </c>
      <c r="O41" s="374"/>
    </row>
    <row x14ac:dyDescent="0.25" r="42" customHeight="1" ht="32.25">
      <c r="A42" s="374"/>
      <c r="B42" s="385">
        <v>8</v>
      </c>
      <c r="C42" s="386">
        <f>IFERROR(__xludf.DUMMYFUNCTION("""COMPUTED_VALUE"""),"🇺🇸")</f>
      </c>
      <c r="D42" s="387">
        <f>IFERROR(__xludf.DUMMYFUNCTION("""COMPUTED_VALUE"""),"Gemini Ultra 1.0")</f>
      </c>
      <c r="E42" s="388">
        <f>IFERROR(__xludf.DUMMYFUNCTION("""COMPUTED_VALUE"""),"Google DeepMind")</f>
      </c>
      <c r="F42" s="389">
        <f>IFERROR(__xludf.DUMMYFUNCTION("""COMPUTED_VALUE"""),45261.0)</f>
        <v>25568.666666666668</v>
      </c>
      <c r="G42" s="390">
        <f>IFERROR(__xludf.DUMMYFUNCTION("""COMPUTED_VALUE"""),83.7)</f>
      </c>
      <c r="H42" s="374"/>
      <c r="I42" s="385">
        <v>8</v>
      </c>
      <c r="J42" s="386">
        <f>IFERROR(__xludf.DUMMYFUNCTION("""COMPUTED_VALUE"""),"🇨🇳")</f>
      </c>
      <c r="K42" s="387">
        <f>IFERROR(__xludf.DUMMYFUNCTION("""COMPUTED_VALUE"""),"Qwen-1.5 72B")</f>
      </c>
      <c r="L42" s="391">
        <f>IFERROR(__xludf.DUMMYFUNCTION("""COMPUTED_VALUE"""),"Alibaba")</f>
      </c>
      <c r="M42" s="389">
        <f>IFERROR(__xludf.DUMMYFUNCTION("""COMPUTED_VALUE"""),45323.0)</f>
        <v>25568.666666666668</v>
      </c>
      <c r="N42" s="390">
        <f>IFERROR(__xludf.DUMMYFUNCTION("""COMPUTED_VALUE"""),36.3)</f>
      </c>
      <c r="O42" s="374"/>
    </row>
    <row x14ac:dyDescent="0.25" r="43" customHeight="1" ht="32.25">
      <c r="A43" s="374"/>
      <c r="B43" s="344">
        <v>9</v>
      </c>
      <c r="C43" s="392">
        <f>IFERROR(__xludf.DUMMYFUNCTION("""COMPUTED_VALUE"""),"🇺🇸")</f>
      </c>
      <c r="D43" s="381">
        <f>IFERROR(__xludf.DUMMYFUNCTION("""COMPUTED_VALUE"""),"Reka Core")</f>
      </c>
      <c r="E43" s="382">
        <f>IFERROR(__xludf.DUMMYFUNCTION("""COMPUTED_VALUE"""),"Reka AI")</f>
      </c>
      <c r="F43" s="348">
        <f>IFERROR(__xludf.DUMMYFUNCTION("""COMPUTED_VALUE"""),45383.0)</f>
        <v>25568.666666666668</v>
      </c>
      <c r="G43" s="383">
        <f>IFERROR(__xludf.DUMMYFUNCTION("""COMPUTED_VALUE"""),83.2)</f>
      </c>
      <c r="H43" s="374"/>
      <c r="I43" s="344">
        <v>9</v>
      </c>
      <c r="J43" s="392">
        <f>IFERROR(__xludf.DUMMYFUNCTION("""COMPUTED_VALUE"""),"🇨🇳")</f>
      </c>
      <c r="K43" s="381">
        <f>IFERROR(__xludf.DUMMYFUNCTION("""COMPUTED_VALUE"""),"Qwen-1.5 110B")</f>
      </c>
      <c r="L43" s="384">
        <f>IFERROR(__xludf.DUMMYFUNCTION("""COMPUTED_VALUE"""),"Alibaba")</f>
      </c>
      <c r="M43" s="348">
        <f>IFERROR(__xludf.DUMMYFUNCTION("""COMPUTED_VALUE"""),45383.0)</f>
        <v>25568.666666666668</v>
      </c>
      <c r="N43" s="383">
        <f>IFERROR(__xludf.DUMMYFUNCTION("""COMPUTED_VALUE"""),35.9)</f>
      </c>
      <c r="O43" s="374"/>
    </row>
    <row x14ac:dyDescent="0.25" r="44" customHeight="1" ht="32.25">
      <c r="A44" s="374"/>
      <c r="B44" s="385">
        <v>10</v>
      </c>
      <c r="C44" s="386">
        <f>IFERROR(__xludf.DUMMYFUNCTION("""COMPUTED_VALUE"""),"🇺🇸")</f>
      </c>
      <c r="D44" s="387">
        <f>IFERROR(__xludf.DUMMYFUNCTION("""COMPUTED_VALUE"""),"Llama 3 70B")</f>
      </c>
      <c r="E44" s="388">
        <f>IFERROR(__xludf.DUMMYFUNCTION("""COMPUTED_VALUE"""),"Meta AI")</f>
      </c>
      <c r="F44" s="389">
        <f>IFERROR(__xludf.DUMMYFUNCTION("""COMPUTED_VALUE"""),45383.0)</f>
        <v>25568.666666666668</v>
      </c>
      <c r="G44" s="385">
        <f>IFERROR(__xludf.DUMMYFUNCTION("""COMPUTED_VALUE"""),82.0)</f>
      </c>
      <c r="H44" s="374"/>
      <c r="I44" s="385">
        <v>10</v>
      </c>
      <c r="J44" s="386">
        <f>IFERROR(__xludf.DUMMYFUNCTION("""COMPUTED_VALUE"""),"🇺🇸")</f>
      </c>
      <c r="K44" s="387">
        <f>IFERROR(__xludf.DUMMYFUNCTION("""COMPUTED_VALUE"""),"Gemini Ultra 1.0")</f>
      </c>
      <c r="L44" s="391">
        <f>IFERROR(__xludf.DUMMYFUNCTION("""COMPUTED_VALUE"""),"Google DeepMind")</f>
      </c>
      <c r="M44" s="389">
        <f>IFERROR(__xludf.DUMMYFUNCTION("""COMPUTED_VALUE"""),45261.0)</f>
        <v>25568.666666666668</v>
      </c>
      <c r="N44" s="390">
        <f>IFERROR(__xludf.DUMMYFUNCTION("""COMPUTED_VALUE"""),35.7)</f>
      </c>
      <c r="O44" s="374"/>
    </row>
    <row x14ac:dyDescent="0.25" r="45" customHeight="1" ht="32.25">
      <c r="A45" s="374"/>
      <c r="B45" s="350">
        <v>11</v>
      </c>
      <c r="C45" s="393">
        <f>IFERROR(__xludf.DUMMYFUNCTION("""COMPUTED_VALUE"""),"🇺🇸")</f>
      </c>
      <c r="D45" s="394">
        <f>IFERROR(__xludf.DUMMYFUNCTION("""COMPUTED_VALUE"""),"Grok-1.5")</f>
      </c>
      <c r="E45" s="395">
        <f>IFERROR(__xludf.DUMMYFUNCTION("""COMPUTED_VALUE"""),"xAI")</f>
      </c>
      <c r="F45" s="354">
        <f>IFERROR(__xludf.DUMMYFUNCTION("""COMPUTED_VALUE"""),45352.0)</f>
        <v>25568.666666666668</v>
      </c>
      <c r="G45" s="396">
        <f>IFERROR(__xludf.DUMMYFUNCTION("""COMPUTED_VALUE"""),81.3)</f>
      </c>
      <c r="H45" s="374"/>
      <c r="I45" s="350">
        <v>11</v>
      </c>
      <c r="J45" s="393">
        <f>IFERROR(__xludf.DUMMYFUNCTION("""COMPUTED_VALUE"""),"🇺🇸")</f>
      </c>
      <c r="K45" s="394">
        <f>IFERROR(__xludf.DUMMYFUNCTION("""COMPUTED_VALUE"""),"GPT-4 Classic (gpt-4-0314 &amp; gpt-4-0613, non-Turbo)")</f>
      </c>
      <c r="L45" s="397">
        <f>IFERROR(__xludf.DUMMYFUNCTION("""COMPUTED_VALUE"""),"OpenAI")</f>
      </c>
      <c r="M45" s="354">
        <f>IFERROR(__xludf.DUMMYFUNCTION("""COMPUTED_VALUE"""),44986.0)</f>
        <v>25568.666666666668</v>
      </c>
      <c r="N45" s="396">
        <f>IFERROR(__xludf.DUMMYFUNCTION("""COMPUTED_VALUE"""),35.7)</f>
      </c>
      <c r="O45" s="374"/>
    </row>
    <row x14ac:dyDescent="0.25" r="46" customHeight="1" ht="32.25">
      <c r="A46" s="374"/>
      <c r="B46" s="398">
        <v>12</v>
      </c>
      <c r="C46" s="399">
        <f>IFERROR(__xludf.DUMMYFUNCTION("""COMPUTED_VALUE"""),"🇫🇷")</f>
      </c>
      <c r="D46" s="400">
        <f>IFERROR(__xludf.DUMMYFUNCTION("""COMPUTED_VALUE"""),"Mistral Large")</f>
      </c>
      <c r="E46" s="401">
        <f>IFERROR(__xludf.DUMMYFUNCTION("""COMPUTED_VALUE"""),"Mistral")</f>
      </c>
      <c r="F46" s="402">
        <f>IFERROR(__xludf.DUMMYFUNCTION("""COMPUTED_VALUE"""),45323.0)</f>
        <v>25568.666666666668</v>
      </c>
      <c r="G46" s="403">
        <f>IFERROR(__xludf.DUMMYFUNCTION("""COMPUTED_VALUE"""),81.2)</f>
      </c>
      <c r="H46" s="374"/>
      <c r="I46" s="398">
        <v>12</v>
      </c>
      <c r="J46" s="399">
        <f>IFERROR(__xludf.DUMMYFUNCTION("""COMPUTED_VALUE"""),"🇺🇸")</f>
      </c>
      <c r="K46" s="400">
        <f>IFERROR(__xludf.DUMMYFUNCTION("""COMPUTED_VALUE"""),"Reka Flash")</f>
      </c>
      <c r="L46" s="404">
        <f>IFERROR(__xludf.DUMMYFUNCTION("""COMPUTED_VALUE"""),"Reka AI")</f>
      </c>
      <c r="M46" s="402">
        <f>IFERROR(__xludf.DUMMYFUNCTION("""COMPUTED_VALUE"""),45323.0)</f>
        <v>25568.666666666668</v>
      </c>
      <c r="N46" s="398">
        <f>IFERROR(__xludf.DUMMYFUNCTION("""COMPUTED_VALUE"""),34.0)</f>
      </c>
      <c r="O46" s="374"/>
    </row>
    <row x14ac:dyDescent="0.25" r="47" customHeight="1" ht="32.25">
      <c r="A47" s="374"/>
      <c r="B47" s="405">
        <f>"Models Table Rankings. Alan D. Thompson. Snapshot of models up to " &amp; TEXT(E33, "mmm/yyyy") &amp; "."</f>
      </c>
      <c r="C47" s="406">
        <f>IFERROR(__xludf.DUMMYFUNCTION("""COMPUTED_VALUE"""),"")</f>
      </c>
      <c r="D47" s="374"/>
      <c r="E47" s="407"/>
      <c r="F47" s="407"/>
      <c r="G47" s="408"/>
      <c r="H47" s="374"/>
      <c r="I47" s="409"/>
      <c r="J47" s="406">
        <f>IFERROR(__xludf.DUMMYFUNCTION("""COMPUTED_VALUE"""),"")</f>
      </c>
      <c r="K47" s="374"/>
      <c r="L47" s="410" t="s">
        <v>778</v>
      </c>
      <c r="M47" s="407"/>
      <c r="N47" s="409"/>
      <c r="O47" s="374"/>
    </row>
    <row x14ac:dyDescent="0.25" r="48" customHeight="1" ht="32.25">
      <c r="A48" s="327"/>
      <c r="B48" s="328"/>
      <c r="C48" s="304">
        <f>IFERROR(__xludf.DUMMYFUNCTION("""COMPUTED_VALUE"""),"")</f>
      </c>
      <c r="D48" s="330"/>
      <c r="E48" s="331"/>
      <c r="F48" s="332"/>
      <c r="G48" s="333"/>
      <c r="H48" s="330"/>
      <c r="I48" s="334"/>
      <c r="J48" s="411">
        <f>IFERROR(__xludf.DUMMYFUNCTION("""COMPUTED_VALUE"""),"")</f>
      </c>
      <c r="K48" s="330"/>
      <c r="L48" s="336"/>
      <c r="M48" s="332"/>
      <c r="N48" s="334"/>
      <c r="O48" s="330"/>
    </row>
  </sheetData>
  <mergeCells count="2">
    <mergeCell ref="A1:G1"/>
    <mergeCell ref="H1:O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35"/>
  <sheetViews>
    <sheetView workbookViewId="0"/>
  </sheetViews>
  <sheetFormatPr defaultRowHeight="15" x14ac:dyDescent="0.25"/>
  <cols>
    <col min="1" max="1" style="4" width="15.862142857142858" customWidth="1" bestFit="1"/>
    <col min="2" max="2" style="43" width="32.57642857142857" customWidth="1" bestFit="1"/>
    <col min="3" max="3" style="4" width="8.576428571428572" customWidth="1" bestFit="1"/>
    <col min="4" max="4" style="4" width="24.433571428571426" customWidth="1" bestFit="1"/>
    <col min="5" max="5" style="4" width="1.5764285714285713" customWidth="1" bestFit="1"/>
    <col min="6" max="6" style="4" width="20.862142857142857" customWidth="1" bestFit="1"/>
    <col min="7" max="7" style="4" width="8.005" customWidth="1" bestFit="1"/>
    <col min="8" max="8" style="4" width="186.57642857142858" customWidth="1" bestFit="1"/>
    <col min="9" max="9" style="4" width="186.57642857142858" customWidth="1" bestFit="1"/>
    <col min="10" max="10" style="4" width="186.57642857142858" customWidth="1" bestFit="1"/>
    <col min="11" max="11" style="4" width="186.57642857142858" customWidth="1" bestFit="1"/>
    <col min="12" max="12" style="4" width="186.57642857142858" customWidth="1" bestFit="1"/>
    <col min="13" max="13" style="4" width="186.57642857142858" customWidth="1" bestFit="1"/>
    <col min="14" max="14" style="4" width="186.57642857142858" customWidth="1" bestFit="1"/>
    <col min="15" max="15" style="4" width="186.57642857142858" customWidth="1" bestFit="1"/>
    <col min="16" max="16" style="4" width="186.57642857142858" customWidth="1" bestFit="1"/>
    <col min="17" max="17" style="4" width="186.57642857142858" customWidth="1" bestFit="1"/>
    <col min="18" max="18" style="4" width="186.57642857142858" customWidth="1" bestFit="1"/>
    <col min="19" max="19" style="4" width="186.57642857142858" customWidth="1" bestFit="1"/>
  </cols>
  <sheetData>
    <row x14ac:dyDescent="0.25" r="1" customHeight="1" ht="19.5">
      <c r="A1" s="242" t="s">
        <v>679</v>
      </c>
      <c r="B1" s="26"/>
      <c r="C1" s="242"/>
      <c r="D1" s="21"/>
      <c r="E1" s="21"/>
      <c r="F1" s="242" t="s">
        <v>680</v>
      </c>
      <c r="G1" s="242" t="s">
        <v>681</v>
      </c>
      <c r="H1" s="242" t="s">
        <v>682</v>
      </c>
      <c r="I1" s="242"/>
      <c r="J1" s="242"/>
      <c r="K1" s="242"/>
      <c r="L1" s="242"/>
      <c r="M1" s="242"/>
      <c r="N1" s="242"/>
      <c r="O1" s="242"/>
      <c r="P1" s="242"/>
      <c r="Q1" s="242"/>
      <c r="R1" s="242"/>
      <c r="S1" s="242"/>
    </row>
    <row x14ac:dyDescent="0.25" r="2" customHeight="1" ht="19.5">
      <c r="A2" s="10" t="s">
        <v>683</v>
      </c>
      <c r="B2" s="243">
        <f>COUNTIFS('Models Table'!M3:M35, "&lt;&gt;TBA", 'Models Table'!M3:M35, "&lt;&gt;")</f>
      </c>
      <c r="C2" s="244"/>
      <c r="D2" s="244"/>
      <c r="E2" s="244"/>
      <c r="F2" s="10" t="s">
        <v>149</v>
      </c>
      <c r="G2" s="21" t="s">
        <v>684</v>
      </c>
      <c r="H2" s="21" t="s">
        <v>685</v>
      </c>
      <c r="I2" s="21"/>
      <c r="J2" s="21"/>
      <c r="K2" s="21"/>
      <c r="L2" s="21"/>
      <c r="M2" s="21"/>
      <c r="N2" s="21"/>
      <c r="O2" s="21"/>
      <c r="P2" s="21"/>
      <c r="Q2" s="21"/>
      <c r="R2" s="21"/>
      <c r="S2" s="21"/>
    </row>
    <row x14ac:dyDescent="0.25" r="3" customHeight="1" ht="19.5">
      <c r="A3" s="10" t="s">
        <v>686</v>
      </c>
      <c r="B3" s="245" t="s">
        <v>687</v>
      </c>
      <c r="C3" s="244"/>
      <c r="D3" s="244"/>
      <c r="E3" s="244"/>
      <c r="F3" s="10" t="s">
        <v>45</v>
      </c>
      <c r="G3" s="21" t="s">
        <v>684</v>
      </c>
      <c r="H3" s="21" t="s">
        <v>688</v>
      </c>
      <c r="I3" s="21"/>
      <c r="J3" s="21"/>
      <c r="K3" s="21"/>
      <c r="L3" s="21"/>
      <c r="M3" s="21"/>
      <c r="N3" s="21"/>
      <c r="O3" s="21"/>
      <c r="P3" s="21"/>
      <c r="Q3" s="21"/>
      <c r="R3" s="21"/>
      <c r="S3" s="21"/>
    </row>
    <row x14ac:dyDescent="0.25" r="4" customHeight="1" ht="19.5">
      <c r="A4" s="10" t="s">
        <v>689</v>
      </c>
      <c r="B4" s="26" t="s">
        <v>690</v>
      </c>
      <c r="C4" s="244"/>
      <c r="D4" s="244"/>
      <c r="E4" s="244"/>
      <c r="F4" s="10" t="s">
        <v>691</v>
      </c>
      <c r="G4" s="21" t="s">
        <v>692</v>
      </c>
      <c r="H4" s="21" t="s">
        <v>693</v>
      </c>
      <c r="I4" s="21"/>
      <c r="J4" s="21"/>
      <c r="K4" s="21"/>
      <c r="L4" s="21"/>
      <c r="M4" s="21"/>
      <c r="N4" s="21"/>
      <c r="O4" s="21"/>
      <c r="P4" s="21"/>
      <c r="Q4" s="21"/>
      <c r="R4" s="21"/>
      <c r="S4" s="21"/>
    </row>
    <row x14ac:dyDescent="0.25" r="5" customHeight="1" ht="19.5">
      <c r="A5" s="10" t="s">
        <v>694</v>
      </c>
      <c r="B5" s="26" t="s">
        <v>695</v>
      </c>
      <c r="C5" s="244"/>
      <c r="D5" s="244"/>
      <c r="E5" s="244"/>
      <c r="F5" s="10" t="s">
        <v>696</v>
      </c>
      <c r="G5" s="21" t="s">
        <v>697</v>
      </c>
      <c r="H5" s="21" t="s">
        <v>698</v>
      </c>
      <c r="I5" s="21"/>
      <c r="J5" s="21"/>
      <c r="K5" s="21"/>
      <c r="L5" s="21"/>
      <c r="M5" s="21"/>
      <c r="N5" s="21"/>
      <c r="O5" s="21"/>
      <c r="P5" s="21"/>
      <c r="Q5" s="21"/>
      <c r="R5" s="21"/>
      <c r="S5" s="21"/>
    </row>
    <row x14ac:dyDescent="0.25" r="6" customHeight="1" ht="19.5">
      <c r="A6" s="10" t="s">
        <v>699</v>
      </c>
      <c r="B6" s="245" t="s">
        <v>700</v>
      </c>
      <c r="C6" s="244"/>
      <c r="D6" s="244"/>
      <c r="E6" s="244"/>
      <c r="F6" s="10" t="s">
        <v>701</v>
      </c>
      <c r="G6" s="21" t="s">
        <v>702</v>
      </c>
      <c r="H6" s="21" t="s">
        <v>703</v>
      </c>
      <c r="I6" s="21"/>
      <c r="J6" s="21"/>
      <c r="K6" s="21"/>
      <c r="L6" s="21"/>
      <c r="M6" s="21"/>
      <c r="N6" s="21"/>
      <c r="O6" s="21"/>
      <c r="P6" s="21"/>
      <c r="Q6" s="21"/>
      <c r="R6" s="21"/>
      <c r="S6" s="21"/>
    </row>
    <row x14ac:dyDescent="0.25" r="7" customHeight="1" ht="19.5">
      <c r="A7" s="10" t="s">
        <v>704</v>
      </c>
      <c r="B7" s="245" t="s">
        <v>705</v>
      </c>
      <c r="C7" s="246"/>
      <c r="D7" s="246"/>
      <c r="E7" s="246"/>
      <c r="F7" s="10" t="s">
        <v>706</v>
      </c>
      <c r="G7" s="21" t="s">
        <v>707</v>
      </c>
      <c r="H7" s="247" t="s">
        <v>708</v>
      </c>
      <c r="I7" s="248"/>
      <c r="J7" s="248"/>
      <c r="K7" s="248"/>
      <c r="L7" s="248"/>
      <c r="M7" s="248"/>
      <c r="N7" s="248"/>
      <c r="O7" s="248"/>
      <c r="P7" s="248"/>
      <c r="Q7" s="248"/>
      <c r="R7" s="248"/>
      <c r="S7" s="248"/>
    </row>
    <row x14ac:dyDescent="0.25" r="8" customHeight="1" ht="19.5">
      <c r="A8" s="10" t="s">
        <v>709</v>
      </c>
      <c r="B8" s="245" t="s">
        <v>710</v>
      </c>
      <c r="C8" s="21"/>
      <c r="D8" s="10"/>
      <c r="E8" s="21"/>
      <c r="F8" s="10" t="s">
        <v>711</v>
      </c>
      <c r="G8" s="21" t="s">
        <v>697</v>
      </c>
      <c r="H8" s="249" t="s">
        <v>712</v>
      </c>
      <c r="I8" s="250"/>
      <c r="J8" s="250"/>
      <c r="K8" s="250"/>
      <c r="L8" s="250"/>
      <c r="M8" s="250"/>
      <c r="N8" s="250"/>
      <c r="O8" s="250"/>
      <c r="P8" s="250"/>
      <c r="Q8" s="250"/>
      <c r="R8" s="250"/>
      <c r="S8" s="250"/>
    </row>
    <row x14ac:dyDescent="0.25" r="9" customHeight="1" ht="19.5">
      <c r="A9" s="10" t="s">
        <v>713</v>
      </c>
      <c r="B9" s="245" t="s">
        <v>714</v>
      </c>
      <c r="C9" s="21"/>
      <c r="D9" s="21"/>
      <c r="E9" s="21"/>
      <c r="F9" s="10" t="s">
        <v>715</v>
      </c>
      <c r="G9" s="21" t="s">
        <v>697</v>
      </c>
      <c r="H9" s="251" t="s">
        <v>716</v>
      </c>
      <c r="I9" s="21"/>
      <c r="J9" s="21"/>
      <c r="K9" s="21"/>
      <c r="L9" s="21"/>
      <c r="M9" s="21"/>
      <c r="N9" s="21"/>
      <c r="O9" s="21"/>
      <c r="P9" s="21"/>
      <c r="Q9" s="21"/>
      <c r="R9" s="21"/>
      <c r="S9" s="21"/>
    </row>
    <row x14ac:dyDescent="0.25" r="10" customHeight="1" ht="19.5">
      <c r="A10" s="10" t="s">
        <v>717</v>
      </c>
      <c r="B10" s="245" t="s">
        <v>718</v>
      </c>
      <c r="C10" s="21"/>
      <c r="D10" s="21"/>
      <c r="E10" s="21"/>
      <c r="F10" s="10" t="s">
        <v>719</v>
      </c>
      <c r="G10" s="21" t="s">
        <v>697</v>
      </c>
      <c r="H10" s="21" t="s">
        <v>720</v>
      </c>
      <c r="I10" s="21"/>
      <c r="J10" s="21"/>
      <c r="K10" s="21"/>
      <c r="L10" s="21"/>
      <c r="M10" s="21"/>
      <c r="N10" s="21"/>
      <c r="O10" s="21"/>
      <c r="P10" s="21"/>
      <c r="Q10" s="21"/>
      <c r="R10" s="21"/>
      <c r="S10" s="21"/>
    </row>
    <row x14ac:dyDescent="0.25" r="11" customHeight="1" ht="19.5">
      <c r="A11" s="10" t="s">
        <v>721</v>
      </c>
      <c r="B11" s="245" t="s">
        <v>722</v>
      </c>
      <c r="C11" s="21"/>
      <c r="D11" s="21"/>
      <c r="E11" s="21"/>
      <c r="F11" s="10" t="s">
        <v>723</v>
      </c>
      <c r="G11" s="21" t="s">
        <v>697</v>
      </c>
      <c r="H11" s="21" t="s">
        <v>724</v>
      </c>
      <c r="I11" s="21"/>
      <c r="J11" s="21"/>
      <c r="K11" s="21"/>
      <c r="L11" s="21"/>
      <c r="M11" s="21"/>
      <c r="N11" s="21"/>
      <c r="O11" s="21"/>
      <c r="P11" s="21"/>
      <c r="Q11" s="21"/>
      <c r="R11" s="21"/>
      <c r="S11" s="21"/>
    </row>
    <row x14ac:dyDescent="0.25" r="12" customHeight="1" ht="19.5">
      <c r="A12" s="10" t="s">
        <v>725</v>
      </c>
      <c r="B12" s="245" t="s">
        <v>726</v>
      </c>
      <c r="C12" s="21"/>
      <c r="D12" s="21"/>
      <c r="E12" s="21"/>
      <c r="F12" s="10" t="s">
        <v>727</v>
      </c>
      <c r="G12" s="21" t="s">
        <v>697</v>
      </c>
      <c r="H12" s="21" t="s">
        <v>728</v>
      </c>
      <c r="I12" s="21"/>
      <c r="J12" s="21"/>
      <c r="K12" s="21"/>
      <c r="L12" s="21"/>
      <c r="M12" s="21"/>
      <c r="N12" s="21"/>
      <c r="O12" s="21"/>
      <c r="P12" s="21"/>
      <c r="Q12" s="21"/>
      <c r="R12" s="21"/>
      <c r="S12" s="21"/>
    </row>
    <row x14ac:dyDescent="0.25" r="13" customHeight="1" ht="19.5">
      <c r="A13" s="10" t="s">
        <v>729</v>
      </c>
      <c r="B13" s="245" t="s">
        <v>730</v>
      </c>
      <c r="C13" s="21"/>
      <c r="D13" s="21"/>
      <c r="E13" s="21"/>
      <c r="F13" s="10" t="s">
        <v>731</v>
      </c>
      <c r="G13" s="21" t="s">
        <v>684</v>
      </c>
      <c r="H13" s="21" t="s">
        <v>732</v>
      </c>
      <c r="I13" s="21"/>
      <c r="J13" s="21"/>
      <c r="K13" s="21"/>
      <c r="L13" s="21"/>
      <c r="M13" s="21"/>
      <c r="N13" s="21"/>
      <c r="O13" s="21"/>
      <c r="P13" s="21"/>
      <c r="Q13" s="21"/>
      <c r="R13" s="21"/>
      <c r="S13" s="21"/>
    </row>
    <row x14ac:dyDescent="0.25" r="14" customHeight="1" ht="19.5">
      <c r="A14" s="10" t="s">
        <v>733</v>
      </c>
      <c r="B14" s="26" t="s">
        <v>734</v>
      </c>
      <c r="C14" s="21"/>
      <c r="D14" s="21"/>
      <c r="E14" s="21"/>
      <c r="F14" s="10" t="s">
        <v>463</v>
      </c>
      <c r="G14" s="21" t="s">
        <v>735</v>
      </c>
      <c r="H14" s="21" t="s">
        <v>736</v>
      </c>
      <c r="I14" s="21"/>
      <c r="J14" s="21"/>
      <c r="K14" s="21"/>
      <c r="L14" s="21"/>
      <c r="M14" s="21"/>
      <c r="N14" s="21"/>
      <c r="O14" s="21"/>
      <c r="P14" s="21"/>
      <c r="Q14" s="21"/>
      <c r="R14" s="21"/>
      <c r="S14" s="21"/>
    </row>
    <row x14ac:dyDescent="0.25" r="15" customHeight="1" ht="19.5">
      <c r="A15" s="21"/>
      <c r="B15" s="26" t="s">
        <v>737</v>
      </c>
      <c r="C15" s="21"/>
      <c r="D15" s="21"/>
      <c r="E15" s="21"/>
      <c r="F15" s="10" t="s">
        <v>464</v>
      </c>
      <c r="G15" s="21" t="s">
        <v>738</v>
      </c>
      <c r="H15" s="21" t="s">
        <v>739</v>
      </c>
      <c r="I15" s="21"/>
      <c r="J15" s="21"/>
      <c r="K15" s="21"/>
      <c r="L15" s="21"/>
      <c r="M15" s="21"/>
      <c r="N15" s="21"/>
      <c r="O15" s="21"/>
      <c r="P15" s="21"/>
      <c r="Q15" s="21"/>
      <c r="R15" s="21"/>
      <c r="S15" s="21"/>
    </row>
    <row x14ac:dyDescent="0.25" r="16" customHeight="1" ht="19.5">
      <c r="A16" s="252"/>
      <c r="B16" s="253" t="s">
        <v>740</v>
      </c>
      <c r="C16" s="246"/>
      <c r="D16" s="246"/>
      <c r="E16" s="21"/>
      <c r="F16" s="254" t="s">
        <v>741</v>
      </c>
      <c r="G16" s="169" t="s">
        <v>692</v>
      </c>
      <c r="H16" s="169" t="s">
        <v>742</v>
      </c>
      <c r="I16" s="169"/>
      <c r="J16" s="169"/>
      <c r="K16" s="169"/>
      <c r="L16" s="169"/>
      <c r="M16" s="169"/>
      <c r="N16" s="169"/>
      <c r="O16" s="169"/>
      <c r="P16" s="169"/>
      <c r="Q16" s="169"/>
      <c r="R16" s="169"/>
      <c r="S16" s="169"/>
    </row>
    <row x14ac:dyDescent="0.25" r="17" customHeight="1" ht="19.5">
      <c r="A17" s="246"/>
      <c r="B17" s="255" t="s">
        <v>743</v>
      </c>
      <c r="C17" s="246"/>
      <c r="D17" s="246"/>
      <c r="E17" s="21"/>
      <c r="F17" s="10" t="s">
        <v>744</v>
      </c>
      <c r="G17" s="21" t="s">
        <v>684</v>
      </c>
      <c r="H17" s="21" t="s">
        <v>745</v>
      </c>
      <c r="I17" s="21"/>
      <c r="J17" s="21"/>
      <c r="K17" s="21"/>
      <c r="L17" s="21"/>
      <c r="M17" s="21"/>
      <c r="N17" s="21"/>
      <c r="O17" s="21"/>
      <c r="P17" s="21"/>
      <c r="Q17" s="21"/>
      <c r="R17" s="21"/>
      <c r="S17" s="21"/>
    </row>
    <row x14ac:dyDescent="0.25" r="18" customHeight="1" ht="19.5">
      <c r="A18" s="246"/>
      <c r="B18" s="256"/>
      <c r="C18" s="257"/>
      <c r="D18" s="246"/>
      <c r="E18" s="21"/>
      <c r="F18" s="10" t="s">
        <v>746</v>
      </c>
      <c r="G18" s="21" t="s">
        <v>747</v>
      </c>
      <c r="H18" s="21" t="s">
        <v>748</v>
      </c>
      <c r="I18" s="21"/>
      <c r="J18" s="21"/>
      <c r="K18" s="21"/>
      <c r="L18" s="21"/>
      <c r="M18" s="21"/>
      <c r="N18" s="21"/>
      <c r="O18" s="21"/>
      <c r="P18" s="21"/>
      <c r="Q18" s="21"/>
      <c r="R18" s="21"/>
      <c r="S18" s="21"/>
    </row>
    <row x14ac:dyDescent="0.25" r="19" customHeight="1" ht="19.5">
      <c r="A19" s="246"/>
      <c r="B19" s="258"/>
      <c r="C19" s="246"/>
      <c r="D19" s="246"/>
      <c r="E19" s="21"/>
      <c r="F19" s="10" t="s">
        <v>58</v>
      </c>
      <c r="G19" s="21" t="s">
        <v>684</v>
      </c>
      <c r="H19" s="21" t="s">
        <v>749</v>
      </c>
      <c r="I19" s="21"/>
      <c r="J19" s="21"/>
      <c r="K19" s="21"/>
      <c r="L19" s="21"/>
      <c r="M19" s="21"/>
      <c r="N19" s="21"/>
      <c r="O19" s="21"/>
      <c r="P19" s="21"/>
      <c r="Q19" s="21"/>
      <c r="R19" s="21"/>
      <c r="S19" s="21"/>
    </row>
    <row x14ac:dyDescent="0.25" r="20" customHeight="1" ht="19.5">
      <c r="A20" s="246"/>
      <c r="B20" s="256"/>
      <c r="C20" s="246"/>
      <c r="D20" s="246"/>
      <c r="E20" s="21"/>
      <c r="F20" s="21"/>
      <c r="G20" s="21"/>
      <c r="H20" s="21"/>
      <c r="I20" s="21"/>
      <c r="J20" s="21"/>
      <c r="K20" s="21"/>
      <c r="L20" s="21"/>
      <c r="M20" s="21"/>
      <c r="N20" s="21"/>
      <c r="O20" s="21"/>
      <c r="P20" s="21"/>
      <c r="Q20" s="21"/>
      <c r="R20" s="21"/>
      <c r="S20" s="21"/>
    </row>
    <row x14ac:dyDescent="0.25" r="21" customHeight="1" ht="19.5">
      <c r="A21" s="259"/>
      <c r="B21" s="260"/>
      <c r="C21" s="33"/>
      <c r="D21" s="261"/>
      <c r="E21" s="262"/>
      <c r="F21" s="263"/>
      <c r="G21" s="264"/>
      <c r="H21" s="265"/>
      <c r="I21" s="266"/>
      <c r="J21" s="267"/>
      <c r="K21" s="223"/>
      <c r="L21" s="268"/>
      <c r="M21" s="269"/>
      <c r="N21" s="270"/>
      <c r="O21" s="271"/>
      <c r="P21" s="259"/>
      <c r="Q21" s="272"/>
      <c r="R21" s="249"/>
      <c r="S21" s="273"/>
    </row>
    <row x14ac:dyDescent="0.25" r="22" customHeight="1" ht="19.5">
      <c r="A22" s="21"/>
      <c r="B22" s="26"/>
      <c r="C22" s="21"/>
      <c r="D22" s="21"/>
      <c r="E22" s="21"/>
      <c r="F22" s="21"/>
      <c r="G22" s="21"/>
      <c r="H22" s="21"/>
      <c r="I22" s="21"/>
      <c r="J22" s="21"/>
      <c r="K22" s="21"/>
      <c r="L22" s="21"/>
      <c r="M22" s="21"/>
      <c r="N22" s="21"/>
      <c r="O22" s="21"/>
      <c r="P22" s="21"/>
      <c r="Q22" s="21"/>
      <c r="R22" s="21"/>
      <c r="S22" s="21"/>
    </row>
    <row x14ac:dyDescent="0.25" r="23" customHeight="1" ht="19.5">
      <c r="A23" s="10" t="s">
        <v>750</v>
      </c>
      <c r="B23" s="26"/>
      <c r="C23" s="274"/>
      <c r="D23" s="21"/>
      <c r="E23" s="21"/>
      <c r="F23" s="21"/>
      <c r="G23" s="21"/>
      <c r="H23" s="21"/>
      <c r="I23" s="21"/>
      <c r="J23" s="21"/>
      <c r="K23" s="21"/>
      <c r="L23" s="21"/>
      <c r="M23" s="21"/>
      <c r="N23" s="21"/>
      <c r="O23" s="21"/>
      <c r="P23" s="21"/>
      <c r="Q23" s="21"/>
      <c r="R23" s="21"/>
      <c r="S23" s="21"/>
    </row>
    <row x14ac:dyDescent="0.25" r="24" customHeight="1" ht="19.5">
      <c r="A24" s="275" t="s">
        <v>751</v>
      </c>
      <c r="B24" s="276"/>
      <c r="C24" s="274" t="s">
        <v>752</v>
      </c>
      <c r="D24" s="21"/>
      <c r="E24" s="21"/>
      <c r="F24" s="21"/>
      <c r="G24" s="21"/>
      <c r="H24" s="21"/>
      <c r="I24" s="21"/>
      <c r="J24" s="21"/>
      <c r="K24" s="21"/>
      <c r="L24" s="21"/>
      <c r="M24" s="21"/>
      <c r="N24" s="21"/>
      <c r="O24" s="21"/>
      <c r="P24" s="21"/>
      <c r="Q24" s="21"/>
      <c r="R24" s="21"/>
      <c r="S24" s="21"/>
    </row>
    <row x14ac:dyDescent="0.25" r="25" customHeight="1" ht="19.5">
      <c r="A25" s="275" t="s">
        <v>753</v>
      </c>
      <c r="B25" s="276"/>
      <c r="C25" s="274" t="s">
        <v>754</v>
      </c>
      <c r="D25" s="21"/>
      <c r="E25" s="21"/>
      <c r="F25" s="21"/>
      <c r="G25" s="21"/>
      <c r="H25" s="21"/>
      <c r="I25" s="21"/>
      <c r="J25" s="21"/>
      <c r="K25" s="21"/>
      <c r="L25" s="21"/>
      <c r="M25" s="21"/>
      <c r="N25" s="21"/>
      <c r="O25" s="21"/>
      <c r="P25" s="21"/>
      <c r="Q25" s="21"/>
      <c r="R25" s="21"/>
      <c r="S25" s="21"/>
    </row>
    <row x14ac:dyDescent="0.25" r="26" customHeight="1" ht="19.5">
      <c r="A26" s="275" t="s">
        <v>755</v>
      </c>
      <c r="B26" s="276"/>
      <c r="C26" s="274" t="s">
        <v>756</v>
      </c>
      <c r="D26" s="21"/>
      <c r="E26" s="21"/>
      <c r="F26" s="21"/>
      <c r="G26" s="21"/>
      <c r="H26" s="21"/>
      <c r="I26" s="21"/>
      <c r="J26" s="21"/>
      <c r="K26" s="21"/>
      <c r="L26" s="21"/>
      <c r="M26" s="21"/>
      <c r="N26" s="21"/>
      <c r="O26" s="21"/>
      <c r="P26" s="21"/>
      <c r="Q26" s="21"/>
      <c r="R26" s="21"/>
      <c r="S26" s="21"/>
    </row>
    <row x14ac:dyDescent="0.25" r="27" customHeight="1" ht="19.5">
      <c r="A27" s="275" t="s">
        <v>757</v>
      </c>
      <c r="B27" s="276"/>
      <c r="C27" s="274" t="s">
        <v>758</v>
      </c>
      <c r="D27" s="21"/>
      <c r="E27" s="21"/>
      <c r="F27" s="21"/>
      <c r="G27" s="21"/>
      <c r="H27" s="21"/>
      <c r="I27" s="21"/>
      <c r="J27" s="21"/>
      <c r="K27" s="21"/>
      <c r="L27" s="21"/>
      <c r="M27" s="21"/>
      <c r="N27" s="21"/>
      <c r="O27" s="21"/>
      <c r="P27" s="21"/>
      <c r="Q27" s="21"/>
      <c r="R27" s="21"/>
      <c r="S27" s="21"/>
    </row>
    <row x14ac:dyDescent="0.25" r="28" customHeight="1" ht="19.5">
      <c r="A28" s="275" t="s">
        <v>759</v>
      </c>
      <c r="B28" s="276"/>
      <c r="C28" s="274" t="s">
        <v>760</v>
      </c>
      <c r="D28" s="21"/>
      <c r="E28" s="21"/>
      <c r="F28" s="21"/>
      <c r="G28" s="21"/>
      <c r="H28" s="21"/>
      <c r="I28" s="21"/>
      <c r="J28" s="21"/>
      <c r="K28" s="21"/>
      <c r="L28" s="21"/>
      <c r="M28" s="21"/>
      <c r="N28" s="21"/>
      <c r="O28" s="21"/>
      <c r="P28" s="21"/>
      <c r="Q28" s="21"/>
      <c r="R28" s="21"/>
      <c r="S28" s="21"/>
    </row>
    <row x14ac:dyDescent="0.25" r="29" customHeight="1" ht="19.5">
      <c r="A29" s="275" t="s">
        <v>761</v>
      </c>
      <c r="B29" s="276"/>
      <c r="C29" s="274" t="s">
        <v>762</v>
      </c>
      <c r="D29" s="21"/>
      <c r="E29" s="21"/>
      <c r="F29" s="21"/>
      <c r="G29" s="21"/>
      <c r="H29" s="21"/>
      <c r="I29" s="21"/>
      <c r="J29" s="21"/>
      <c r="K29" s="21"/>
      <c r="L29" s="21"/>
      <c r="M29" s="21"/>
      <c r="N29" s="21"/>
      <c r="O29" s="21"/>
      <c r="P29" s="21"/>
      <c r="Q29" s="21"/>
      <c r="R29" s="21"/>
      <c r="S29" s="21"/>
    </row>
    <row x14ac:dyDescent="0.25" r="30" customHeight="1" ht="19.5">
      <c r="A30" s="275" t="s">
        <v>763</v>
      </c>
      <c r="B30" s="277"/>
      <c r="C30" s="274" t="s">
        <v>764</v>
      </c>
      <c r="D30" s="21"/>
      <c r="E30" s="21"/>
      <c r="F30" s="21"/>
      <c r="G30" s="21"/>
      <c r="H30" s="21"/>
      <c r="I30" s="21"/>
      <c r="J30" s="21"/>
      <c r="K30" s="21"/>
      <c r="L30" s="21"/>
      <c r="M30" s="21"/>
      <c r="N30" s="21"/>
      <c r="O30" s="21"/>
      <c r="P30" s="21"/>
      <c r="Q30" s="21"/>
      <c r="R30" s="21"/>
      <c r="S30" s="21"/>
    </row>
    <row x14ac:dyDescent="0.25" r="31" customHeight="1" ht="19.5">
      <c r="A31" s="275" t="s">
        <v>765</v>
      </c>
      <c r="B31" s="277"/>
      <c r="C31" s="274" t="s">
        <v>766</v>
      </c>
      <c r="D31" s="21"/>
      <c r="E31" s="21"/>
      <c r="F31" s="21"/>
      <c r="G31" s="21"/>
      <c r="H31" s="21"/>
      <c r="I31" s="21"/>
      <c r="J31" s="21"/>
      <c r="K31" s="21"/>
      <c r="L31" s="21"/>
      <c r="M31" s="21"/>
      <c r="N31" s="21"/>
      <c r="O31" s="21"/>
      <c r="P31" s="21"/>
      <c r="Q31" s="21"/>
      <c r="R31" s="21"/>
      <c r="S31" s="21"/>
    </row>
    <row x14ac:dyDescent="0.25" r="32" customHeight="1" ht="19.5">
      <c r="A32" s="275" t="s">
        <v>767</v>
      </c>
      <c r="B32" s="277"/>
      <c r="C32" s="274" t="s">
        <v>768</v>
      </c>
      <c r="D32" s="21"/>
      <c r="E32" s="21"/>
      <c r="F32" s="21"/>
      <c r="G32" s="21"/>
      <c r="H32" s="21"/>
      <c r="I32" s="21"/>
      <c r="J32" s="21"/>
      <c r="K32" s="21"/>
      <c r="L32" s="21"/>
      <c r="M32" s="21"/>
      <c r="N32" s="21"/>
      <c r="O32" s="21"/>
      <c r="P32" s="21"/>
      <c r="Q32" s="21"/>
      <c r="R32" s="21"/>
      <c r="S32" s="21"/>
    </row>
    <row x14ac:dyDescent="0.25" r="33" customHeight="1" ht="19.5">
      <c r="A33" s="275" t="s">
        <v>769</v>
      </c>
      <c r="B33" s="277"/>
      <c r="C33" s="274" t="s">
        <v>770</v>
      </c>
      <c r="D33" s="21"/>
      <c r="E33" s="21"/>
      <c r="F33" s="21"/>
      <c r="G33" s="21"/>
      <c r="H33" s="21"/>
      <c r="I33" s="21"/>
      <c r="J33" s="21"/>
      <c r="K33" s="21"/>
      <c r="L33" s="21"/>
      <c r="M33" s="21"/>
      <c r="N33" s="21"/>
      <c r="O33" s="21"/>
      <c r="P33" s="21"/>
      <c r="Q33" s="21"/>
      <c r="R33" s="21"/>
      <c r="S33" s="21"/>
    </row>
    <row x14ac:dyDescent="0.25" r="34" customHeight="1" ht="19.5">
      <c r="A34" s="275" t="s">
        <v>771</v>
      </c>
      <c r="B34" s="277"/>
      <c r="C34" s="274" t="s">
        <v>772</v>
      </c>
      <c r="D34" s="21"/>
      <c r="E34" s="21"/>
      <c r="F34" s="21"/>
      <c r="G34" s="21"/>
      <c r="H34" s="21"/>
      <c r="I34" s="21"/>
      <c r="J34" s="21"/>
      <c r="K34" s="21"/>
      <c r="L34" s="21"/>
      <c r="M34" s="21"/>
      <c r="N34" s="21"/>
      <c r="O34" s="21"/>
      <c r="P34" s="21"/>
      <c r="Q34" s="21"/>
      <c r="R34" s="21"/>
      <c r="S34" s="21"/>
    </row>
    <row x14ac:dyDescent="0.25" r="35" customHeight="1" ht="19.5">
      <c r="A35" s="275" t="s">
        <v>773</v>
      </c>
      <c r="B35" s="277"/>
      <c r="C35" s="278">
        <f>"("&amp;COUNTIFS(X3:X35, "&lt;&gt;TBA", X3:X35, "&lt;&gt;")&amp;") Permalink:"</f>
      </c>
      <c r="D35" s="21"/>
      <c r="E35" s="21"/>
      <c r="F35" s="21"/>
      <c r="G35" s="21"/>
      <c r="H35" s="21"/>
      <c r="I35" s="21"/>
      <c r="J35" s="21"/>
      <c r="K35" s="21"/>
      <c r="L35" s="21"/>
      <c r="M35" s="21"/>
      <c r="N35" s="21"/>
      <c r="O35" s="21"/>
      <c r="P35" s="21"/>
      <c r="Q35" s="21"/>
      <c r="R35" s="21"/>
      <c r="S35"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59"/>
  <sheetViews>
    <sheetView workbookViewId="0">
      <pane state="frozen" activePane="bottomLeft" topLeftCell="A3" ySplit="2" xSplit="0"/>
    </sheetView>
  </sheetViews>
  <sheetFormatPr defaultRowHeight="15" x14ac:dyDescent="0.25"/>
  <cols>
    <col min="1" max="1" style="4" width="23.576428571428572" customWidth="1" bestFit="1"/>
    <col min="2" max="2" style="237" width="14.147857142857141" customWidth="1" bestFit="1"/>
    <col min="3" max="3" style="44" width="13.290714285714287" customWidth="1" bestFit="1"/>
    <col min="4" max="4" style="238" width="9.290714285714287" customWidth="1" bestFit="1"/>
    <col min="5" max="5" style="239" width="16.719285714285714" customWidth="1" bestFit="1"/>
    <col min="6" max="6" style="240" width="9.290714285714287" customWidth="1" bestFit="1"/>
    <col min="7" max="7" style="241" width="16.719285714285714" customWidth="1" bestFit="1"/>
    <col min="8" max="8" style="44" width="9.290714285714287" customWidth="1" bestFit="1"/>
    <col min="9" max="9" style="4" width="16.719285714285714" customWidth="1" bestFit="1"/>
    <col min="10" max="10" style="43" width="15.290714285714287" customWidth="1" bestFit="1"/>
    <col min="11" max="11" style="151" width="11.719285714285713" customWidth="1" bestFit="1"/>
    <col min="12" max="12" style="196" width="9.862142857142858" customWidth="1" bestFit="1"/>
    <col min="13" max="13" style="239" width="18.719285714285714" customWidth="1" bestFit="1"/>
    <col min="14" max="14" style="196" width="12.719285714285713" customWidth="1" bestFit="1"/>
    <col min="15" max="15" style="4" width="12.719285714285713" customWidth="1" bestFit="1"/>
    <col min="16" max="16" style="4" width="97.14785714285713" customWidth="1" bestFit="1"/>
  </cols>
  <sheetData>
    <row x14ac:dyDescent="0.25" r="1" customHeight="1" ht="17.25">
      <c r="A1" s="201">
        <f>"(" &amp; COUNTIF(K4:K59, "&lt;&gt;TBA")- COUNTIF(K4:K59, "") &amp; ") Permalink:"</f>
      </c>
      <c r="B1" s="202" t="s">
        <v>452</v>
      </c>
      <c r="C1" s="203"/>
      <c r="D1" s="204"/>
      <c r="E1" s="205"/>
      <c r="F1" s="206" t="s">
        <v>453</v>
      </c>
      <c r="G1" s="207"/>
      <c r="H1" s="208" t="s">
        <v>454</v>
      </c>
      <c r="I1" s="209"/>
      <c r="J1" s="210"/>
      <c r="K1" s="210"/>
      <c r="L1" s="205" t="s">
        <v>455</v>
      </c>
      <c r="M1" s="202" t="s">
        <v>456</v>
      </c>
      <c r="N1" s="209"/>
      <c r="O1" s="211"/>
      <c r="P1" s="211"/>
    </row>
    <row x14ac:dyDescent="0.25" r="2" customHeight="1" ht="17.25">
      <c r="A2" s="212" t="s">
        <v>457</v>
      </c>
      <c r="B2" s="212" t="s">
        <v>45</v>
      </c>
      <c r="C2" s="213" t="s">
        <v>458</v>
      </c>
      <c r="D2" s="214" t="s">
        <v>459</v>
      </c>
      <c r="E2" s="215"/>
      <c r="F2" s="216" t="s">
        <v>460</v>
      </c>
      <c r="G2" s="217"/>
      <c r="H2" s="214" t="s">
        <v>461</v>
      </c>
      <c r="I2" s="215"/>
      <c r="J2" s="216" t="s">
        <v>462</v>
      </c>
      <c r="K2" s="218" t="s">
        <v>463</v>
      </c>
      <c r="L2" s="219" t="s">
        <v>464</v>
      </c>
      <c r="M2" s="212" t="s">
        <v>465</v>
      </c>
      <c r="N2" s="212" t="s">
        <v>466</v>
      </c>
      <c r="O2" s="212" t="s">
        <v>467</v>
      </c>
      <c r="P2" s="212" t="s">
        <v>58</v>
      </c>
    </row>
    <row x14ac:dyDescent="0.25" r="3" customHeight="1" ht="19.5">
      <c r="A3" s="21" t="s">
        <v>468</v>
      </c>
      <c r="B3" s="21" t="s">
        <v>469</v>
      </c>
      <c r="C3" s="23">
        <v>908875</v>
      </c>
      <c r="D3" s="23">
        <v>3635500000</v>
      </c>
      <c r="E3" s="220">
        <f>IFERROR(__xludf.DUMMYFUNCTION("IF(D3&lt;&gt;"""",sparkline(D3,{""charttype"",""bar"";""color1"",""#e74c3c"";""max"",10000}),"""")"),"")</f>
      </c>
      <c r="F3" s="26"/>
      <c r="G3" s="221"/>
      <c r="H3" s="23">
        <v>3635500000</v>
      </c>
      <c r="I3" s="222">
        <f>IFERROR(__xludf.DUMMYFUNCTION("IF(H3&lt;&gt;"""",sparkline(H3,{""charttype"",""bar"";""color1"",""#2ecc71"";""max"",10000}),"""")"),"")</f>
        <v>25568.666666666668</v>
      </c>
      <c r="J3" s="23">
        <v>1</v>
      </c>
      <c r="K3" s="222">
        <v>45962</v>
      </c>
      <c r="L3" s="223" t="s">
        <v>470</v>
      </c>
      <c r="M3" s="21"/>
      <c r="N3" s="21"/>
      <c r="O3" s="25" t="s">
        <v>471</v>
      </c>
      <c r="P3" s="25" t="s">
        <v>472</v>
      </c>
    </row>
    <row x14ac:dyDescent="0.25" r="4" customHeight="1" ht="19.5">
      <c r="A4" s="21" t="s">
        <v>473</v>
      </c>
      <c r="B4" s="21" t="s">
        <v>474</v>
      </c>
      <c r="C4" s="23">
        <v>9000</v>
      </c>
      <c r="D4" s="23">
        <v>2000000</v>
      </c>
      <c r="E4" s="220">
        <f>IFERROR(__xludf.DUMMYFUNCTION("IF(D4&lt;&gt;"""",sparkline(D4,{""charttype"",""bar"";""color1"",""#e74c3c"";""max"",10000}),"""")"),"")</f>
      </c>
      <c r="F4" s="26"/>
      <c r="G4" s="221"/>
      <c r="H4" s="23">
        <v>2000000</v>
      </c>
      <c r="I4" s="222">
        <f>IFERROR(__xludf.DUMMYFUNCTION("IF(H4&lt;&gt;"""",sparkline(H4,{""charttype"",""bar"";""color1"",""#2ecc71"";""max"",10000}),"""")"),"")</f>
        <v>25568.666666666668</v>
      </c>
      <c r="J4" s="23">
        <v>4</v>
      </c>
      <c r="K4" s="222">
        <v>45658</v>
      </c>
      <c r="L4" s="223" t="s">
        <v>470</v>
      </c>
      <c r="M4" s="21" t="s">
        <v>473</v>
      </c>
      <c r="N4" s="25" t="s">
        <v>475</v>
      </c>
      <c r="O4" s="25" t="s">
        <v>476</v>
      </c>
      <c r="P4" s="25" t="s">
        <v>477</v>
      </c>
    </row>
    <row x14ac:dyDescent="0.25" r="5" customHeight="1" ht="19.5">
      <c r="A5" s="21" t="s">
        <v>478</v>
      </c>
      <c r="B5" s="21" t="s">
        <v>479</v>
      </c>
      <c r="C5" s="23">
        <v>1300</v>
      </c>
      <c r="D5" s="23">
        <v>5400000</v>
      </c>
      <c r="E5" s="220">
        <f>IFERROR(__xludf.DUMMYFUNCTION("IF(D5&lt;&gt;"""",sparkline(D5,{""charttype"",""bar"";""color1"",""#e74c3c"";""max"",10000}),"""")"),"")</f>
      </c>
      <c r="F5" s="23">
        <v>2700000</v>
      </c>
      <c r="G5" s="221">
        <f>IFERROR(__xludf.DUMMYFUNCTION("IF(F5&lt;&gt;"""",sparkline(F5,{""charttype"",""bar"";""color1"",""#3498DB"";""max"",50000}),"""")"),"")</f>
      </c>
      <c r="H5" s="23">
        <v>2700000</v>
      </c>
      <c r="I5" s="222">
        <f>IFERROR(__xludf.DUMMYFUNCTION("IF(H5&lt;&gt;"""",sparkline(H5,{""charttype"",""bar"";""color1"",""#2ecc71"";""max"",10000}),"""")"),"")</f>
        <v>25568.666666666668</v>
      </c>
      <c r="J5" s="23">
        <v>2</v>
      </c>
      <c r="K5" s="222">
        <v>45748</v>
      </c>
      <c r="L5" s="223" t="s">
        <v>470</v>
      </c>
      <c r="M5" s="21" t="s">
        <v>478</v>
      </c>
      <c r="N5" s="224" t="s">
        <v>480</v>
      </c>
      <c r="O5" s="25" t="s">
        <v>480</v>
      </c>
      <c r="P5" s="21" t="s">
        <v>481</v>
      </c>
    </row>
    <row x14ac:dyDescent="0.25" r="6" customHeight="1" ht="19.5">
      <c r="A6" s="21" t="s">
        <v>482</v>
      </c>
      <c r="B6" s="21" t="s">
        <v>483</v>
      </c>
      <c r="C6" s="23">
        <v>240</v>
      </c>
      <c r="D6" s="23">
        <v>1000000</v>
      </c>
      <c r="E6" s="220">
        <f>IFERROR(__xludf.DUMMYFUNCTION("IF(D6&lt;&gt;"""",sparkline(D6,{""charttype"",""bar"";""color1"",""#e74c3c"";""max"",10000}),"""")"),"")</f>
      </c>
      <c r="F6" s="23">
        <v>1000000</v>
      </c>
      <c r="G6" s="221">
        <f>IFERROR(__xludf.DUMMYFUNCTION("IF(F6&lt;&gt;"""",sparkline(F6,{""charttype"",""bar"";""color1"",""#3498DB"";""max"",50000}),"""")"),"")</f>
      </c>
      <c r="H6" s="23">
        <v>0</v>
      </c>
      <c r="I6" s="222">
        <f>IFERROR(__xludf.DUMMYFUNCTION("IF(H6&lt;&gt;"""",sparkline(H6,{""charttype"",""bar"";""color1"",""#2ecc71"";""max"",10000}),"""")"),"")</f>
        <v>25568.666666666668</v>
      </c>
      <c r="J6" s="23">
        <v>1</v>
      </c>
      <c r="K6" s="222">
        <v>45444</v>
      </c>
      <c r="L6" s="223" t="s">
        <v>484</v>
      </c>
      <c r="M6" s="25" t="s">
        <v>485</v>
      </c>
      <c r="N6" s="224" t="s">
        <v>486</v>
      </c>
      <c r="O6" s="25" t="s">
        <v>487</v>
      </c>
      <c r="P6" s="21" t="s">
        <v>488</v>
      </c>
    </row>
    <row x14ac:dyDescent="0.25" r="7" customHeight="1" ht="19.5">
      <c r="A7" s="21" t="s">
        <v>489</v>
      </c>
      <c r="B7" s="21" t="s">
        <v>490</v>
      </c>
      <c r="C7" s="23">
        <v>70</v>
      </c>
      <c r="D7" s="23">
        <v>281000</v>
      </c>
      <c r="E7" s="220">
        <f>IFERROR(__xludf.DUMMYFUNCTION("IF(D7&lt;&gt;"""",sparkline(D7,{""charttype"",""bar"";""color1"",""#e74c3c"";""max"",100000}),"""")"),"")</f>
      </c>
      <c r="F7" s="23">
        <v>81000</v>
      </c>
      <c r="G7" s="221">
        <f>IFERROR(__xludf.DUMMYFUNCTION("IF(F7&lt;&gt;"""",sparkline(F7,{""charttype"",""bar"";""color1"",""#3498DB"";""max"",50000}),"""")"),"")</f>
      </c>
      <c r="H7" s="23">
        <v>200000</v>
      </c>
      <c r="I7" s="222">
        <f>IFERROR(__xludf.DUMMYFUNCTION("IF(H7&lt;&gt;"""",sparkline(H7,{""charttype"",""bar"";""color1"",""#2ecc71"";""max"",10000}),"""")"),"")</f>
        <v>25568.666666666668</v>
      </c>
      <c r="J7" s="23">
        <v>4</v>
      </c>
      <c r="K7" s="222">
        <v>45505</v>
      </c>
      <c r="L7" s="223" t="s">
        <v>470</v>
      </c>
      <c r="M7" s="21" t="s">
        <v>180</v>
      </c>
      <c r="N7" s="25" t="s">
        <v>491</v>
      </c>
      <c r="O7" s="224"/>
      <c r="P7" s="25" t="s">
        <v>492</v>
      </c>
    </row>
    <row x14ac:dyDescent="0.25" r="8" customHeight="1" ht="19.5">
      <c r="A8" s="21" t="s">
        <v>493</v>
      </c>
      <c r="B8" s="21" t="s">
        <v>494</v>
      </c>
      <c r="C8" s="23">
        <v>36</v>
      </c>
      <c r="D8" s="23">
        <v>134000</v>
      </c>
      <c r="E8" s="220">
        <f>IFERROR(__xludf.DUMMYFUNCTION("IF(D8&lt;&gt;"""",sparkline(D8,{""charttype"",""bar"";""color1"",""#e74c3c"";""max"",100000}),"""")"),"")</f>
      </c>
      <c r="F8" s="23">
        <v>61500</v>
      </c>
      <c r="G8" s="221">
        <f>IFERROR(__xludf.DUMMYFUNCTION("IF(F8&lt;&gt;"""",sparkline(F8,{""charttype"",""bar"";""color1"",""#3498DB"";""max"",50000}),"""")"),"")</f>
      </c>
      <c r="H8" s="23">
        <v>61500</v>
      </c>
      <c r="I8" s="222">
        <f>IFERROR(__xludf.DUMMYFUNCTION("IF(H8&lt;&gt;"""",sparkline(H8,{""charttype"",""bar"";""color1"",""#2ecc71"";""max"",10000}),"""")"),"")</f>
        <v>25568.666666666668</v>
      </c>
      <c r="J8" s="23">
        <v>3</v>
      </c>
      <c r="K8" s="222">
        <v>45748</v>
      </c>
      <c r="L8" s="223" t="s">
        <v>470</v>
      </c>
      <c r="M8" s="21" t="s">
        <v>493</v>
      </c>
      <c r="N8" s="25" t="s">
        <v>495</v>
      </c>
      <c r="O8" s="224"/>
      <c r="P8" s="21" t="s">
        <v>496</v>
      </c>
    </row>
    <row x14ac:dyDescent="0.25" r="9" customHeight="1" ht="19.5">
      <c r="A9" s="21" t="s">
        <v>497</v>
      </c>
      <c r="B9" s="21" t="s">
        <v>498</v>
      </c>
      <c r="C9" s="23">
        <v>30</v>
      </c>
      <c r="D9" s="23">
        <v>125000</v>
      </c>
      <c r="E9" s="220">
        <f>IFERROR(__xludf.DUMMYFUNCTION("IF(D9&lt;&gt;"""",sparkline(D9,{""charttype"",""bar"";""color1"",""#e74c3c"";""max"",100000}),"""")"),"")</f>
      </c>
      <c r="F9" s="23">
        <v>60000</v>
      </c>
      <c r="G9" s="221">
        <f>IFERROR(__xludf.DUMMYFUNCTION("IF(F9&lt;&gt;"""",sparkline(F9,{""charttype"",""bar"";""color1"",""#3498DB"";""max"",50000}),"""")"),"")</f>
      </c>
      <c r="H9" s="23">
        <v>65000</v>
      </c>
      <c r="I9" s="222">
        <f>IFERROR(__xludf.DUMMYFUNCTION("IF(H9&lt;&gt;"""",sparkline(H9,{""charttype"",""bar"";""color1"",""#2ecc71"";""max"",10000}),"""")"),"")</f>
        <v>25568.666666666668</v>
      </c>
      <c r="J9" s="23">
        <v>3</v>
      </c>
      <c r="K9" s="222">
        <v>45748</v>
      </c>
      <c r="L9" s="223" t="s">
        <v>470</v>
      </c>
      <c r="M9" s="21" t="s">
        <v>497</v>
      </c>
      <c r="N9" s="25" t="s">
        <v>499</v>
      </c>
      <c r="O9" s="224"/>
      <c r="P9" s="21" t="s">
        <v>500</v>
      </c>
    </row>
    <row x14ac:dyDescent="0.25" r="10" customHeight="1" ht="19.5">
      <c r="A10" s="21" t="s">
        <v>501</v>
      </c>
      <c r="B10" s="21" t="s">
        <v>502</v>
      </c>
      <c r="C10" s="23">
        <v>30</v>
      </c>
      <c r="D10" s="23">
        <v>125000</v>
      </c>
      <c r="E10" s="220">
        <f>IFERROR(__xludf.DUMMYFUNCTION("IF(D10&lt;&gt;"""",sparkline(D10,{""charttype"",""bar"";""color1"",""#e74c3c"";""max"",100000}),"""")"),"")</f>
      </c>
      <c r="F10" s="23">
        <v>125000</v>
      </c>
      <c r="G10" s="221">
        <f>IFERROR(__xludf.DUMMYFUNCTION("IF(F10&lt;&gt;"""",sparkline(F10,{""charttype"",""bar"";""color1"",""#3498DB"";""max"",50000}),"""")"),"")</f>
      </c>
      <c r="H10" s="23">
        <v>0</v>
      </c>
      <c r="I10" s="222">
        <f>IFERROR(__xludf.DUMMYFUNCTION("IF(H10&lt;&gt;"""",sparkline(H10,{""charttype"",""bar"";""color1"",""#2ecc71"";""max"",10000}),"""")"),"")</f>
        <v>25568.666666666668</v>
      </c>
      <c r="J10" s="23">
        <v>2</v>
      </c>
      <c r="K10" s="222">
        <v>45200</v>
      </c>
      <c r="L10" s="223" t="s">
        <v>503</v>
      </c>
      <c r="M10" s="21"/>
      <c r="N10" s="21"/>
      <c r="O10" s="224" t="s">
        <v>504</v>
      </c>
      <c r="P10" s="21"/>
    </row>
    <row x14ac:dyDescent="0.25" r="11" customHeight="1" ht="19.5">
      <c r="A11" s="21" t="s">
        <v>505</v>
      </c>
      <c r="B11" s="21" t="s">
        <v>506</v>
      </c>
      <c r="C11" s="225">
        <v>27.5</v>
      </c>
      <c r="D11" s="23">
        <v>100000</v>
      </c>
      <c r="E11" s="220">
        <f>IFERROR(__xludf.DUMMYFUNCTION("IF(D11&lt;&gt;"""",sparkline(D11,{""charttype"",""bar"";""color1"",""#e74c3c"";""max"",100000}),"""")"),"")</f>
      </c>
      <c r="F11" s="26"/>
      <c r="G11" s="221"/>
      <c r="H11" s="23">
        <v>100000</v>
      </c>
      <c r="I11" s="222">
        <f>IFERROR(__xludf.DUMMYFUNCTION("IF(H11&lt;&gt;"""",sparkline(H11,{""charttype"",""bar"";""color1"",""#2ecc71"";""max"",10000}),"""")"),"")</f>
        <v>25568.666666666668</v>
      </c>
      <c r="J11" s="23">
        <v>3</v>
      </c>
      <c r="K11" s="222">
        <v>45627</v>
      </c>
      <c r="L11" s="223" t="s">
        <v>503</v>
      </c>
      <c r="M11" s="21"/>
      <c r="N11" s="21"/>
      <c r="O11" s="21"/>
      <c r="P11" s="21"/>
    </row>
    <row x14ac:dyDescent="0.25" r="12" customHeight="1" ht="19.5">
      <c r="A12" s="21" t="s">
        <v>507</v>
      </c>
      <c r="B12" s="21" t="s">
        <v>508</v>
      </c>
      <c r="C12" s="24">
        <v>37.9</v>
      </c>
      <c r="D12" s="23">
        <v>86000</v>
      </c>
      <c r="E12" s="220">
        <f>IFERROR(__xludf.DUMMYFUNCTION("IF(D12&lt;&gt;"""",sparkline(D12,{""charttype"",""bar"";""color1"",""#e74c3c"";""max"",100000}),"""")"),"")</f>
      </c>
      <c r="F12" s="23">
        <v>0</v>
      </c>
      <c r="G12" s="221">
        <f>IFERROR(__xludf.DUMMYFUNCTION("IF(F12&lt;&gt;"""",sparkline(F12,{""charttype"",""bar"";""color1"",""#3498DB"";""max"",50000}),"""")"),"")</f>
      </c>
      <c r="H12" s="23">
        <v>86000</v>
      </c>
      <c r="I12" s="222">
        <f>IFERROR(__xludf.DUMMYFUNCTION("IF(H12&lt;&gt;"""",sparkline(H12,{""charttype"",""bar"";""color1"",""#2ecc71"";""max"",10000}),"""")"),"")</f>
        <v>25568.666666666668</v>
      </c>
      <c r="J12" s="23">
        <v>3</v>
      </c>
      <c r="K12" s="222">
        <v>45078</v>
      </c>
      <c r="L12" s="223" t="s">
        <v>470</v>
      </c>
      <c r="M12" s="21" t="s">
        <v>509</v>
      </c>
      <c r="N12" s="21"/>
      <c r="O12" s="21"/>
      <c r="P12" s="25" t="s">
        <v>510</v>
      </c>
    </row>
    <row x14ac:dyDescent="0.25" r="13" customHeight="1" ht="19.5">
      <c r="A13" s="21" t="s">
        <v>511</v>
      </c>
      <c r="B13" s="21" t="s">
        <v>512</v>
      </c>
      <c r="C13" s="23">
        <v>30</v>
      </c>
      <c r="D13" s="226">
        <v>40000</v>
      </c>
      <c r="E13" s="220">
        <f>IFERROR(__xludf.DUMMYFUNCTION("IF(D13&lt;&gt;"""",sparkline(D13,{""charttype"",""bar"";""color1"",""#e74c3c"";""max"",100000}),"""")"),"")</f>
      </c>
      <c r="F13" s="226">
        <v>40000</v>
      </c>
      <c r="G13" s="221">
        <f>IFERROR(__xludf.DUMMYFUNCTION("IF(F13&lt;&gt;"""",sparkline(F13,{""charttype"",""bar"";""color1"",""#3498DB"";""max"",50000}),"""")"),"")</f>
      </c>
      <c r="H13" s="27"/>
      <c r="I13" s="222">
        <f>IFERROR(__xludf.DUMMYFUNCTION("IF(H13&lt;&gt;"""",sparkline(H13,{""charttype"",""bar"";""color1"",""#2ecc71"";""max"",10000}),"""")"),"")</f>
        <v>25568.666666666668</v>
      </c>
      <c r="J13" s="23">
        <v>1</v>
      </c>
      <c r="K13" s="222">
        <v>45200</v>
      </c>
      <c r="L13" s="223" t="s">
        <v>503</v>
      </c>
      <c r="M13" s="21"/>
      <c r="N13" s="224" t="s">
        <v>513</v>
      </c>
      <c r="O13" s="224" t="s">
        <v>514</v>
      </c>
      <c r="P13" s="21" t="s">
        <v>515</v>
      </c>
    </row>
    <row x14ac:dyDescent="0.25" r="14" customHeight="1" ht="19.5">
      <c r="A14" s="21" t="s">
        <v>516</v>
      </c>
      <c r="B14" s="21" t="s">
        <v>517</v>
      </c>
      <c r="C14" s="23">
        <v>20</v>
      </c>
      <c r="D14" s="226">
        <v>80000</v>
      </c>
      <c r="E14" s="220">
        <f>IFERROR(__xludf.DUMMYFUNCTION("IF(D14&lt;&gt;"""",sparkline(D14,{""charttype"",""bar"";""color1"",""#e74c3c"";""max"",100000}),"""")"),"")</f>
      </c>
      <c r="F14" s="227"/>
      <c r="G14" s="221"/>
      <c r="H14" s="226">
        <v>80000</v>
      </c>
      <c r="I14" s="222">
        <f>IFERROR(__xludf.DUMMYFUNCTION("IF(H14&lt;&gt;"""",sparkline(H14,{""charttype"",""bar"";""color1"",""#2ecc71"";""max"",10000}),"""")"),"")</f>
        <v>25568.666666666668</v>
      </c>
      <c r="J14" s="23">
        <v>4</v>
      </c>
      <c r="K14" s="222">
        <v>45474</v>
      </c>
      <c r="L14" s="223" t="s">
        <v>470</v>
      </c>
      <c r="M14" s="21" t="s">
        <v>518</v>
      </c>
      <c r="N14" s="25" t="s">
        <v>519</v>
      </c>
      <c r="O14" s="25" t="s">
        <v>520</v>
      </c>
      <c r="P14" s="21" t="s">
        <v>521</v>
      </c>
    </row>
    <row x14ac:dyDescent="0.25" r="15" customHeight="1" ht="19.5">
      <c r="A15" s="21" t="s">
        <v>522</v>
      </c>
      <c r="B15" s="21" t="s">
        <v>523</v>
      </c>
      <c r="C15" s="226">
        <v>20</v>
      </c>
      <c r="D15" s="226">
        <v>80000</v>
      </c>
      <c r="E15" s="220">
        <f>IFERROR(__xludf.DUMMYFUNCTION("IF(D15&lt;&gt;"""",sparkline(D15,{""charttype"",""bar"";""color1"",""#e74c3c"";""max"",100000}),"""")"),"")</f>
      </c>
      <c r="F15" s="226">
        <v>20000</v>
      </c>
      <c r="G15" s="221">
        <f>IFERROR(__xludf.DUMMYFUNCTION("IF(F15&lt;&gt;"""",sparkline(F15,{""charttype"",""bar"";""color1"",""#3498DB"";""max"",50000}),"""")"),"")</f>
      </c>
      <c r="H15" s="226">
        <v>60000</v>
      </c>
      <c r="I15" s="222">
        <f>IFERROR(__xludf.DUMMYFUNCTION("IF(H15&lt;&gt;"""",sparkline(H15,{""charttype"",""bar"";""color1"",""#2ecc71"";""max"",10000}),"""")"),"")</f>
        <v>25568.666666666668</v>
      </c>
      <c r="J15" s="23">
        <v>5</v>
      </c>
      <c r="K15" s="222">
        <v>45444</v>
      </c>
      <c r="L15" s="223" t="s">
        <v>470</v>
      </c>
      <c r="M15" s="21" t="s">
        <v>524</v>
      </c>
      <c r="N15" s="21"/>
      <c r="O15" s="25" t="s">
        <v>525</v>
      </c>
      <c r="P15" s="25" t="s">
        <v>526</v>
      </c>
    </row>
    <row x14ac:dyDescent="0.25" r="16" customHeight="1" ht="19.5">
      <c r="A16" s="21" t="s">
        <v>527</v>
      </c>
      <c r="B16" s="21" t="s">
        <v>528</v>
      </c>
      <c r="C16" s="23">
        <v>15</v>
      </c>
      <c r="D16" s="23">
        <v>44000</v>
      </c>
      <c r="E16" s="220">
        <f>IFERROR(__xludf.DUMMYFUNCTION("IF(D16&lt;&gt;"""",sparkline(D16,{""charttype"",""bar"";""color1"",""#e74c3c"";""max"",100000}),"""")"),"")</f>
      </c>
      <c r="F16" s="23">
        <v>44000</v>
      </c>
      <c r="G16" s="221">
        <f>IFERROR(__xludf.DUMMYFUNCTION("IF(F16&lt;&gt;"""",sparkline(F16,{""charttype"",""bar"";""color1"",""#3498DB"";""max"",50000}),"""")"),"")</f>
      </c>
      <c r="H16" s="23">
        <v>0</v>
      </c>
      <c r="I16" s="222">
        <f>IFERROR(__xludf.DUMMYFUNCTION("IF(H16&lt;&gt;"""",sparkline(H16,{""charttype"",""bar"";""color1"",""#2ecc71"";""max"",10000}),"""")"),"")</f>
        <v>25568.666666666668</v>
      </c>
      <c r="J16" s="23">
        <v>2</v>
      </c>
      <c r="K16" s="222">
        <v>45383</v>
      </c>
      <c r="L16" s="223" t="s">
        <v>503</v>
      </c>
      <c r="M16" s="21"/>
      <c r="N16" s="21"/>
      <c r="O16" s="224" t="s">
        <v>529</v>
      </c>
      <c r="P16" s="21" t="s">
        <v>530</v>
      </c>
    </row>
    <row x14ac:dyDescent="0.25" r="17" customHeight="1" ht="19.5">
      <c r="A17" s="21" t="s">
        <v>531</v>
      </c>
      <c r="B17" s="21" t="s">
        <v>490</v>
      </c>
      <c r="C17" s="23">
        <v>13</v>
      </c>
      <c r="D17" s="226">
        <v>40000</v>
      </c>
      <c r="E17" s="220">
        <f>IFERROR(__xludf.DUMMYFUNCTION("IF(D17&lt;&gt;"""",sparkline(D17,{""charttype"",""bar"";""color1"",""#e74c3c"";""max"",100000}),"""")"),"")</f>
      </c>
      <c r="F17" s="227"/>
      <c r="G17" s="221">
        <f>IFERROR(__xludf.DUMMYFUNCTION("IF(F17&lt;&gt;"""",sparkline(F17,{""charttype"",""bar"";""color1"",""#3498DB"";""max"",50000}),"""")"),"")</f>
      </c>
      <c r="H17" s="27"/>
      <c r="I17" s="222">
        <f>IFERROR(__xludf.DUMMYFUNCTION("IF(H17&lt;&gt;"""",sparkline(H17,{""charttype"",""bar"";""color1"",""#2ecc71"";""max"",10000}),"""")"),"")</f>
        <v>25568.666666666668</v>
      </c>
      <c r="J17" s="23">
        <v>4</v>
      </c>
      <c r="K17" s="222">
        <v>44986</v>
      </c>
      <c r="L17" s="223" t="s">
        <v>470</v>
      </c>
      <c r="M17" s="21" t="s">
        <v>170</v>
      </c>
      <c r="N17" s="21"/>
      <c r="O17" s="21"/>
      <c r="P17" s="25" t="s">
        <v>532</v>
      </c>
    </row>
    <row x14ac:dyDescent="0.25" r="18" customHeight="1" ht="19.5">
      <c r="A18" s="21" t="s">
        <v>533</v>
      </c>
      <c r="B18" s="21" t="s">
        <v>534</v>
      </c>
      <c r="C18" s="24">
        <v>10.1</v>
      </c>
      <c r="D18" s="226">
        <v>40000</v>
      </c>
      <c r="E18" s="220">
        <f>IFERROR(__xludf.DUMMYFUNCTION("IF(D18&lt;&gt;"""",sparkline(D18,{""charttype"",""bar"";""color1"",""#e74c3c"";""max"",100000}),"""")"),"")</f>
      </c>
      <c r="F18" s="23">
        <v>40000</v>
      </c>
      <c r="G18" s="221">
        <f>IFERROR(__xludf.DUMMYFUNCTION("IF(F18&lt;&gt;"""",sparkline(F18,{""charttype"",""bar"";""color1"",""#3498DB"";""max"",50000}),"""")"),"")</f>
      </c>
      <c r="H18" s="23">
        <v>0</v>
      </c>
      <c r="I18" s="222"/>
      <c r="J18" s="23">
        <v>2</v>
      </c>
      <c r="K18" s="222">
        <v>45566</v>
      </c>
      <c r="L18" s="223" t="s">
        <v>503</v>
      </c>
      <c r="M18" s="21"/>
      <c r="N18" s="25" t="s">
        <v>535</v>
      </c>
      <c r="O18" s="224" t="s">
        <v>536</v>
      </c>
      <c r="P18" s="21" t="s">
        <v>537</v>
      </c>
    </row>
    <row x14ac:dyDescent="0.25" r="19" customHeight="1" ht="19.5">
      <c r="A19" s="21" t="s">
        <v>538</v>
      </c>
      <c r="B19" s="21" t="s">
        <v>474</v>
      </c>
      <c r="C19" s="24">
        <v>6.6</v>
      </c>
      <c r="D19" s="226">
        <v>34000</v>
      </c>
      <c r="E19" s="220">
        <f>IFERROR(__xludf.DUMMYFUNCTION("IF(D19&lt;&gt;"""",sparkline(D19,{""charttype"",""bar"";""color1"",""#e74c3c"";""max"",100000}),"""")"),"")</f>
      </c>
      <c r="F19" s="226">
        <v>15000</v>
      </c>
      <c r="G19" s="221">
        <f>IFERROR(__xludf.DUMMYFUNCTION("IF(F19&lt;&gt;"""",sparkline(F19,{""charttype"",""bar"";""color1"",""#3498DB"";""max"",50000}),"""")"),"")</f>
      </c>
      <c r="H19" s="226">
        <v>15000</v>
      </c>
      <c r="I19" s="222">
        <f>IFERROR(__xludf.DUMMYFUNCTION("IF(H19&lt;&gt;"""",sparkline(H19,{""charttype"",""bar"";""color1"",""#2ecc71"";""max"",10000}),"""")"),"")</f>
        <v>25568.666666666668</v>
      </c>
      <c r="J19" s="23">
        <v>3</v>
      </c>
      <c r="K19" s="222">
        <v>45870</v>
      </c>
      <c r="L19" s="223" t="s">
        <v>503</v>
      </c>
      <c r="M19" s="21" t="s">
        <v>539</v>
      </c>
      <c r="N19" s="21"/>
      <c r="O19" s="224" t="s">
        <v>540</v>
      </c>
      <c r="P19" s="21" t="s">
        <v>541</v>
      </c>
    </row>
    <row x14ac:dyDescent="0.25" r="20" customHeight="1" ht="19.5">
      <c r="A20" s="21" t="s">
        <v>542</v>
      </c>
      <c r="B20" s="21" t="s">
        <v>528</v>
      </c>
      <c r="C20" s="24">
        <v>5.4</v>
      </c>
      <c r="D20" s="23">
        <v>31500</v>
      </c>
      <c r="E20" s="220">
        <f>IFERROR(__xludf.DUMMYFUNCTION("IF(D20&lt;&gt;"""",sparkline(D20,{""charttype"",""bar"";""color1"",""#e74c3c"";""max"",100000}),"""")"),"")</f>
      </c>
      <c r="F20" s="23">
        <v>31500</v>
      </c>
      <c r="G20" s="221">
        <f>IFERROR(__xludf.DUMMYFUNCTION("IF(F20&lt;&gt;"""",sparkline(F20,{""charttype"",""bar"";""color1"",""#3498DB"";""max"",50000}),"""")"),"")</f>
      </c>
      <c r="H20" s="23">
        <v>0</v>
      </c>
      <c r="I20" s="222">
        <f>IFERROR(__xludf.DUMMYFUNCTION("IF(H20&lt;&gt;"""",sparkline(H20,{""charttype"",""bar"";""color1"",""#2ecc71"";""max"",10000}),"""")"),"")</f>
        <v>25568.666666666668</v>
      </c>
      <c r="J20" s="23">
        <v>3</v>
      </c>
      <c r="K20" s="222">
        <v>45413</v>
      </c>
      <c r="L20" s="223" t="s">
        <v>503</v>
      </c>
      <c r="M20" s="21"/>
      <c r="N20" s="21"/>
      <c r="O20" s="224" t="s">
        <v>543</v>
      </c>
      <c r="P20" s="21"/>
    </row>
    <row x14ac:dyDescent="0.25" r="21" customHeight="1" ht="19.5">
      <c r="A21" s="21" t="s">
        <v>544</v>
      </c>
      <c r="B21" s="21" t="s">
        <v>545</v>
      </c>
      <c r="C21" s="24">
        <v>6.3</v>
      </c>
      <c r="D21" s="23">
        <v>27000</v>
      </c>
      <c r="E21" s="220">
        <f>IFERROR(__xludf.DUMMYFUNCTION("IF(D21&lt;&gt;"""",sparkline(D21,{""charttype"",""bar"";""color1"",""#e74c3c"";""max"",100000}),"""")"),"")</f>
      </c>
      <c r="F21" s="23">
        <v>27000</v>
      </c>
      <c r="G21" s="221">
        <f>IFERROR(__xludf.DUMMYFUNCTION("IF(F21&lt;&gt;"""",sparkline(F21,{""charttype"",""bar"";""color1"",""#3498DB"";""max"",50000}),"""")"),"")</f>
      </c>
      <c r="H21" s="23">
        <v>0</v>
      </c>
      <c r="I21" s="222">
        <f>IFERROR(__xludf.DUMMYFUNCTION("IF(H21&lt;&gt;"""",sparkline(H21,{""charttype"",""bar"";""color1"",""#2ecc71"";""max"",10000}),"""")"),"")</f>
        <v>25568.666666666668</v>
      </c>
      <c r="J21" s="23">
        <v>3</v>
      </c>
      <c r="K21" s="222">
        <v>45170</v>
      </c>
      <c r="L21" s="223" t="s">
        <v>503</v>
      </c>
      <c r="M21" s="21"/>
      <c r="N21" s="224" t="s">
        <v>546</v>
      </c>
      <c r="O21" s="224" t="s">
        <v>547</v>
      </c>
      <c r="P21" s="21"/>
    </row>
    <row x14ac:dyDescent="0.25" r="22" customHeight="1" ht="19.5">
      <c r="A22" s="21" t="s">
        <v>548</v>
      </c>
      <c r="B22" s="21" t="s">
        <v>549</v>
      </c>
      <c r="C22" s="24">
        <v>5.6</v>
      </c>
      <c r="D22" s="23">
        <v>50100</v>
      </c>
      <c r="E22" s="220">
        <f>IFERROR(__xludf.DUMMYFUNCTION("IF(D22&lt;&gt;"""",sparkline(D22,{""charttype"",""bar"";""color1"",""#e74c3c"";""max"",100000}),"""")"),"")</f>
      </c>
      <c r="F22" s="23">
        <v>50100</v>
      </c>
      <c r="G22" s="221">
        <f>IFERROR(__xludf.DUMMYFUNCTION("IF(F22&lt;&gt;"""",sparkline(F22,{""charttype"",""bar"";""color1"",""#3498DB"";""max"",50000}),"""")"),"")</f>
      </c>
      <c r="H22" s="23">
        <v>0</v>
      </c>
      <c r="I22" s="222">
        <f>IFERROR(__xludf.DUMMYFUNCTION("IF(H22&lt;&gt;"""",sparkline(H22,{""charttype"",""bar"";""color1"",""#2ecc71"";""max"",10000}),"""")"),"")</f>
        <v>25568.666666666668</v>
      </c>
      <c r="J22" s="23">
        <v>2</v>
      </c>
      <c r="K22" s="222">
        <v>45352</v>
      </c>
      <c r="L22" s="223" t="s">
        <v>503</v>
      </c>
      <c r="M22" s="21"/>
      <c r="N22" s="224" t="s">
        <v>535</v>
      </c>
      <c r="O22" s="21"/>
      <c r="P22" s="21" t="s">
        <v>550</v>
      </c>
    </row>
    <row x14ac:dyDescent="0.25" r="23" customHeight="1" ht="19.5">
      <c r="A23" s="21" t="s">
        <v>551</v>
      </c>
      <c r="B23" s="21" t="s">
        <v>552</v>
      </c>
      <c r="C23" s="23">
        <v>5</v>
      </c>
      <c r="D23" s="226">
        <v>23240</v>
      </c>
      <c r="E23" s="220">
        <f>IFERROR(__xludf.DUMMYFUNCTION("IF(D23&lt;&gt;"""",sparkline(D23,{""charttype"",""bar"";""color1"",""#e74c3c"";""max"",100000}),"""")"),"")</f>
      </c>
      <c r="F23" s="226">
        <v>23240</v>
      </c>
      <c r="G23" s="221">
        <f>IFERROR(__xludf.DUMMYFUNCTION("IF(F23&lt;&gt;"""",sparkline(F23,{""charttype"",""bar"";""color1"",""#3498DB"";""max"",50000}),"""")"),"")</f>
      </c>
      <c r="H23" s="23">
        <v>0</v>
      </c>
      <c r="I23" s="222">
        <f>IFERROR(__xludf.DUMMYFUNCTION("IF(H23&lt;&gt;"""",sparkline(H23,{""charttype"",""bar"";""color1"",""#2ecc71"";""max"",10000}),"""")"),"")</f>
        <v>25568.666666666668</v>
      </c>
      <c r="J23" s="23">
        <v>2</v>
      </c>
      <c r="K23" s="222">
        <v>45078</v>
      </c>
      <c r="L23" s="223" t="s">
        <v>470</v>
      </c>
      <c r="M23" s="21" t="s">
        <v>553</v>
      </c>
      <c r="N23" s="224" t="s">
        <v>554</v>
      </c>
      <c r="O23" s="21"/>
      <c r="P23" s="21"/>
    </row>
    <row x14ac:dyDescent="0.25" r="24" customHeight="1" ht="19.5">
      <c r="A24" s="21" t="s">
        <v>555</v>
      </c>
      <c r="B24" s="21" t="s">
        <v>556</v>
      </c>
      <c r="C24" s="23">
        <v>5</v>
      </c>
      <c r="D24" s="23">
        <v>20000</v>
      </c>
      <c r="E24" s="220">
        <f>IFERROR(__xludf.DUMMYFUNCTION("IF(D24&lt;&gt;"""",sparkline(D24,{""charttype"",""bar"";""color1"",""#e74c3c"";""max"",100000}),"""")"),"")</f>
      </c>
      <c r="F24" s="23">
        <v>4544</v>
      </c>
      <c r="G24" s="221">
        <f>IFERROR(__xludf.DUMMYFUNCTION("IF(F24&lt;&gt;"""",sparkline(F24,{""charttype"",""bar"";""color1"",""#3498DB"";""max"",50000}),"""")"),"")</f>
      </c>
      <c r="H24" s="23">
        <v>15655</v>
      </c>
      <c r="I24" s="222">
        <f>IFERROR(__xludf.DUMMYFUNCTION("IF(H24&lt;&gt;"""",sparkline(H24,{""charttype"",""bar"";""color1"",""#2ecc71"";""max"",10000}),"""")"),"")</f>
        <v>25568.666666666668</v>
      </c>
      <c r="J24" s="23">
        <v>4</v>
      </c>
      <c r="K24" s="222">
        <v>44531</v>
      </c>
      <c r="L24" s="223" t="s">
        <v>470</v>
      </c>
      <c r="M24" s="25" t="s">
        <v>557</v>
      </c>
      <c r="N24" s="21"/>
      <c r="O24" s="21"/>
      <c r="P24" s="21"/>
    </row>
    <row x14ac:dyDescent="0.25" r="25" customHeight="1" ht="19.5">
      <c r="A25" s="21" t="s">
        <v>558</v>
      </c>
      <c r="B25" s="21" t="s">
        <v>483</v>
      </c>
      <c r="C25" s="24">
        <v>4.69</v>
      </c>
      <c r="D25" s="23">
        <v>21600</v>
      </c>
      <c r="E25" s="220">
        <f>IFERROR(__xludf.DUMMYFUNCTION("IF(D25&lt;&gt;"""",sparkline(D25,{""charttype"",""bar"";""color1"",""#e74c3c"";""max"",100000}),"""")"),"")</f>
      </c>
      <c r="F25" s="23">
        <v>2465</v>
      </c>
      <c r="G25" s="221">
        <f>IFERROR(__xludf.DUMMYFUNCTION("IF(F25&lt;&gt;"""",sparkline(F25,{""charttype"",""bar"";""color1"",""#3498DB"";""max"",50000}),"""")"),"")</f>
      </c>
      <c r="H25" s="23">
        <v>2112</v>
      </c>
      <c r="I25" s="222">
        <f>IFERROR(__xludf.DUMMYFUNCTION("IF(H25&lt;&gt;"""",sparkline(H25,{""charttype"",""bar"";""color1"",""#2ecc71"";""max"",10000}),"""")"),"")</f>
        <v>25568.666666666668</v>
      </c>
      <c r="J25" s="23">
        <v>3</v>
      </c>
      <c r="K25" s="222">
        <v>45413</v>
      </c>
      <c r="L25" s="223" t="s">
        <v>503</v>
      </c>
      <c r="M25" s="21" t="s">
        <v>559</v>
      </c>
      <c r="N25" s="224" t="s">
        <v>560</v>
      </c>
      <c r="O25" s="25" t="s">
        <v>561</v>
      </c>
      <c r="P25" s="21" t="s">
        <v>562</v>
      </c>
    </row>
    <row x14ac:dyDescent="0.25" r="26" customHeight="1" ht="19.5">
      <c r="A26" s="21" t="s">
        <v>563</v>
      </c>
      <c r="B26" s="21" t="s">
        <v>528</v>
      </c>
      <c r="C26" s="23">
        <v>4</v>
      </c>
      <c r="D26" s="23">
        <v>32000</v>
      </c>
      <c r="E26" s="220">
        <f>IFERROR(__xludf.DUMMYFUNCTION("IF(D26&lt;&gt;"""",sparkline(D26,{""charttype"",""bar"";""color1"",""#e74c3c"";""max"",100000}),"""")"),"")</f>
      </c>
      <c r="F26" s="23">
        <v>32000</v>
      </c>
      <c r="G26" s="221">
        <f>IFERROR(__xludf.DUMMYFUNCTION("IF(F26&lt;&gt;"""",sparkline(F26,{""charttype"",""bar"";""color1"",""#3498DB"";""max"",50000}),"""")"),"")</f>
      </c>
      <c r="H26" s="27"/>
      <c r="I26" s="222"/>
      <c r="J26" s="23">
        <v>2</v>
      </c>
      <c r="K26" s="222">
        <v>45627</v>
      </c>
      <c r="L26" s="223" t="s">
        <v>503</v>
      </c>
      <c r="M26" s="21"/>
      <c r="N26" s="25" t="s">
        <v>564</v>
      </c>
      <c r="O26" s="25" t="s">
        <v>565</v>
      </c>
      <c r="P26" s="21" t="s">
        <v>566</v>
      </c>
    </row>
    <row x14ac:dyDescent="0.25" r="27" customHeight="1" ht="19.5">
      <c r="A27" s="21" t="s">
        <v>567</v>
      </c>
      <c r="B27" s="21" t="s">
        <v>545</v>
      </c>
      <c r="C27" s="23">
        <v>4</v>
      </c>
      <c r="D27" s="23">
        <v>16000</v>
      </c>
      <c r="E27" s="220">
        <f>IFERROR(__xludf.DUMMYFUNCTION("IF(D27&lt;&gt;"""",sparkline(D27,{""charttype"",""bar"";""color1"",""#e74c3c"";""max"",100000}),"""")"),"")</f>
      </c>
      <c r="F27" s="26"/>
      <c r="G27" s="221">
        <f>IFERROR(__xludf.DUMMYFUNCTION("IF(F27&lt;&gt;"""",sparkline(F27,{""charttype"",""bar"";""color1"",""#3498DB"";""max"",50000}),"""")"),"")</f>
      </c>
      <c r="H27" s="27"/>
      <c r="I27" s="222">
        <f>IFERROR(__xludf.DUMMYFUNCTION("IF(H27&lt;&gt;"""",sparkline(H27,{""charttype"",""bar"";""color1"",""#2ecc71"";""max"",10000}),"""")"),"")</f>
        <v>25568.666666666668</v>
      </c>
      <c r="J27" s="23">
        <v>3</v>
      </c>
      <c r="K27" s="222">
        <v>45352</v>
      </c>
      <c r="L27" s="223" t="s">
        <v>503</v>
      </c>
      <c r="M27" s="21" t="s">
        <v>568</v>
      </c>
      <c r="N27" s="21"/>
      <c r="O27" s="224" t="s">
        <v>569</v>
      </c>
      <c r="P27" s="21"/>
    </row>
    <row x14ac:dyDescent="0.25" r="28" customHeight="1" ht="19.5">
      <c r="A28" s="21" t="s">
        <v>570</v>
      </c>
      <c r="B28" s="21" t="s">
        <v>506</v>
      </c>
      <c r="C28" s="225">
        <v>4.1</v>
      </c>
      <c r="D28" s="23">
        <v>15000</v>
      </c>
      <c r="E28" s="220">
        <f>IFERROR(__xludf.DUMMYFUNCTION("IF(D28&lt;&gt;"""",sparkline(D28,{""charttype"",""bar"";""color1"",""#e74c3c"";""max"",100000}),"""")"),"")</f>
      </c>
      <c r="F28" s="26"/>
      <c r="G28" s="221"/>
      <c r="H28" s="23">
        <v>15000</v>
      </c>
      <c r="I28" s="222">
        <f>IFERROR(__xludf.DUMMYFUNCTION("IF(H28&lt;&gt;"""",sparkline(H28,{""charttype"",""bar"";""color1"",""#2ecc71"";""max"",10000}),"""")"),"")</f>
        <v>25568.666666666668</v>
      </c>
      <c r="J28" s="23">
        <v>3</v>
      </c>
      <c r="K28" s="222">
        <v>45627</v>
      </c>
      <c r="L28" s="223" t="s">
        <v>503</v>
      </c>
      <c r="M28" s="21"/>
      <c r="N28" s="21"/>
      <c r="O28" s="25" t="s">
        <v>571</v>
      </c>
      <c r="P28" s="21"/>
    </row>
    <row x14ac:dyDescent="0.25" r="29" customHeight="1" ht="19.5">
      <c r="A29" s="21" t="s">
        <v>572</v>
      </c>
      <c r="B29" s="21" t="s">
        <v>483</v>
      </c>
      <c r="C29" s="23">
        <v>4</v>
      </c>
      <c r="D29" s="226">
        <v>13000</v>
      </c>
      <c r="E29" s="220">
        <f>IFERROR(__xludf.DUMMYFUNCTION("IF(D29&lt;&gt;"""",sparkline(D29,{""charttype"",""bar"";""color1"",""#e74c3c"";""max"",100000}),"""")"),"")</f>
      </c>
      <c r="F29" s="226">
        <v>13000</v>
      </c>
      <c r="G29" s="221">
        <f>IFERROR(__xludf.DUMMYFUNCTION("IF(F29&lt;&gt;"""",sparkline(F29,{""charttype"",""bar"";""color1"",""#3498DB"";""max"",50000}),"""")"),"")</f>
      </c>
      <c r="H29" s="27"/>
      <c r="I29" s="222">
        <f>IFERROR(__xludf.DUMMYFUNCTION("IF(H29&lt;&gt;"""",sparkline(H29,{""charttype"",""bar"";""color1"",""#2ecc71"";""max"",10000}),"""")"),"")</f>
        <v>25568.666666666668</v>
      </c>
      <c r="J29" s="23">
        <v>3</v>
      </c>
      <c r="K29" s="222">
        <v>45444</v>
      </c>
      <c r="L29" s="223" t="s">
        <v>503</v>
      </c>
      <c r="M29" s="21" t="s">
        <v>485</v>
      </c>
      <c r="N29" s="224" t="s">
        <v>486</v>
      </c>
      <c r="O29" s="25" t="s">
        <v>573</v>
      </c>
      <c r="P29" s="21" t="s">
        <v>574</v>
      </c>
    </row>
    <row x14ac:dyDescent="0.25" r="30" customHeight="1" ht="19.5">
      <c r="A30" s="21" t="s">
        <v>575</v>
      </c>
      <c r="B30" s="21" t="s">
        <v>508</v>
      </c>
      <c r="C30" s="24">
        <v>3.6</v>
      </c>
      <c r="D30" s="226">
        <v>13000</v>
      </c>
      <c r="E30" s="220">
        <f>IFERROR(__xludf.DUMMYFUNCTION("IF(D30&lt;&gt;"""",sparkline(D30,{""charttype"",""bar"";""color1"",""#e74c3c"";""max"",100000}),"""")"),"")</f>
      </c>
      <c r="F30" s="26"/>
      <c r="G30" s="221">
        <f>IFERROR(__xludf.DUMMYFUNCTION("IF(F30&lt;&gt;"""",sparkline(F30,{""charttype"",""bar"";""color1"",""#3498DB"";""max"",50000}),"""")"),"")</f>
      </c>
      <c r="H30" s="27"/>
      <c r="I30" s="222">
        <f>IFERROR(__xludf.DUMMYFUNCTION("IF(H30&lt;&gt;"""",sparkline(H30,{""charttype"",""bar"";""color1"",""#2ecc71"";""max"",10000}),"""")"),"")</f>
        <v>25568.666666666668</v>
      </c>
      <c r="J30" s="23">
        <v>4</v>
      </c>
      <c r="K30" s="222">
        <v>45047</v>
      </c>
      <c r="L30" s="223" t="s">
        <v>470</v>
      </c>
      <c r="M30" s="21" t="s">
        <v>576</v>
      </c>
      <c r="N30" s="21"/>
      <c r="O30" s="21"/>
      <c r="P30" s="25" t="s">
        <v>577</v>
      </c>
    </row>
    <row x14ac:dyDescent="0.25" r="31" customHeight="1" ht="19.5">
      <c r="A31" s="21" t="s">
        <v>578</v>
      </c>
      <c r="B31" s="21" t="s">
        <v>528</v>
      </c>
      <c r="C31" s="23">
        <v>3</v>
      </c>
      <c r="D31" s="23">
        <v>20000</v>
      </c>
      <c r="E31" s="220">
        <f>IFERROR(__xludf.DUMMYFUNCTION("IF(D31&lt;&gt;"""",sparkline(D31,{""charttype"",""bar"";""color1"",""#e74c3c"";""max"",100000}),"""")"),"")</f>
      </c>
      <c r="F31" s="26"/>
      <c r="G31" s="221"/>
      <c r="H31" s="23">
        <v>20000</v>
      </c>
      <c r="I31" s="222">
        <f>IFERROR(__xludf.DUMMYFUNCTION("IF(H31&lt;&gt;"""",sparkline(H31,{""charttype"",""bar"";""color1"",""#2ecc71"";""max"",10000}),"""")"),"")</f>
        <v>25568.666666666668</v>
      </c>
      <c r="J31" s="23">
        <v>4</v>
      </c>
      <c r="K31" s="222">
        <v>45901</v>
      </c>
      <c r="L31" s="223" t="s">
        <v>503</v>
      </c>
      <c r="M31" s="21"/>
      <c r="N31" s="224"/>
      <c r="O31" s="25" t="s">
        <v>579</v>
      </c>
      <c r="P31" s="21" t="s">
        <v>580</v>
      </c>
    </row>
    <row x14ac:dyDescent="0.25" r="32" customHeight="1" ht="19.5">
      <c r="A32" s="21" t="s">
        <v>581</v>
      </c>
      <c r="B32" s="21" t="s">
        <v>582</v>
      </c>
      <c r="C32" s="23">
        <v>3</v>
      </c>
      <c r="D32" s="23">
        <v>11519</v>
      </c>
      <c r="E32" s="220">
        <f>IFERROR(__xludf.DUMMYFUNCTION("IF(D32&lt;&gt;"""",sparkline(D32,{""charttype"",""bar"";""color1"",""#e74c3c"";""max"",100000}),"""")"),"")</f>
      </c>
      <c r="F32" s="24">
        <v>9832.4</v>
      </c>
      <c r="G32" s="221">
        <f>IFERROR(__xludf.DUMMYFUNCTION("IF(F32&lt;&gt;"""",sparkline(F32,{""charttype"",""bar"";""color1"",""#3498DB"";""max"",50000}),"""")"),"")</f>
      </c>
      <c r="H32" s="24">
        <v>1686.6</v>
      </c>
      <c r="I32" s="222">
        <f>IFERROR(__xludf.DUMMYFUNCTION("IF(H32&lt;&gt;"""",sparkline(H32,{""charttype"",""bar"";""color1"",""#2ecc71"";""max"",10000}),"""")"),"")</f>
        <v>25568.666666666668</v>
      </c>
      <c r="J32" s="23">
        <v>3</v>
      </c>
      <c r="K32" s="222">
        <v>45139</v>
      </c>
      <c r="L32" s="223" t="s">
        <v>503</v>
      </c>
      <c r="M32" s="21" t="s">
        <v>583</v>
      </c>
      <c r="N32" s="224" t="s">
        <v>584</v>
      </c>
      <c r="O32" s="21"/>
      <c r="P32" s="21"/>
    </row>
    <row x14ac:dyDescent="0.25" r="33" customHeight="1" ht="19.5">
      <c r="A33" s="21" t="s">
        <v>585</v>
      </c>
      <c r="B33" s="21" t="s">
        <v>508</v>
      </c>
      <c r="C33" s="24">
        <v>2.8</v>
      </c>
      <c r="D33" s="23">
        <v>12616</v>
      </c>
      <c r="E33" s="220">
        <f>IFERROR(__xludf.DUMMYFUNCTION("IF(D33&lt;&gt;"""",sparkline(D33,{""charttype"",""bar"";""color1"",""#e74c3c"";""max"",100000}),"""")"),"")</f>
      </c>
      <c r="F33" s="23">
        <v>1569</v>
      </c>
      <c r="G33" s="221">
        <f>IFERROR(__xludf.DUMMYFUNCTION("IF(F33&lt;&gt;"""",sparkline(F33,{""charttype"",""bar"";""color1"",""#3498DB"";""max"",50000}),"""")"),"")</f>
      </c>
      <c r="H33" s="23">
        <v>11047</v>
      </c>
      <c r="I33" s="222">
        <f>IFERROR(__xludf.DUMMYFUNCTION("IF(H33&lt;&gt;"""",sparkline(H33,{""charttype"",""bar"";""color1"",""#2ecc71"";""max"",10000}),"""")"),"")</f>
        <v>25568.666666666668</v>
      </c>
      <c r="J33" s="23">
        <v>4</v>
      </c>
      <c r="K33" s="222">
        <v>44317</v>
      </c>
      <c r="L33" s="223" t="s">
        <v>470</v>
      </c>
      <c r="M33" s="21" t="s">
        <v>586</v>
      </c>
      <c r="N33" s="21"/>
      <c r="O33" s="21"/>
      <c r="P33" s="25" t="s">
        <v>587</v>
      </c>
    </row>
    <row x14ac:dyDescent="0.25" r="34" customHeight="1" ht="19.5">
      <c r="A34" s="21" t="s">
        <v>588</v>
      </c>
      <c r="B34" s="21" t="s">
        <v>508</v>
      </c>
      <c r="C34" s="23">
        <v>3</v>
      </c>
      <c r="D34" s="23">
        <v>12000</v>
      </c>
      <c r="E34" s="220">
        <f>IFERROR(__xludf.DUMMYFUNCTION("IF(D34&lt;&gt;"""",sparkline(D34,{""charttype"",""bar"";""color1"",""#e74c3c"";""max"",100000}),"""")"),"")</f>
      </c>
      <c r="F34" s="23">
        <v>12000</v>
      </c>
      <c r="G34" s="221">
        <f>IFERROR(__xludf.DUMMYFUNCTION("IF(F34&lt;&gt;"""",sparkline(F34,{""charttype"",""bar"";""color1"",""#3498DB"";""max"",50000}),"""")"),"")</f>
      </c>
      <c r="H34" s="27"/>
      <c r="I34" s="222">
        <f>IFERROR(__xludf.DUMMYFUNCTION("IF(H34&lt;&gt;"""",sparkline(H34,{""charttype"",""bar"";""color1"",""#2ecc71"";""max"",10000}),"""")"),"")</f>
        <v>25568.666666666668</v>
      </c>
      <c r="J34" s="23">
        <v>2</v>
      </c>
      <c r="K34" s="222">
        <v>45170</v>
      </c>
      <c r="L34" s="223" t="s">
        <v>503</v>
      </c>
      <c r="M34" s="21" t="s">
        <v>589</v>
      </c>
      <c r="N34" s="224" t="s">
        <v>590</v>
      </c>
      <c r="O34" s="224" t="s">
        <v>591</v>
      </c>
      <c r="P34" s="21"/>
    </row>
    <row x14ac:dyDescent="0.25" r="35" customHeight="1" ht="19.5">
      <c r="A35" s="21" t="s">
        <v>592</v>
      </c>
      <c r="B35" s="21" t="s">
        <v>556</v>
      </c>
      <c r="C35" s="24">
        <v>2.35</v>
      </c>
      <c r="D35" s="226">
        <v>10550</v>
      </c>
      <c r="E35" s="220">
        <f>IFERROR(__xludf.DUMMYFUNCTION("IF(D35&lt;&gt;"""",sparkline(D35,{""charttype"",""bar"";""color1"",""#e74c3c"";""max"",100000}),"""")"),"")</f>
      </c>
      <c r="F35" s="226">
        <v>5173</v>
      </c>
      <c r="G35" s="221">
        <f>IFERROR(__xludf.DUMMYFUNCTION("IF(F35&lt;&gt;"""",sparkline(F35,{""charttype"",""bar"";""color1"",""#3498DB"";""max"",50000}),"""")"),"")</f>
      </c>
      <c r="H35" s="225">
        <v>5376.5</v>
      </c>
      <c r="I35" s="222">
        <f>IFERROR(__xludf.DUMMYFUNCTION("IF(H35&lt;&gt;"""",sparkline(H35,{""charttype"",""bar"";""color1"",""#2ecc71"";""max"",10000}),"""")"),"")</f>
        <v>25568.666666666668</v>
      </c>
      <c r="J35" s="23">
        <v>4</v>
      </c>
      <c r="K35" s="222">
        <v>44531</v>
      </c>
      <c r="L35" s="223" t="s">
        <v>470</v>
      </c>
      <c r="M35" s="25" t="s">
        <v>593</v>
      </c>
      <c r="N35" s="21"/>
      <c r="O35" s="21"/>
      <c r="P35" s="21"/>
    </row>
    <row x14ac:dyDescent="0.25" r="36" customHeight="1" ht="19.5">
      <c r="A36" s="21" t="s">
        <v>594</v>
      </c>
      <c r="B36" s="21" t="s">
        <v>595</v>
      </c>
      <c r="C36" s="24">
        <v>2.2</v>
      </c>
      <c r="D36" s="23">
        <v>8000</v>
      </c>
      <c r="E36" s="220">
        <f>IFERROR(__xludf.DUMMYFUNCTION("IF(D36&lt;&gt;"""",sparkline(D36,{""charttype"",""bar"";""color1"",""#e74c3c"";""max"",100000}),"""")"),"")</f>
      </c>
      <c r="F36" s="226">
        <v>4000</v>
      </c>
      <c r="G36" s="221">
        <f>IFERROR(__xludf.DUMMYFUNCTION("IF(F36&lt;&gt;"""",sparkline(F36,{""charttype"",""bar"";""color1"",""#3498DB"";""max"",50000}),"""")"),"")</f>
      </c>
      <c r="H36" s="226">
        <v>4000</v>
      </c>
      <c r="I36" s="222">
        <f>IFERROR(__xludf.DUMMYFUNCTION("IF(H36&lt;&gt;"""",sparkline(H36,{""charttype"",""bar"";""color1"",""#2ecc71"";""max"",10000}),"""")"),"")</f>
        <v>25568.666666666668</v>
      </c>
      <c r="J36" s="23">
        <v>3</v>
      </c>
      <c r="K36" s="222">
        <v>45809</v>
      </c>
      <c r="L36" s="223" t="s">
        <v>503</v>
      </c>
      <c r="M36" s="21" t="s">
        <v>596</v>
      </c>
      <c r="N36" s="25" t="s">
        <v>597</v>
      </c>
      <c r="O36" s="25" t="s">
        <v>598</v>
      </c>
      <c r="P36" s="21" t="s">
        <v>599</v>
      </c>
    </row>
    <row x14ac:dyDescent="0.25" r="37" customHeight="1" ht="19.5">
      <c r="A37" s="21" t="s">
        <v>600</v>
      </c>
      <c r="B37" s="21" t="s">
        <v>601</v>
      </c>
      <c r="C37" s="23">
        <v>2</v>
      </c>
      <c r="D37" s="226">
        <v>10000</v>
      </c>
      <c r="E37" s="220">
        <f>IFERROR(__xludf.DUMMYFUNCTION("IF(D37&lt;&gt;"""",sparkline(D37,{""charttype"",""bar"";""color1"",""#e74c3c"";""max"",100000}),"""")"),"")</f>
      </c>
      <c r="F37" s="226">
        <v>10000</v>
      </c>
      <c r="G37" s="221">
        <f>IFERROR(__xludf.DUMMYFUNCTION("IF(F37&lt;&gt;"""",sparkline(F37,{""charttype"",""bar"";""color1"",""#3498DB"";""max"",50000}),"""")"),"")</f>
      </c>
      <c r="H37" s="27"/>
      <c r="I37" s="222"/>
      <c r="J37" s="23">
        <v>3</v>
      </c>
      <c r="K37" s="222">
        <v>45597</v>
      </c>
      <c r="L37" s="223" t="s">
        <v>503</v>
      </c>
      <c r="M37" s="21"/>
      <c r="N37" s="25" t="s">
        <v>602</v>
      </c>
      <c r="O37" s="25" t="s">
        <v>603</v>
      </c>
      <c r="P37" s="21" t="s">
        <v>604</v>
      </c>
    </row>
    <row x14ac:dyDescent="0.25" r="38" customHeight="1" ht="19.5">
      <c r="A38" s="21" t="s">
        <v>605</v>
      </c>
      <c r="B38" s="21" t="s">
        <v>606</v>
      </c>
      <c r="C38" s="24">
        <v>1.6</v>
      </c>
      <c r="D38" s="23">
        <v>5100</v>
      </c>
      <c r="E38" s="220">
        <f>IFERROR(__xludf.DUMMYFUNCTION("IF(D38&lt;&gt;"""",sparkline(D38,{""charttype"",""bar"";""color1"",""#e74c3c"";""max"",100000}),"""")"),"")</f>
      </c>
      <c r="F38" s="23">
        <v>3616</v>
      </c>
      <c r="G38" s="221">
        <f>IFERROR(__xludf.DUMMYFUNCTION("IF(F38&lt;&gt;"""",sparkline(F38,{""charttype"",""bar"";""color1"",""#3498DB"";""max"",50000}),"""")"),"")</f>
      </c>
      <c r="H38" s="23">
        <v>1199</v>
      </c>
      <c r="I38" s="222">
        <f>IFERROR(__xludf.DUMMYFUNCTION("IF(H38&lt;&gt;"""",sparkline(H38,{""charttype"",""bar"";""color1"",""#2ecc71"";""max"",10000}),"""")"),"")</f>
        <v>25568.666666666668</v>
      </c>
      <c r="J38" s="23">
        <v>2</v>
      </c>
      <c r="K38" s="222">
        <v>45078</v>
      </c>
      <c r="L38" s="223" t="s">
        <v>484</v>
      </c>
      <c r="M38" s="21" t="s">
        <v>605</v>
      </c>
      <c r="N38" s="21"/>
      <c r="O38" s="21"/>
      <c r="P38" s="21" t="s">
        <v>607</v>
      </c>
    </row>
    <row x14ac:dyDescent="0.25" r="39" customHeight="1" ht="19.5">
      <c r="A39" s="21" t="s">
        <v>608</v>
      </c>
      <c r="B39" s="21" t="s">
        <v>609</v>
      </c>
      <c r="C39" s="24">
        <v>1.5</v>
      </c>
      <c r="D39" s="226">
        <v>5000</v>
      </c>
      <c r="E39" s="220">
        <f>IFERROR(__xludf.DUMMYFUNCTION("IF(D39&lt;&gt;"""",sparkline(D39,{""charttype"",""bar"";""color1"",""#e74c3c"";""max"",100000}),"""")"),"")</f>
      </c>
      <c r="F39" s="26"/>
      <c r="G39" s="221">
        <f>IFERROR(__xludf.DUMMYFUNCTION("IF(F39&lt;&gt;"""",sparkline(F39,{""charttype"",""bar"";""color1"",""#3498DB"";""max"",50000}),"""")"),"")</f>
      </c>
      <c r="H39" s="27"/>
      <c r="I39" s="222">
        <f>IFERROR(__xludf.DUMMYFUNCTION("IF(H39&lt;&gt;"""",sparkline(H39,{""charttype"",""bar"";""color1"",""#2ecc71"";""max"",10000}),"""")"),"")</f>
        <v>25568.666666666668</v>
      </c>
      <c r="J39" s="23">
        <v>3</v>
      </c>
      <c r="K39" s="222">
        <v>45017</v>
      </c>
      <c r="L39" s="223" t="s">
        <v>470</v>
      </c>
      <c r="M39" s="21" t="s">
        <v>610</v>
      </c>
      <c r="N39" s="21"/>
      <c r="O39" s="21"/>
      <c r="P39" s="21" t="s">
        <v>611</v>
      </c>
    </row>
    <row x14ac:dyDescent="0.25" r="40" customHeight="1" ht="19.5">
      <c r="A40" s="21" t="s">
        <v>612</v>
      </c>
      <c r="B40" s="21" t="s">
        <v>528</v>
      </c>
      <c r="C40" s="24">
        <v>1.3</v>
      </c>
      <c r="D40" s="23">
        <v>8840</v>
      </c>
      <c r="E40" s="220">
        <f>IFERROR(__xludf.DUMMYFUNCTION("IF(D40&lt;&gt;"""",sparkline(D40,{""charttype"",""bar"";""color1"",""#e74c3c"";""max"",100000}),"""")"),"")</f>
      </c>
      <c r="F40" s="23">
        <v>8840</v>
      </c>
      <c r="G40" s="221">
        <f>IFERROR(__xludf.DUMMYFUNCTION("IF(F40&lt;&gt;"""",sparkline(F40,{""charttype"",""bar"";""color1"",""#3498DB"";""max"",50000}),"""")"),"")</f>
      </c>
      <c r="H40" s="27"/>
      <c r="I40" s="222">
        <f>IFERROR(__xludf.DUMMYFUNCTION("IF(H40&lt;&gt;"""",sparkline(H40,{""charttype"",""bar"";""color1"",""#2ecc71"";""max"",10000}),"""")"),"")</f>
        <v>25568.666666666668</v>
      </c>
      <c r="J40" s="23">
        <v>4</v>
      </c>
      <c r="K40" s="222">
        <v>45413</v>
      </c>
      <c r="L40" s="223" t="s">
        <v>503</v>
      </c>
      <c r="M40" s="21"/>
      <c r="N40" s="21"/>
      <c r="O40" s="224" t="s">
        <v>613</v>
      </c>
      <c r="P40" s="21"/>
    </row>
    <row x14ac:dyDescent="0.25" r="41" customHeight="1" ht="19.5">
      <c r="A41" s="21" t="s">
        <v>614</v>
      </c>
      <c r="B41" s="21" t="s">
        <v>615</v>
      </c>
      <c r="C41" s="24">
        <v>1.3</v>
      </c>
      <c r="D41" s="23">
        <v>8840</v>
      </c>
      <c r="E41" s="21"/>
      <c r="F41" s="26"/>
      <c r="G41" s="221"/>
      <c r="H41" s="27"/>
      <c r="I41" s="222"/>
      <c r="J41" s="23">
        <v>3</v>
      </c>
      <c r="K41" s="222">
        <v>45444</v>
      </c>
      <c r="L41" s="223" t="s">
        <v>503</v>
      </c>
      <c r="M41" s="21"/>
      <c r="N41" s="21"/>
      <c r="O41" s="25" t="s">
        <v>616</v>
      </c>
      <c r="P41" s="21" t="s">
        <v>617</v>
      </c>
    </row>
    <row x14ac:dyDescent="0.25" r="42" customHeight="1" ht="19.5">
      <c r="A42" s="21" t="s">
        <v>618</v>
      </c>
      <c r="B42" s="21" t="s">
        <v>498</v>
      </c>
      <c r="C42" s="24">
        <v>1.2</v>
      </c>
      <c r="D42" s="226">
        <f>SUM(F42)</f>
      </c>
      <c r="E42" s="220">
        <f>IFERROR(__xludf.DUMMYFUNCTION("IF(D42&lt;&gt;"""",sparkline(D42,{""charttype"",""bar"";""color1"",""#e74c3c"";""max"",100000}),"""")"),"")</f>
      </c>
      <c r="F42" s="23">
        <v>4083</v>
      </c>
      <c r="G42" s="221">
        <f>IFERROR(__xludf.DUMMYFUNCTION("IF(F42&lt;&gt;"""",sparkline(F42,{""charttype"",""bar"";""color1"",""#3498DB"";""max"",50000}),"""")"),"")</f>
      </c>
      <c r="H42" s="23">
        <v>666</v>
      </c>
      <c r="I42" s="222">
        <f>IFERROR(__xludf.DUMMYFUNCTION("IF(H42&lt;&gt;"""",sparkline(H42,{""charttype"",""bar"";""color1"",""#2ecc71"";""max"",10000}),"""")"),"")</f>
        <v>25568.666666666668</v>
      </c>
      <c r="J42" s="23">
        <v>2</v>
      </c>
      <c r="K42" s="222">
        <v>44958</v>
      </c>
      <c r="L42" s="223" t="s">
        <v>484</v>
      </c>
      <c r="M42" s="25" t="s">
        <v>619</v>
      </c>
      <c r="N42" s="21"/>
      <c r="O42" s="21"/>
      <c r="P42" s="21"/>
    </row>
    <row x14ac:dyDescent="0.25" r="43" customHeight="1" ht="19.5">
      <c r="A43" s="21" t="s">
        <v>620</v>
      </c>
      <c r="B43" s="21" t="s">
        <v>502</v>
      </c>
      <c r="C43" s="24">
        <v>1.2</v>
      </c>
      <c r="D43" s="23">
        <v>4033</v>
      </c>
      <c r="E43" s="220">
        <f>IFERROR(__xludf.DUMMYFUNCTION("IF(D43&lt;&gt;"""",sparkline(D43,{""charttype"",""bar"";""color1"",""#e74c3c"";""max"",100000}),"""")"),"")</f>
      </c>
      <c r="F43" s="23">
        <v>3510</v>
      </c>
      <c r="G43" s="221">
        <f>IFERROR(__xludf.DUMMYFUNCTION("IF(F43&lt;&gt;"""",sparkline(F43,{""charttype"",""bar"";""color1"",""#3498DB"";""max"",50000}),"""")"),"")</f>
      </c>
      <c r="H43" s="23">
        <v>524</v>
      </c>
      <c r="I43" s="222">
        <f>IFERROR(__xludf.DUMMYFUNCTION("IF(H43&lt;&gt;"""",sparkline(H43,{""charttype"",""bar"";""color1"",""#2ecc71"";""max"",10000}),"""")"),"")</f>
        <v>25568.666666666668</v>
      </c>
      <c r="J43" s="23">
        <v>3</v>
      </c>
      <c r="K43" s="222">
        <v>45017</v>
      </c>
      <c r="L43" s="223" t="s">
        <v>503</v>
      </c>
      <c r="M43" s="21" t="s">
        <v>621</v>
      </c>
      <c r="N43" s="25" t="s">
        <v>622</v>
      </c>
      <c r="O43" s="21"/>
      <c r="P43" s="224"/>
    </row>
    <row x14ac:dyDescent="0.25" r="44" customHeight="1" ht="19.5">
      <c r="A44" s="21" t="s">
        <v>623</v>
      </c>
      <c r="B44" s="21" t="s">
        <v>624</v>
      </c>
      <c r="C44" s="24">
        <v>0.9</v>
      </c>
      <c r="D44" s="23">
        <v>67500</v>
      </c>
      <c r="E44" s="220">
        <f>IFERROR(__xludf.DUMMYFUNCTION("IF(D44&lt;&gt;"""",sparkline(D44,{""charttype"",""bar"";""color1"",""#e74c3c"";""max"",100000}),"""")"),"")</f>
      </c>
      <c r="F44" s="26"/>
      <c r="G44" s="221"/>
      <c r="H44" s="23">
        <v>67500</v>
      </c>
      <c r="I44" s="222">
        <f>IFERROR(__xludf.DUMMYFUNCTION("IF(H44&lt;&gt;"""",sparkline(H44,{""charttype"",""bar"";""color1"",""#2ecc71"";""max"",10000}),"""")"),"")</f>
        <v>25568.666666666668</v>
      </c>
      <c r="J44" s="23">
        <v>2</v>
      </c>
      <c r="K44" s="222">
        <v>45323</v>
      </c>
      <c r="L44" s="223" t="s">
        <v>503</v>
      </c>
      <c r="M44" s="21" t="s">
        <v>625</v>
      </c>
      <c r="N44" s="25" t="s">
        <v>626</v>
      </c>
      <c r="O44" s="25" t="s">
        <v>627</v>
      </c>
      <c r="P44" s="21" t="s">
        <v>628</v>
      </c>
    </row>
    <row x14ac:dyDescent="0.25" r="45" customHeight="1" ht="19.5">
      <c r="A45" s="21" t="s">
        <v>629</v>
      </c>
      <c r="B45" s="21" t="s">
        <v>630</v>
      </c>
      <c r="C45" s="24">
        <v>0.627</v>
      </c>
      <c r="D45" s="23">
        <v>2685</v>
      </c>
      <c r="E45" s="220">
        <f>IFERROR(__xludf.DUMMYFUNCTION("IF(D45&lt;&gt;"""",sparkline(D45,{""charttype"",""bar"";""color1"",""#e74c3c"";""max"",100000}),"""")"),"")</f>
      </c>
      <c r="F45" s="23">
        <v>706</v>
      </c>
      <c r="G45" s="221">
        <f>IFERROR(__xludf.DUMMYFUNCTION("IF(F45&lt;&gt;"""",sparkline(F45,{""charttype"",""bar"";""color1"",""#3498DB"";""max"",50000}),"""")"),"")</f>
      </c>
      <c r="H45" s="23">
        <v>145</v>
      </c>
      <c r="I45" s="222">
        <f>IFERROR(__xludf.DUMMYFUNCTION("IF(H45&lt;&gt;"""",sparkline(H45,{""charttype"",""bar"";""color1"",""#2ecc71"";""max"",10000}),"""")"),"")</f>
        <v>25568.666666666668</v>
      </c>
      <c r="J45" s="23">
        <v>3</v>
      </c>
      <c r="K45" s="222">
        <v>45078</v>
      </c>
      <c r="L45" s="223" t="s">
        <v>503</v>
      </c>
      <c r="M45" s="21"/>
      <c r="N45" s="224" t="s">
        <v>631</v>
      </c>
      <c r="O45" s="224" t="s">
        <v>632</v>
      </c>
      <c r="P45" s="21" t="s">
        <v>633</v>
      </c>
    </row>
    <row x14ac:dyDescent="0.25" r="46" customHeight="1" ht="19.5">
      <c r="A46" s="21" t="s">
        <v>634</v>
      </c>
      <c r="B46" s="21" t="s">
        <v>601</v>
      </c>
      <c r="C46" s="24">
        <v>0.65</v>
      </c>
      <c r="D46" s="23">
        <v>2000</v>
      </c>
      <c r="E46" s="220">
        <f>IFERROR(__xludf.DUMMYFUNCTION("IF(D46&lt;&gt;"""",sparkline(D46,{""charttype"",""bar"";""color1"",""#e74c3c"";""max"",100000}),"""")"),"")</f>
      </c>
      <c r="F46" s="23">
        <v>2000</v>
      </c>
      <c r="G46" s="221">
        <f>IFERROR(__xludf.DUMMYFUNCTION("IF(F46&lt;&gt;"""",sparkline(F46,{""charttype"",""bar"";""color1"",""#3498DB"";""max"",50000}),"""")"),"")</f>
      </c>
      <c r="H46" s="27"/>
      <c r="I46" s="222">
        <f>IFERROR(__xludf.DUMMYFUNCTION("IF(H46&lt;&gt;"""",sparkline(H46,{""charttype"",""bar"";""color1"",""#2ecc71"";""max"",10000}),"""")"),"")</f>
        <v>25568.666666666668</v>
      </c>
      <c r="J46" s="23">
        <v>2</v>
      </c>
      <c r="K46" s="222">
        <v>45352</v>
      </c>
      <c r="L46" s="223" t="s">
        <v>503</v>
      </c>
      <c r="M46" s="21"/>
      <c r="N46" s="21"/>
      <c r="O46" s="25" t="s">
        <v>635</v>
      </c>
      <c r="P46" s="21" t="s">
        <v>636</v>
      </c>
    </row>
    <row x14ac:dyDescent="0.25" r="47" customHeight="1" ht="19.5">
      <c r="A47" s="21" t="s">
        <v>637</v>
      </c>
      <c r="B47" s="21" t="s">
        <v>638</v>
      </c>
      <c r="C47" s="24">
        <v>0.341</v>
      </c>
      <c r="D47" s="226">
        <v>1600</v>
      </c>
      <c r="E47" s="220">
        <f>IFERROR(__xludf.DUMMYFUNCTION("IF(D47&lt;&gt;"""",sparkline(D47,{""charttype"",""bar"";""color1"",""#e74c3c"";""max"",100000}),"""")"),"")</f>
      </c>
      <c r="F47" s="26"/>
      <c r="G47" s="221">
        <f>IFERROR(__xludf.DUMMYFUNCTION("IF(F47&lt;&gt;"""",sparkline(F47,{""charttype"",""bar"";""color1"",""#3498DB"";""max"",50000}),"""")"),"")</f>
      </c>
      <c r="H47" s="27"/>
      <c r="I47" s="222">
        <f>IFERROR(__xludf.DUMMYFUNCTION("IF(H47&lt;&gt;"""",sparkline(H47,{""charttype"",""bar"";""color1"",""#2ecc71"";""max"",10000}),"""")"),"")</f>
        <v>25568.666666666668</v>
      </c>
      <c r="J47" s="23">
        <v>2</v>
      </c>
      <c r="K47" s="222">
        <v>45352</v>
      </c>
      <c r="L47" s="223" t="s">
        <v>503</v>
      </c>
      <c r="M47" s="25" t="s">
        <v>639</v>
      </c>
      <c r="N47" s="224" t="s">
        <v>640</v>
      </c>
      <c r="O47" s="21"/>
      <c r="P47" s="21"/>
    </row>
    <row x14ac:dyDescent="0.25" r="48" customHeight="1" ht="19.5">
      <c r="A48" s="21" t="s">
        <v>641</v>
      </c>
      <c r="B48" s="21" t="s">
        <v>595</v>
      </c>
      <c r="C48" s="24">
        <v>0.247</v>
      </c>
      <c r="D48" s="23">
        <v>825</v>
      </c>
      <c r="E48" s="220">
        <f>IFERROR(__xludf.DUMMYFUNCTION("IF(D48&lt;&gt;"""",sparkline(D48,{""charttype"",""bar"";""color1"",""#e74c3c"";""max"",100000}),"""")"),"")</f>
      </c>
      <c r="F48" s="23">
        <v>227</v>
      </c>
      <c r="G48" s="221">
        <f>IFERROR(__xludf.DUMMYFUNCTION("IF(F48&lt;&gt;"""",sparkline(F48,{""charttype"",""bar"";""color1"",""#3498DB"";""max"",50000}),"""")"),"")</f>
      </c>
      <c r="H48" s="24">
        <v>629.71</v>
      </c>
      <c r="I48" s="222">
        <f>IFERROR(__xludf.DUMMYFUNCTION("IF(H48&lt;&gt;"""",sparkline(H48,{""charttype"",""bar"";""color1"",""#2ecc71"";""max"",10000}),"""")"),"")</f>
        <v>25568.666666666668</v>
      </c>
      <c r="J48" s="23">
        <v>4</v>
      </c>
      <c r="K48" s="222">
        <v>44166</v>
      </c>
      <c r="L48" s="223" t="s">
        <v>503</v>
      </c>
      <c r="M48" s="25" t="s">
        <v>642</v>
      </c>
      <c r="N48" s="21"/>
      <c r="O48" s="21"/>
      <c r="P48" s="21" t="s">
        <v>643</v>
      </c>
    </row>
    <row x14ac:dyDescent="0.25" r="49" customHeight="1" ht="19.5">
      <c r="A49" s="21" t="s">
        <v>644</v>
      </c>
      <c r="B49" s="21" t="s">
        <v>645</v>
      </c>
      <c r="C49" s="24">
        <v>0.242</v>
      </c>
      <c r="D49" s="23">
        <v>825</v>
      </c>
      <c r="E49" s="220">
        <f>IFERROR(__xludf.DUMMYFUNCTION("IF(D49&lt;&gt;"""",sparkline(D49,{""charttype"",""bar"";""color1"",""#e74c3c"";""max"",100000}),"""")"),"")</f>
      </c>
      <c r="F49" s="23">
        <v>0</v>
      </c>
      <c r="G49" s="221">
        <f>IFERROR(__xludf.DUMMYFUNCTION("IF(F49&lt;&gt;"""",sparkline(F49,{""charttype"",""bar"";""color1"",""#3498DB"";""max"",50000}),"""")"),"")</f>
      </c>
      <c r="H49" s="23">
        <v>825</v>
      </c>
      <c r="I49" s="222">
        <f>IFERROR(__xludf.DUMMYFUNCTION("IF(H49&lt;&gt;"""",sparkline(H49,{""charttype"",""bar"";""color1"",""#2ecc71"";""max"",10000}),"""")"),"")</f>
        <v>25568.666666666668</v>
      </c>
      <c r="J49" s="23">
        <v>4</v>
      </c>
      <c r="K49" s="222">
        <v>45809</v>
      </c>
      <c r="L49" s="223" t="s">
        <v>503</v>
      </c>
      <c r="M49" s="21"/>
      <c r="N49" s="25" t="s">
        <v>646</v>
      </c>
      <c r="O49" s="25" t="s">
        <v>647</v>
      </c>
      <c r="P49" s="25" t="s">
        <v>648</v>
      </c>
    </row>
    <row x14ac:dyDescent="0.25" r="50" customHeight="1" ht="19.5">
      <c r="A50" s="21" t="s">
        <v>649</v>
      </c>
      <c r="B50" s="21" t="s">
        <v>624</v>
      </c>
      <c r="C50" s="24">
        <v>0.25</v>
      </c>
      <c r="D50" s="23">
        <v>783</v>
      </c>
      <c r="E50" s="21"/>
      <c r="F50" s="26"/>
      <c r="G50" s="221"/>
      <c r="H50" s="23">
        <v>783</v>
      </c>
      <c r="I50" s="228"/>
      <c r="J50" s="23">
        <v>3</v>
      </c>
      <c r="K50" s="222">
        <v>45047</v>
      </c>
      <c r="L50" s="223" t="s">
        <v>503</v>
      </c>
      <c r="M50" s="25" t="s">
        <v>650</v>
      </c>
      <c r="N50" s="25" t="s">
        <v>651</v>
      </c>
      <c r="O50" s="21"/>
      <c r="P50" s="21" t="s">
        <v>652</v>
      </c>
    </row>
    <row x14ac:dyDescent="0.25" r="51" customHeight="1" ht="19.5">
      <c r="A51" s="21" t="s">
        <v>653</v>
      </c>
      <c r="B51" s="21" t="s">
        <v>624</v>
      </c>
      <c r="C51" s="24">
        <v>0.2</v>
      </c>
      <c r="D51" s="23">
        <v>6400</v>
      </c>
      <c r="E51" s="220">
        <f>IFERROR(__xludf.DUMMYFUNCTION("IF(D51&lt;&gt;"""",sparkline(D51,{""charttype"",""bar"";""color1"",""#e74c3c"";""max"",100000}),"""")"),"")</f>
      </c>
      <c r="F51" s="26"/>
      <c r="G51" s="221"/>
      <c r="H51" s="23">
        <v>6400</v>
      </c>
      <c r="I51" s="222">
        <f>IFERROR(__xludf.DUMMYFUNCTION("IF(H51&lt;&gt;"""",sparkline(H51,{""charttype"",""bar"";""color1"",""#2ecc71"";""max"",10000}),"""")"),"")</f>
        <v>25568.666666666668</v>
      </c>
      <c r="J51" s="23">
        <v>2</v>
      </c>
      <c r="K51" s="222">
        <v>44866</v>
      </c>
      <c r="L51" s="223" t="s">
        <v>503</v>
      </c>
      <c r="M51" s="21" t="s">
        <v>654</v>
      </c>
      <c r="N51" s="25" t="s">
        <v>655</v>
      </c>
      <c r="O51" s="25" t="s">
        <v>656</v>
      </c>
      <c r="P51" s="21" t="s">
        <v>657</v>
      </c>
    </row>
    <row x14ac:dyDescent="0.25" r="52" customHeight="1" ht="19.5">
      <c r="A52" s="21" t="s">
        <v>658</v>
      </c>
      <c r="B52" s="21" t="s">
        <v>490</v>
      </c>
      <c r="C52" s="24">
        <v>0.499</v>
      </c>
      <c r="D52" s="226">
        <v>753</v>
      </c>
      <c r="E52" s="220">
        <f>IFERROR(__xludf.DUMMYFUNCTION("IF(D52&lt;&gt;"""",sparkline(D52,{""charttype"",""bar"";""color1"",""#e74c3c"";""max"",100000}),"""")"),"")</f>
      </c>
      <c r="F52" s="226">
        <v>620</v>
      </c>
      <c r="G52" s="221">
        <f>IFERROR(__xludf.DUMMYFUNCTION("IF(F52&lt;&gt;"""",sparkline(F52,{""charttype"",""bar"";""color1"",""#3498DB"";""max"",50000}),"""")"),"")</f>
      </c>
      <c r="H52" s="225">
        <v>133.4</v>
      </c>
      <c r="I52" s="222">
        <f>IFERROR(__xludf.DUMMYFUNCTION("IF(H52&lt;&gt;"""",sparkline(H52,{""charttype"",""bar"";""color1"",""#2ecc71"";""max"",10000}),"""")"),"")</f>
        <v>25568.666666666668</v>
      </c>
      <c r="J52" s="23">
        <v>3</v>
      </c>
      <c r="K52" s="222">
        <v>43952</v>
      </c>
      <c r="L52" s="223" t="s">
        <v>470</v>
      </c>
      <c r="M52" s="25" t="s">
        <v>160</v>
      </c>
      <c r="N52" s="21"/>
      <c r="O52" s="21"/>
      <c r="P52" s="21"/>
    </row>
    <row x14ac:dyDescent="0.25" r="53" customHeight="1" ht="19.5">
      <c r="A53" s="21" t="s">
        <v>659</v>
      </c>
      <c r="B53" s="21" t="s">
        <v>498</v>
      </c>
      <c r="C53" s="27"/>
      <c r="D53" s="23">
        <v>161</v>
      </c>
      <c r="E53" s="220">
        <f>IFERROR(__xludf.DUMMYFUNCTION("IF(D53&lt;&gt;"""",sparkline(D53,{""charttype"",""bar"";""color1"",""#e74c3c"";""max"",100000}),"""")"),"")</f>
      </c>
      <c r="F53" s="23">
        <v>145</v>
      </c>
      <c r="G53" s="221">
        <f>IFERROR(__xludf.DUMMYFUNCTION("IF(F53&lt;&gt;"""",sparkline(F53,{""charttype"",""bar"";""color1"",""#3498DB"";""max"",50000}),"""")"),"")</f>
      </c>
      <c r="H53" s="23">
        <v>16</v>
      </c>
      <c r="I53" s="222">
        <f>IFERROR(__xludf.DUMMYFUNCTION("IF(H53&lt;&gt;"""",sparkline(H53,{""charttype"",""bar"";""color1"",""#2ecc71"";""max"",10000}),"""")"),"")</f>
        <v>25568.666666666668</v>
      </c>
      <c r="J53" s="23">
        <v>3</v>
      </c>
      <c r="K53" s="222">
        <v>43647</v>
      </c>
      <c r="L53" s="223" t="s">
        <v>484</v>
      </c>
      <c r="M53" s="21" t="s">
        <v>660</v>
      </c>
      <c r="N53" s="21"/>
      <c r="O53" s="21"/>
      <c r="P53" s="21"/>
    </row>
    <row x14ac:dyDescent="0.25" r="54" customHeight="1" ht="19.5">
      <c r="A54" s="21" t="s">
        <v>661</v>
      </c>
      <c r="B54" s="21" t="s">
        <v>601</v>
      </c>
      <c r="C54" s="24">
        <v>0.03</v>
      </c>
      <c r="D54" s="23">
        <v>110</v>
      </c>
      <c r="E54" s="220">
        <f>IFERROR(__xludf.DUMMYFUNCTION("IF(D54&lt;&gt;"""",sparkline(D54,{""charttype"",""bar"";""color1"",""#e74c3c"";""max"",100000}),"""")"),"")</f>
      </c>
      <c r="F54" s="26"/>
      <c r="G54" s="221">
        <f>IFERROR(__xludf.DUMMYFUNCTION("IF(F54&lt;&gt;"""",sparkline(F54,{""charttype"",""bar"";""color1"",""#3498DB"";""max"",50000}),"""")"),"")</f>
      </c>
      <c r="H54" s="23">
        <v>110</v>
      </c>
      <c r="I54" s="222">
        <f>IFERROR(__xludf.DUMMYFUNCTION("IF(H54&lt;&gt;"""",sparkline(H54,{""charttype"",""bar"";""color1"",""#2ecc71"";""max"",10000}),"""")"),"")</f>
        <v>25568.666666666668</v>
      </c>
      <c r="J54" s="23">
        <v>4</v>
      </c>
      <c r="K54" s="222">
        <v>45383</v>
      </c>
      <c r="L54" s="223" t="s">
        <v>503</v>
      </c>
      <c r="M54" s="21"/>
      <c r="N54" s="25" t="s">
        <v>662</v>
      </c>
      <c r="O54" s="224" t="s">
        <v>663</v>
      </c>
      <c r="P54" s="21" t="s">
        <v>664</v>
      </c>
    </row>
    <row x14ac:dyDescent="0.25" r="55" customHeight="1" ht="19.5">
      <c r="A55" s="21" t="s">
        <v>665</v>
      </c>
      <c r="B55" s="21" t="s">
        <v>528</v>
      </c>
      <c r="C55" s="24">
        <v>0.028</v>
      </c>
      <c r="D55" s="23">
        <v>103</v>
      </c>
      <c r="E55" s="229"/>
      <c r="F55" s="230"/>
      <c r="G55" s="221"/>
      <c r="H55" s="23">
        <v>103</v>
      </c>
      <c r="I55" s="228"/>
      <c r="J55" s="23">
        <v>5</v>
      </c>
      <c r="K55" s="222">
        <v>45474</v>
      </c>
      <c r="L55" s="223" t="s">
        <v>470</v>
      </c>
      <c r="M55" s="228" t="s">
        <v>666</v>
      </c>
      <c r="N55" s="223"/>
      <c r="O55" s="25" t="s">
        <v>667</v>
      </c>
      <c r="P55" s="21" t="s">
        <v>668</v>
      </c>
    </row>
    <row x14ac:dyDescent="0.25" r="56" customHeight="1" ht="19.5">
      <c r="A56" s="21" t="s">
        <v>669</v>
      </c>
      <c r="B56" s="21" t="s">
        <v>528</v>
      </c>
      <c r="C56" s="24">
        <v>0.025</v>
      </c>
      <c r="D56" s="23">
        <v>92</v>
      </c>
      <c r="E56" s="229"/>
      <c r="F56" s="230"/>
      <c r="G56" s="221"/>
      <c r="H56" s="23">
        <v>92</v>
      </c>
      <c r="I56" s="228"/>
      <c r="J56" s="23">
        <v>5</v>
      </c>
      <c r="K56" s="222">
        <v>45352</v>
      </c>
      <c r="L56" s="223" t="s">
        <v>503</v>
      </c>
      <c r="M56" s="231"/>
      <c r="N56" s="223"/>
      <c r="O56" s="25" t="s">
        <v>670</v>
      </c>
      <c r="P56" s="21" t="s">
        <v>671</v>
      </c>
    </row>
    <row x14ac:dyDescent="0.25" r="57" customHeight="1" ht="19.5">
      <c r="A57" s="21" t="s">
        <v>672</v>
      </c>
      <c r="B57" s="21" t="s">
        <v>490</v>
      </c>
      <c r="C57" s="27"/>
      <c r="D57" s="23">
        <v>40</v>
      </c>
      <c r="E57" s="220">
        <f>IFERROR(__xludf.DUMMYFUNCTION("IF(D57&lt;&gt;"""",sparkline(D57,{""charttype"",""bar"";""color1"",""#e74c3c"";""max"",100000}),"""")"),"")</f>
      </c>
      <c r="F57" s="23">
        <v>40</v>
      </c>
      <c r="G57" s="221">
        <f>IFERROR(__xludf.DUMMYFUNCTION("IF(F57&lt;&gt;"""",sparkline(F57,{""charttype"",""bar"";""color1"",""#3498DB"";""max"",50000}),"""")"),"")</f>
      </c>
      <c r="H57" s="27"/>
      <c r="I57" s="222">
        <f>IFERROR(__xludf.DUMMYFUNCTION("IF(H57&lt;&gt;"""",sparkline(H57,{""charttype"",""bar"";""color1"",""#2ecc71"";""max"",10000}),"""")"),"")</f>
        <v>25568.666666666668</v>
      </c>
      <c r="J57" s="23">
        <v>2</v>
      </c>
      <c r="K57" s="222">
        <v>43497</v>
      </c>
      <c r="L57" s="223" t="s">
        <v>484</v>
      </c>
      <c r="M57" s="21" t="s">
        <v>673</v>
      </c>
      <c r="N57" s="21"/>
      <c r="O57" s="29"/>
      <c r="P57" s="21" t="s">
        <v>674</v>
      </c>
    </row>
    <row x14ac:dyDescent="0.25" r="58" customHeight="1" ht="19.5">
      <c r="A58" s="21" t="s">
        <v>675</v>
      </c>
      <c r="B58" s="21" t="s">
        <v>490</v>
      </c>
      <c r="C58" s="27"/>
      <c r="D58" s="24">
        <v>98.4</v>
      </c>
      <c r="E58" s="220">
        <f>IFERROR(__xludf.DUMMYFUNCTION("IF(D58&lt;&gt;"""",sparkline(D58,{""charttype"",""bar"";""color1"",""#e74c3c"";""max"",100000}),"""")"),"")</f>
      </c>
      <c r="F58" s="26"/>
      <c r="G58" s="221">
        <f>IFERROR(__xludf.DUMMYFUNCTION("IF(F58&lt;&gt;"""",sparkline(F58,{""charttype"",""bar"";""color1"",""#3498DB"";""max"",50000}),"""")"),"")</f>
      </c>
      <c r="H58" s="24">
        <v>98.4</v>
      </c>
      <c r="I58" s="222">
        <f>IFERROR(__xludf.DUMMYFUNCTION("IF(H58&lt;&gt;"""",sparkline(H58,{""charttype"",""bar"";""color1"",""#2ecc71"";""max"",10000}),"""")"),"")</f>
        <v>25568.666666666668</v>
      </c>
      <c r="J58" s="23">
        <v>1</v>
      </c>
      <c r="K58" s="222">
        <v>43252</v>
      </c>
      <c r="L58" s="223" t="s">
        <v>484</v>
      </c>
      <c r="M58" s="21" t="s">
        <v>676</v>
      </c>
      <c r="N58" s="21"/>
      <c r="O58" s="29"/>
      <c r="P58" s="21" t="s">
        <v>677</v>
      </c>
    </row>
    <row x14ac:dyDescent="0.25" r="59" customHeight="1" ht="19.5">
      <c r="A59" s="25" t="s">
        <v>678</v>
      </c>
      <c r="B59" s="21"/>
      <c r="C59" s="232"/>
      <c r="D59" s="24"/>
      <c r="E59" s="229"/>
      <c r="F59" s="230"/>
      <c r="G59" s="221">
        <f>IFERROR(__xludf.DUMMYFUNCTION("IF(F59&lt;&gt;"""",sparkline(F59,{""charttype"",""bar"";""color1"",""#3498DB"";""max"",50000}),"""")"),"")</f>
      </c>
      <c r="H59" s="233"/>
      <c r="I59" s="228"/>
      <c r="J59" s="234"/>
      <c r="K59" s="235"/>
      <c r="L59" s="236"/>
      <c r="M59" s="231"/>
      <c r="N59" s="223"/>
      <c r="O59" s="21"/>
      <c r="P59" s="25" t="s">
        <v>678</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60"/>
  <sheetViews>
    <sheetView workbookViewId="0">
      <pane state="frozen" activePane="bottomLeft" topLeftCell="A2" ySplit="1" xSplit="0"/>
    </sheetView>
  </sheetViews>
  <sheetFormatPr defaultRowHeight="15" x14ac:dyDescent="0.25"/>
  <cols>
    <col min="1" max="1" style="193" width="19.290714285714284" customWidth="1" bestFit="1"/>
    <col min="2" max="2" style="193" width="53.86214285714286" customWidth="1" bestFit="1"/>
    <col min="3" max="3" style="194" width="8.43357142857143" customWidth="1" bestFit="1"/>
    <col min="4" max="4" style="195" width="8.005" customWidth="1" bestFit="1"/>
    <col min="5" max="5" style="196" width="13.576428571428572" customWidth="1" bestFit="1"/>
    <col min="6" max="6" style="4" width="16.290714285714284" customWidth="1" bestFit="1"/>
    <col min="7" max="7" style="197" width="15.147857142857141" customWidth="1" bestFit="1"/>
    <col min="8" max="8" style="198" width="11.005" customWidth="1" bestFit="1"/>
    <col min="9" max="9" style="198" width="8.719285714285713" customWidth="1" bestFit="1"/>
    <col min="10" max="10" style="199" width="137.57642857142858" customWidth="1" bestFit="1"/>
    <col min="11" max="11" style="200" width="4.862142857142857" customWidth="1" bestFit="1"/>
  </cols>
  <sheetData>
    <row x14ac:dyDescent="0.25" r="1" customHeight="1" ht="17.25" customFormat="1" s="155">
      <c r="A1" s="156" t="s">
        <v>243</v>
      </c>
      <c r="B1" s="156" t="s">
        <v>244</v>
      </c>
      <c r="C1" s="157" t="s">
        <v>245</v>
      </c>
      <c r="D1" s="158" t="s">
        <v>246</v>
      </c>
      <c r="E1" s="159" t="s">
        <v>247</v>
      </c>
      <c r="F1" s="156" t="s">
        <v>149</v>
      </c>
      <c r="G1" s="160" t="s">
        <v>248</v>
      </c>
      <c r="H1" s="159" t="s">
        <v>249</v>
      </c>
      <c r="I1" s="159" t="s">
        <v>250</v>
      </c>
      <c r="J1" s="156" t="s">
        <v>251</v>
      </c>
      <c r="K1" s="161"/>
    </row>
    <row x14ac:dyDescent="0.25" r="2" customHeight="1" ht="37.5" customFormat="1" s="155">
      <c r="A2" s="162" t="s">
        <v>252</v>
      </c>
      <c r="B2" s="163" t="s">
        <v>253</v>
      </c>
      <c r="C2" s="164"/>
      <c r="D2" s="165"/>
      <c r="E2" s="166" t="s">
        <v>65</v>
      </c>
      <c r="F2" s="162" t="s">
        <v>254</v>
      </c>
      <c r="G2" s="167">
        <v>45962</v>
      </c>
      <c r="H2" s="166" t="s">
        <v>80</v>
      </c>
      <c r="I2" s="168" t="s">
        <v>255</v>
      </c>
      <c r="J2" s="169" t="s">
        <v>256</v>
      </c>
      <c r="K2" s="170"/>
    </row>
    <row x14ac:dyDescent="0.25" r="3" customHeight="1" ht="37.5" customFormat="1" s="155">
      <c r="A3" s="162" t="s">
        <v>257</v>
      </c>
      <c r="B3" s="163" t="s">
        <v>258</v>
      </c>
      <c r="C3" s="171" t="s">
        <v>259</v>
      </c>
      <c r="D3" s="165">
        <v>96</v>
      </c>
      <c r="E3" s="166" t="s">
        <v>65</v>
      </c>
      <c r="F3" s="162" t="s">
        <v>260</v>
      </c>
      <c r="G3" s="167">
        <v>45962</v>
      </c>
      <c r="H3" s="166" t="s">
        <v>80</v>
      </c>
      <c r="I3" s="168" t="s">
        <v>255</v>
      </c>
      <c r="J3" s="169" t="s">
        <v>261</v>
      </c>
      <c r="K3" s="170"/>
    </row>
    <row x14ac:dyDescent="0.25" r="4" customHeight="1" ht="37.5" customFormat="1" s="155">
      <c r="A4" s="162" t="s">
        <v>262</v>
      </c>
      <c r="B4" s="163" t="s">
        <v>263</v>
      </c>
      <c r="C4" s="171" t="s">
        <v>264</v>
      </c>
      <c r="D4" s="165">
        <v>50</v>
      </c>
      <c r="E4" s="166" t="s">
        <v>65</v>
      </c>
      <c r="F4" s="162" t="s">
        <v>265</v>
      </c>
      <c r="G4" s="167">
        <v>45839</v>
      </c>
      <c r="H4" s="166" t="s">
        <v>65</v>
      </c>
      <c r="I4" s="168" t="s">
        <v>255</v>
      </c>
      <c r="J4" s="169" t="s">
        <v>266</v>
      </c>
      <c r="K4" s="170"/>
    </row>
    <row x14ac:dyDescent="0.25" r="5" customHeight="1" ht="37.5" customFormat="1" s="155">
      <c r="A5" s="162" t="s">
        <v>267</v>
      </c>
      <c r="B5" s="163" t="s">
        <v>268</v>
      </c>
      <c r="C5" s="164"/>
      <c r="D5" s="165"/>
      <c r="E5" s="166" t="s">
        <v>65</v>
      </c>
      <c r="F5" s="162" t="s">
        <v>269</v>
      </c>
      <c r="G5" s="167">
        <v>45809</v>
      </c>
      <c r="H5" s="166" t="s">
        <v>65</v>
      </c>
      <c r="I5" s="168" t="s">
        <v>255</v>
      </c>
      <c r="J5" s="169" t="s">
        <v>270</v>
      </c>
      <c r="K5" s="170"/>
    </row>
    <row x14ac:dyDescent="0.25" r="6" customHeight="1" ht="37.5" customFormat="1" s="155">
      <c r="A6" s="162" t="s">
        <v>271</v>
      </c>
      <c r="B6" s="163" t="s">
        <v>272</v>
      </c>
      <c r="C6" s="171" t="s">
        <v>273</v>
      </c>
      <c r="D6" s="172">
        <v>81.7</v>
      </c>
      <c r="E6" s="166" t="s">
        <v>65</v>
      </c>
      <c r="F6" s="162" t="s">
        <v>274</v>
      </c>
      <c r="G6" s="167">
        <v>45809</v>
      </c>
      <c r="H6" s="166" t="s">
        <v>65</v>
      </c>
      <c r="I6" s="168" t="s">
        <v>255</v>
      </c>
      <c r="J6" s="169" t="s">
        <v>275</v>
      </c>
      <c r="K6" s="170"/>
    </row>
    <row x14ac:dyDescent="0.25" r="7" customHeight="1" ht="37.5" customFormat="1" s="155">
      <c r="A7" s="162" t="s">
        <v>276</v>
      </c>
      <c r="B7" s="163" t="s">
        <v>277</v>
      </c>
      <c r="C7" s="171" t="s">
        <v>278</v>
      </c>
      <c r="D7" s="165">
        <v>34</v>
      </c>
      <c r="E7" s="166" t="s">
        <v>65</v>
      </c>
      <c r="F7" s="162" t="s">
        <v>279</v>
      </c>
      <c r="G7" s="167">
        <v>45778</v>
      </c>
      <c r="H7" s="166" t="s">
        <v>65</v>
      </c>
      <c r="I7" s="168" t="s">
        <v>255</v>
      </c>
      <c r="J7" s="169" t="s">
        <v>280</v>
      </c>
      <c r="K7" s="170"/>
    </row>
    <row x14ac:dyDescent="0.25" r="8" customHeight="1" ht="37.5" customFormat="1" s="155">
      <c r="A8" s="162" t="s">
        <v>281</v>
      </c>
      <c r="B8" s="163" t="s">
        <v>282</v>
      </c>
      <c r="C8" s="171" t="s">
        <v>283</v>
      </c>
      <c r="D8" s="165">
        <v>56</v>
      </c>
      <c r="E8" s="166" t="s">
        <v>65</v>
      </c>
      <c r="F8" s="162" t="s">
        <v>284</v>
      </c>
      <c r="G8" s="167">
        <v>45778</v>
      </c>
      <c r="H8" s="166" t="s">
        <v>65</v>
      </c>
      <c r="I8" s="168" t="s">
        <v>255</v>
      </c>
      <c r="J8" s="169" t="s">
        <v>285</v>
      </c>
      <c r="K8" s="170"/>
    </row>
    <row x14ac:dyDescent="0.25" r="9" customHeight="1" ht="37.5" customFormat="1" s="155">
      <c r="A9" s="162" t="s">
        <v>286</v>
      </c>
      <c r="B9" s="163" t="s">
        <v>287</v>
      </c>
      <c r="C9" s="171" t="s">
        <v>288</v>
      </c>
      <c r="D9" s="165">
        <v>50</v>
      </c>
      <c r="E9" s="166" t="s">
        <v>65</v>
      </c>
      <c r="F9" s="162" t="s">
        <v>289</v>
      </c>
      <c r="G9" s="167">
        <v>45748</v>
      </c>
      <c r="H9" s="166" t="s">
        <v>65</v>
      </c>
      <c r="I9" s="168" t="s">
        <v>255</v>
      </c>
      <c r="J9" s="169" t="s">
        <v>290</v>
      </c>
      <c r="K9" s="170"/>
    </row>
    <row x14ac:dyDescent="0.25" r="10" customHeight="1" ht="37.5" customFormat="1" s="155">
      <c r="A10" s="162" t="s">
        <v>291</v>
      </c>
      <c r="B10" s="163" t="s">
        <v>292</v>
      </c>
      <c r="C10" s="171" t="s">
        <v>293</v>
      </c>
      <c r="D10" s="165">
        <v>27</v>
      </c>
      <c r="E10" s="166" t="s">
        <v>65</v>
      </c>
      <c r="F10" s="162" t="s">
        <v>294</v>
      </c>
      <c r="G10" s="167">
        <v>45717</v>
      </c>
      <c r="H10" s="166" t="s">
        <v>65</v>
      </c>
      <c r="I10" s="168" t="s">
        <v>255</v>
      </c>
      <c r="J10" s="169" t="s">
        <v>295</v>
      </c>
      <c r="K10" s="170"/>
    </row>
    <row x14ac:dyDescent="0.25" r="11" customHeight="1" ht="37.5" customFormat="1" s="155">
      <c r="A11" s="162" t="s">
        <v>296</v>
      </c>
      <c r="B11" s="163" t="s">
        <v>297</v>
      </c>
      <c r="C11" s="171" t="s">
        <v>298</v>
      </c>
      <c r="D11" s="165"/>
      <c r="E11" s="166" t="s">
        <v>65</v>
      </c>
      <c r="F11" s="162" t="s">
        <v>170</v>
      </c>
      <c r="G11" s="167">
        <v>45717</v>
      </c>
      <c r="H11" s="166" t="s">
        <v>65</v>
      </c>
      <c r="I11" s="168" t="s">
        <v>255</v>
      </c>
      <c r="J11" s="169" t="s">
        <v>299</v>
      </c>
      <c r="K11" s="170"/>
    </row>
    <row x14ac:dyDescent="0.25" r="12" customHeight="1" ht="37.5" customFormat="1" s="155">
      <c r="A12" s="162" t="s">
        <v>300</v>
      </c>
      <c r="B12" s="163" t="s">
        <v>301</v>
      </c>
      <c r="C12" s="171" t="s">
        <v>298</v>
      </c>
      <c r="D12" s="165"/>
      <c r="E12" s="166" t="s">
        <v>65</v>
      </c>
      <c r="F12" s="162" t="s">
        <v>269</v>
      </c>
      <c r="G12" s="167">
        <v>45658</v>
      </c>
      <c r="H12" s="166" t="s">
        <v>65</v>
      </c>
      <c r="I12" s="168" t="s">
        <v>255</v>
      </c>
      <c r="J12" s="169" t="s">
        <v>302</v>
      </c>
      <c r="K12" s="170"/>
    </row>
    <row x14ac:dyDescent="0.25" r="13" customHeight="1" ht="37.5" customFormat="1" s="155">
      <c r="A13" s="162" t="s">
        <v>303</v>
      </c>
      <c r="B13" s="163" t="s">
        <v>304</v>
      </c>
      <c r="C13" s="171" t="s">
        <v>305</v>
      </c>
      <c r="D13" s="172">
        <v>40.63</v>
      </c>
      <c r="E13" s="166" t="s">
        <v>65</v>
      </c>
      <c r="F13" s="162" t="s">
        <v>279</v>
      </c>
      <c r="G13" s="167">
        <v>45536</v>
      </c>
      <c r="H13" s="166" t="s">
        <v>65</v>
      </c>
      <c r="I13" s="168" t="s">
        <v>255</v>
      </c>
      <c r="J13" s="169" t="s">
        <v>306</v>
      </c>
      <c r="K13" s="170"/>
    </row>
    <row x14ac:dyDescent="0.25" r="14" customHeight="1" ht="37.5" customFormat="1" s="155">
      <c r="A14" s="162" t="s">
        <v>307</v>
      </c>
      <c r="B14" s="163" t="s">
        <v>308</v>
      </c>
      <c r="C14" s="171" t="s">
        <v>298</v>
      </c>
      <c r="D14" s="165"/>
      <c r="E14" s="166" t="s">
        <v>65</v>
      </c>
      <c r="F14" s="162" t="s">
        <v>170</v>
      </c>
      <c r="G14" s="167">
        <v>45505</v>
      </c>
      <c r="H14" s="166" t="s">
        <v>65</v>
      </c>
      <c r="I14" s="168" t="s">
        <v>255</v>
      </c>
      <c r="J14" s="169" t="s">
        <v>309</v>
      </c>
      <c r="K14" s="170"/>
    </row>
    <row x14ac:dyDescent="0.25" r="15" customHeight="1" ht="37.5" customFormat="1" s="155">
      <c r="A15" s="162" t="s">
        <v>310</v>
      </c>
      <c r="B15" s="163" t="s">
        <v>311</v>
      </c>
      <c r="C15" s="171" t="s">
        <v>312</v>
      </c>
      <c r="D15" s="165"/>
      <c r="E15" s="166" t="s">
        <v>65</v>
      </c>
      <c r="F15" s="162" t="s">
        <v>170</v>
      </c>
      <c r="G15" s="167">
        <v>45505</v>
      </c>
      <c r="H15" s="166" t="s">
        <v>65</v>
      </c>
      <c r="I15" s="168" t="s">
        <v>255</v>
      </c>
      <c r="J15" s="169" t="s">
        <v>313</v>
      </c>
      <c r="K15" s="170"/>
    </row>
    <row x14ac:dyDescent="0.25" r="16" customHeight="1" ht="37.5" customFormat="1" s="155">
      <c r="A16" s="162" t="s">
        <v>314</v>
      </c>
      <c r="B16" s="163" t="s">
        <v>315</v>
      </c>
      <c r="C16" s="171" t="s">
        <v>298</v>
      </c>
      <c r="D16" s="165"/>
      <c r="E16" s="166" t="s">
        <v>65</v>
      </c>
      <c r="F16" s="162" t="s">
        <v>316</v>
      </c>
      <c r="G16" s="167">
        <v>45474</v>
      </c>
      <c r="H16" s="166" t="s">
        <v>65</v>
      </c>
      <c r="I16" s="168" t="s">
        <v>255</v>
      </c>
      <c r="J16" s="169" t="s">
        <v>317</v>
      </c>
      <c r="K16" s="170"/>
    </row>
    <row x14ac:dyDescent="0.25" r="17" customHeight="1" ht="37.5" customFormat="1" s="155">
      <c r="A17" s="162" t="s">
        <v>318</v>
      </c>
      <c r="B17" s="163" t="s">
        <v>319</v>
      </c>
      <c r="C17" s="171" t="s">
        <v>298</v>
      </c>
      <c r="D17" s="165"/>
      <c r="E17" s="166" t="s">
        <v>65</v>
      </c>
      <c r="F17" s="162" t="s">
        <v>320</v>
      </c>
      <c r="G17" s="167">
        <v>45444</v>
      </c>
      <c r="H17" s="166" t="s">
        <v>80</v>
      </c>
      <c r="I17" s="168" t="s">
        <v>255</v>
      </c>
      <c r="J17" s="169" t="s">
        <v>321</v>
      </c>
      <c r="K17" s="170"/>
    </row>
    <row x14ac:dyDescent="0.25" r="18" customHeight="1" ht="37.5" customFormat="1" s="155">
      <c r="A18" s="162" t="s">
        <v>322</v>
      </c>
      <c r="B18" s="163" t="s">
        <v>323</v>
      </c>
      <c r="C18" s="171" t="s">
        <v>324</v>
      </c>
      <c r="D18" s="172">
        <v>52.71</v>
      </c>
      <c r="E18" s="166" t="s">
        <v>65</v>
      </c>
      <c r="F18" s="162" t="s">
        <v>170</v>
      </c>
      <c r="G18" s="167">
        <v>45413</v>
      </c>
      <c r="H18" s="166" t="s">
        <v>80</v>
      </c>
      <c r="I18" s="168" t="s">
        <v>255</v>
      </c>
      <c r="J18" s="169" t="s">
        <v>325</v>
      </c>
      <c r="K18" s="170"/>
    </row>
    <row x14ac:dyDescent="0.25" r="19" customHeight="1" ht="37.5" customFormat="1" s="155">
      <c r="A19" s="162" t="s">
        <v>322</v>
      </c>
      <c r="B19" s="163" t="s">
        <v>326</v>
      </c>
      <c r="C19" s="171" t="s">
        <v>298</v>
      </c>
      <c r="D19" s="165"/>
      <c r="E19" s="166" t="s">
        <v>65</v>
      </c>
      <c r="F19" s="162" t="s">
        <v>170</v>
      </c>
      <c r="G19" s="167">
        <v>45413</v>
      </c>
      <c r="H19" s="166" t="s">
        <v>80</v>
      </c>
      <c r="I19" s="168" t="s">
        <v>255</v>
      </c>
      <c r="J19" s="169" t="s">
        <v>327</v>
      </c>
      <c r="K19" s="170"/>
    </row>
    <row x14ac:dyDescent="0.25" r="20" customHeight="1" ht="37.5" customFormat="1" s="155">
      <c r="A20" s="162" t="s">
        <v>328</v>
      </c>
      <c r="B20" s="163" t="s">
        <v>329</v>
      </c>
      <c r="C20" s="171" t="s">
        <v>330</v>
      </c>
      <c r="D20" s="165"/>
      <c r="E20" s="166" t="s">
        <v>65</v>
      </c>
      <c r="F20" s="162" t="s">
        <v>170</v>
      </c>
      <c r="G20" s="167">
        <v>45383</v>
      </c>
      <c r="H20" s="166" t="s">
        <v>65</v>
      </c>
      <c r="I20" s="168" t="s">
        <v>255</v>
      </c>
      <c r="J20" s="169" t="s">
        <v>331</v>
      </c>
      <c r="K20" s="170"/>
    </row>
    <row x14ac:dyDescent="0.25" r="21" customHeight="1" ht="37.5" customFormat="1" s="155">
      <c r="A21" s="162" t="s">
        <v>332</v>
      </c>
      <c r="B21" s="163" t="s">
        <v>333</v>
      </c>
      <c r="C21" s="171" t="s">
        <v>334</v>
      </c>
      <c r="D21" s="172">
        <v>39.19</v>
      </c>
      <c r="E21" s="166" t="s">
        <v>65</v>
      </c>
      <c r="F21" s="162" t="s">
        <v>170</v>
      </c>
      <c r="G21" s="167">
        <v>45383</v>
      </c>
      <c r="H21" s="166" t="s">
        <v>65</v>
      </c>
      <c r="I21" s="168" t="s">
        <v>255</v>
      </c>
      <c r="J21" s="169" t="s">
        <v>335</v>
      </c>
      <c r="K21" s="170"/>
    </row>
    <row x14ac:dyDescent="0.25" r="22" customHeight="1" ht="37.5" customFormat="1" s="155">
      <c r="A22" s="162" t="s">
        <v>336</v>
      </c>
      <c r="B22" s="163" t="s">
        <v>337</v>
      </c>
      <c r="C22" s="171" t="s">
        <v>338</v>
      </c>
      <c r="D22" s="165" t="s">
        <v>339</v>
      </c>
      <c r="E22" s="166" t="s">
        <v>65</v>
      </c>
      <c r="F22" s="162" t="s">
        <v>170</v>
      </c>
      <c r="G22" s="167">
        <v>45383</v>
      </c>
      <c r="H22" s="166" t="s">
        <v>65</v>
      </c>
      <c r="I22" s="168" t="s">
        <v>255</v>
      </c>
      <c r="J22" s="169" t="s">
        <v>340</v>
      </c>
      <c r="K22" s="170"/>
    </row>
    <row x14ac:dyDescent="0.25" r="23" customHeight="1" ht="37.5" customFormat="1" s="155">
      <c r="A23" s="162" t="s">
        <v>341</v>
      </c>
      <c r="B23" s="163" t="s">
        <v>342</v>
      </c>
      <c r="C23" s="171" t="s">
        <v>298</v>
      </c>
      <c r="D23" s="165"/>
      <c r="E23" s="166" t="s">
        <v>65</v>
      </c>
      <c r="F23" s="162" t="s">
        <v>170</v>
      </c>
      <c r="G23" s="167">
        <v>45352</v>
      </c>
      <c r="H23" s="166" t="s">
        <v>65</v>
      </c>
      <c r="I23" s="168" t="s">
        <v>255</v>
      </c>
      <c r="J23" s="169" t="s">
        <v>343</v>
      </c>
      <c r="K23" s="170"/>
    </row>
    <row x14ac:dyDescent="0.25" r="24" customHeight="1" ht="37.5" customFormat="1" s="155">
      <c r="A24" s="162" t="s">
        <v>344</v>
      </c>
      <c r="B24" s="163" t="s">
        <v>345</v>
      </c>
      <c r="C24" s="171" t="s">
        <v>298</v>
      </c>
      <c r="D24" s="165"/>
      <c r="E24" s="166" t="s">
        <v>65</v>
      </c>
      <c r="F24" s="162" t="s">
        <v>170</v>
      </c>
      <c r="G24" s="167">
        <v>45352</v>
      </c>
      <c r="H24" s="166" t="s">
        <v>65</v>
      </c>
      <c r="I24" s="168" t="s">
        <v>255</v>
      </c>
      <c r="J24" s="169" t="s">
        <v>346</v>
      </c>
      <c r="K24" s="170"/>
    </row>
    <row x14ac:dyDescent="0.25" r="25" customHeight="1" ht="37.5" customFormat="1" s="155">
      <c r="A25" s="162" t="s">
        <v>347</v>
      </c>
      <c r="B25" s="163" t="s">
        <v>348</v>
      </c>
      <c r="C25" s="171" t="s">
        <v>298</v>
      </c>
      <c r="D25" s="165"/>
      <c r="E25" s="166" t="s">
        <v>65</v>
      </c>
      <c r="F25" s="162" t="s">
        <v>170</v>
      </c>
      <c r="G25" s="167">
        <v>45352</v>
      </c>
      <c r="H25" s="166" t="s">
        <v>65</v>
      </c>
      <c r="I25" s="168" t="s">
        <v>255</v>
      </c>
      <c r="J25" s="169" t="s">
        <v>349</v>
      </c>
      <c r="K25" s="170"/>
    </row>
    <row x14ac:dyDescent="0.25" r="26" customHeight="1" ht="37.5" customFormat="1" s="155">
      <c r="A26" s="162" t="s">
        <v>350</v>
      </c>
      <c r="B26" s="163" t="s">
        <v>351</v>
      </c>
      <c r="C26" s="171" t="s">
        <v>298</v>
      </c>
      <c r="D26" s="165"/>
      <c r="E26" s="166" t="s">
        <v>65</v>
      </c>
      <c r="F26" s="162" t="s">
        <v>170</v>
      </c>
      <c r="G26" s="167">
        <v>45323</v>
      </c>
      <c r="H26" s="166" t="s">
        <v>80</v>
      </c>
      <c r="I26" s="168" t="s">
        <v>255</v>
      </c>
      <c r="J26" s="169" t="s">
        <v>352</v>
      </c>
      <c r="K26" s="170"/>
    </row>
    <row x14ac:dyDescent="0.25" r="27" customHeight="1" ht="37.5" customFormat="1" s="155">
      <c r="A27" s="162" t="s">
        <v>353</v>
      </c>
      <c r="B27" s="163" t="s">
        <v>354</v>
      </c>
      <c r="C27" s="171" t="s">
        <v>298</v>
      </c>
      <c r="D27" s="165"/>
      <c r="E27" s="166" t="s">
        <v>65</v>
      </c>
      <c r="F27" s="162" t="s">
        <v>170</v>
      </c>
      <c r="G27" s="173">
        <v>45229</v>
      </c>
      <c r="H27" s="166" t="s">
        <v>65</v>
      </c>
      <c r="I27" s="168" t="s">
        <v>255</v>
      </c>
      <c r="J27" s="169" t="s">
        <v>355</v>
      </c>
      <c r="K27" s="170"/>
    </row>
    <row x14ac:dyDescent="0.25" r="28" customHeight="1" ht="17.25" customFormat="1" s="155">
      <c r="A28" s="162" t="s">
        <v>356</v>
      </c>
      <c r="B28" s="163" t="s">
        <v>357</v>
      </c>
      <c r="C28" s="171" t="s">
        <v>298</v>
      </c>
      <c r="D28" s="165"/>
      <c r="E28" s="166" t="s">
        <v>65</v>
      </c>
      <c r="F28" s="162" t="s">
        <v>170</v>
      </c>
      <c r="G28" s="173">
        <v>45198</v>
      </c>
      <c r="H28" s="166" t="s">
        <v>65</v>
      </c>
      <c r="I28" s="168" t="s">
        <v>255</v>
      </c>
      <c r="J28" s="169" t="s">
        <v>358</v>
      </c>
      <c r="K28" s="170"/>
    </row>
    <row x14ac:dyDescent="0.25" r="29" customHeight="1" ht="37.5" customFormat="1" s="155">
      <c r="A29" s="162" t="s">
        <v>318</v>
      </c>
      <c r="B29" s="163" t="s">
        <v>359</v>
      </c>
      <c r="C29" s="171" t="s">
        <v>298</v>
      </c>
      <c r="D29" s="165"/>
      <c r="E29" s="166" t="s">
        <v>65</v>
      </c>
      <c r="F29" s="162" t="s">
        <v>316</v>
      </c>
      <c r="G29" s="173">
        <v>45112</v>
      </c>
      <c r="H29" s="166" t="s">
        <v>80</v>
      </c>
      <c r="I29" s="168" t="s">
        <v>255</v>
      </c>
      <c r="J29" s="169" t="s">
        <v>360</v>
      </c>
      <c r="K29" s="170"/>
    </row>
    <row x14ac:dyDescent="0.25" r="30" customHeight="1" ht="37.5" customFormat="1" s="155">
      <c r="A30" s="162" t="s">
        <v>361</v>
      </c>
      <c r="B30" s="163" t="s">
        <v>362</v>
      </c>
      <c r="C30" s="171" t="s">
        <v>298</v>
      </c>
      <c r="D30" s="165"/>
      <c r="E30" s="166" t="s">
        <v>65</v>
      </c>
      <c r="F30" s="162" t="s">
        <v>170</v>
      </c>
      <c r="G30" s="173">
        <v>45096</v>
      </c>
      <c r="H30" s="166" t="s">
        <v>65</v>
      </c>
      <c r="I30" s="168" t="s">
        <v>255</v>
      </c>
      <c r="J30" s="169" t="s">
        <v>363</v>
      </c>
      <c r="K30" s="170"/>
    </row>
    <row x14ac:dyDescent="0.25" r="31" customHeight="1" ht="37.5" customFormat="1" s="155">
      <c r="A31" s="162" t="s">
        <v>364</v>
      </c>
      <c r="B31" s="163" t="s">
        <v>365</v>
      </c>
      <c r="C31" s="171" t="s">
        <v>298</v>
      </c>
      <c r="D31" s="165"/>
      <c r="E31" s="166" t="s">
        <v>65</v>
      </c>
      <c r="F31" s="162" t="s">
        <v>316</v>
      </c>
      <c r="G31" s="173">
        <v>45068</v>
      </c>
      <c r="H31" s="166" t="s">
        <v>65</v>
      </c>
      <c r="I31" s="168" t="s">
        <v>255</v>
      </c>
      <c r="J31" s="169" t="s">
        <v>366</v>
      </c>
      <c r="K31" s="170"/>
    </row>
    <row x14ac:dyDescent="0.25" r="32" customHeight="1" ht="37.5" customFormat="1" s="155">
      <c r="A32" s="162" t="s">
        <v>367</v>
      </c>
      <c r="B32" s="163" t="s">
        <v>368</v>
      </c>
      <c r="C32" s="171" t="s">
        <v>298</v>
      </c>
      <c r="D32" s="165"/>
      <c r="E32" s="166" t="s">
        <v>65</v>
      </c>
      <c r="F32" s="162" t="s">
        <v>316</v>
      </c>
      <c r="G32" s="173">
        <v>45044</v>
      </c>
      <c r="H32" s="166" t="s">
        <v>65</v>
      </c>
      <c r="I32" s="168" t="s">
        <v>255</v>
      </c>
      <c r="J32" s="169" t="s">
        <v>369</v>
      </c>
      <c r="K32" s="170"/>
    </row>
    <row x14ac:dyDescent="0.25" r="33" customHeight="1" ht="37.5" customFormat="1" s="155">
      <c r="A33" s="162" t="s">
        <v>370</v>
      </c>
      <c r="B33" s="163" t="s">
        <v>371</v>
      </c>
      <c r="C33" s="171" t="s">
        <v>298</v>
      </c>
      <c r="D33" s="165"/>
      <c r="E33" s="166" t="s">
        <v>65</v>
      </c>
      <c r="F33" s="162" t="s">
        <v>316</v>
      </c>
      <c r="G33" s="173">
        <v>45033</v>
      </c>
      <c r="H33" s="166" t="s">
        <v>80</v>
      </c>
      <c r="I33" s="168" t="s">
        <v>255</v>
      </c>
      <c r="J33" s="169" t="s">
        <v>372</v>
      </c>
      <c r="K33" s="170"/>
    </row>
    <row x14ac:dyDescent="0.25" r="34" customHeight="1" ht="37.5" customFormat="1" s="155">
      <c r="A34" s="162" t="s">
        <v>373</v>
      </c>
      <c r="B34" s="163" t="s">
        <v>374</v>
      </c>
      <c r="C34" s="171" t="s">
        <v>293</v>
      </c>
      <c r="D34" s="172">
        <v>74.4</v>
      </c>
      <c r="E34" s="166" t="s">
        <v>80</v>
      </c>
      <c r="F34" s="162" t="s">
        <v>170</v>
      </c>
      <c r="G34" s="173">
        <v>45027</v>
      </c>
      <c r="H34" s="166" t="s">
        <v>80</v>
      </c>
      <c r="I34" s="168" t="s">
        <v>255</v>
      </c>
      <c r="J34" s="169" t="s">
        <v>375</v>
      </c>
      <c r="K34" s="170"/>
    </row>
    <row x14ac:dyDescent="0.25" r="35" customHeight="1" ht="37.5" customFormat="1" s="155">
      <c r="A35" s="162" t="s">
        <v>376</v>
      </c>
      <c r="B35" s="163" t="s">
        <v>377</v>
      </c>
      <c r="C35" s="171" t="s">
        <v>298</v>
      </c>
      <c r="D35" s="165"/>
      <c r="E35" s="166" t="s">
        <v>298</v>
      </c>
      <c r="F35" s="162" t="s">
        <v>316</v>
      </c>
      <c r="G35" s="173">
        <v>45014</v>
      </c>
      <c r="H35" s="166" t="s">
        <v>80</v>
      </c>
      <c r="I35" s="168" t="s">
        <v>255</v>
      </c>
      <c r="J35" s="169" t="s">
        <v>378</v>
      </c>
      <c r="K35" s="170"/>
    </row>
    <row x14ac:dyDescent="0.25" r="36" customHeight="1" ht="37.5" customFormat="1" s="155">
      <c r="A36" s="162" t="s">
        <v>379</v>
      </c>
      <c r="B36" s="163" t="s">
        <v>380</v>
      </c>
      <c r="C36" s="171" t="s">
        <v>381</v>
      </c>
      <c r="D36" s="165"/>
      <c r="E36" s="166" t="s">
        <v>65</v>
      </c>
      <c r="F36" s="162" t="s">
        <v>382</v>
      </c>
      <c r="G36" s="173">
        <v>44994</v>
      </c>
      <c r="H36" s="166" t="s">
        <v>65</v>
      </c>
      <c r="I36" s="168" t="s">
        <v>255</v>
      </c>
      <c r="J36" s="169" t="s">
        <v>383</v>
      </c>
      <c r="K36" s="170"/>
    </row>
    <row x14ac:dyDescent="0.25" r="37" customHeight="1" ht="37.5" customFormat="1" s="155">
      <c r="A37" s="162" t="s">
        <v>384</v>
      </c>
      <c r="B37" s="163" t="s">
        <v>385</v>
      </c>
      <c r="C37" s="171" t="s">
        <v>386</v>
      </c>
      <c r="D37" s="165"/>
      <c r="E37" s="166" t="s">
        <v>65</v>
      </c>
      <c r="F37" s="162" t="s">
        <v>382</v>
      </c>
      <c r="G37" s="173">
        <v>44987</v>
      </c>
      <c r="H37" s="166" t="s">
        <v>80</v>
      </c>
      <c r="I37" s="168" t="s">
        <v>255</v>
      </c>
      <c r="J37" s="169" t="s">
        <v>387</v>
      </c>
      <c r="K37" s="170"/>
    </row>
    <row x14ac:dyDescent="0.25" r="38" customHeight="1" ht="37.5" customFormat="1" s="155">
      <c r="A38" s="162" t="s">
        <v>388</v>
      </c>
      <c r="B38" s="163" t="s">
        <v>389</v>
      </c>
      <c r="C38" s="171" t="s">
        <v>298</v>
      </c>
      <c r="D38" s="165"/>
      <c r="E38" s="166" t="s">
        <v>65</v>
      </c>
      <c r="F38" s="162" t="s">
        <v>316</v>
      </c>
      <c r="G38" s="173">
        <v>44984</v>
      </c>
      <c r="H38" s="166" t="s">
        <v>80</v>
      </c>
      <c r="I38" s="168" t="s">
        <v>255</v>
      </c>
      <c r="J38" s="169" t="s">
        <v>390</v>
      </c>
      <c r="K38" s="170"/>
    </row>
    <row x14ac:dyDescent="0.25" r="39" customHeight="1" ht="37.5" customFormat="1" s="155">
      <c r="A39" s="162" t="s">
        <v>391</v>
      </c>
      <c r="B39" s="163" t="s">
        <v>392</v>
      </c>
      <c r="C39" s="171" t="s">
        <v>298</v>
      </c>
      <c r="D39" s="165"/>
      <c r="E39" s="166" t="s">
        <v>298</v>
      </c>
      <c r="F39" s="162" t="s">
        <v>316</v>
      </c>
      <c r="G39" s="173">
        <v>44966</v>
      </c>
      <c r="H39" s="166" t="s">
        <v>80</v>
      </c>
      <c r="I39" s="168" t="s">
        <v>255</v>
      </c>
      <c r="J39" s="169" t="s">
        <v>393</v>
      </c>
      <c r="K39" s="170"/>
    </row>
    <row x14ac:dyDescent="0.25" r="40" customHeight="1" ht="37.5" customFormat="1" s="155">
      <c r="A40" s="162" t="s">
        <v>394</v>
      </c>
      <c r="B40" s="163" t="s">
        <v>395</v>
      </c>
      <c r="C40" s="171" t="s">
        <v>298</v>
      </c>
      <c r="D40" s="165"/>
      <c r="E40" s="166" t="s">
        <v>65</v>
      </c>
      <c r="F40" s="162" t="s">
        <v>316</v>
      </c>
      <c r="G40" s="173">
        <v>44957</v>
      </c>
      <c r="H40" s="166" t="s">
        <v>80</v>
      </c>
      <c r="I40" s="168" t="s">
        <v>255</v>
      </c>
      <c r="J40" s="174" t="s">
        <v>396</v>
      </c>
      <c r="K40" s="170"/>
    </row>
    <row x14ac:dyDescent="0.25" r="41" customHeight="1" ht="37.5" customFormat="1" s="155">
      <c r="A41" s="162" t="s">
        <v>376</v>
      </c>
      <c r="B41" s="163" t="s">
        <v>397</v>
      </c>
      <c r="C41" s="171" t="s">
        <v>298</v>
      </c>
      <c r="D41" s="165"/>
      <c r="E41" s="166" t="s">
        <v>298</v>
      </c>
      <c r="F41" s="162" t="s">
        <v>316</v>
      </c>
      <c r="G41" s="173">
        <v>44957</v>
      </c>
      <c r="H41" s="166" t="s">
        <v>80</v>
      </c>
      <c r="I41" s="168" t="s">
        <v>255</v>
      </c>
      <c r="J41" s="174" t="s">
        <v>398</v>
      </c>
      <c r="K41" s="170"/>
    </row>
    <row x14ac:dyDescent="0.25" r="42" customHeight="1" ht="37.5" customFormat="1" s="155">
      <c r="A42" s="162" t="s">
        <v>399</v>
      </c>
      <c r="B42" s="163" t="s">
        <v>400</v>
      </c>
      <c r="C42" s="171" t="s">
        <v>298</v>
      </c>
      <c r="D42" s="165"/>
      <c r="E42" s="166" t="s">
        <v>298</v>
      </c>
      <c r="F42" s="162" t="s">
        <v>316</v>
      </c>
      <c r="G42" s="173">
        <v>44952</v>
      </c>
      <c r="H42" s="166" t="s">
        <v>65</v>
      </c>
      <c r="I42" s="168" t="s">
        <v>255</v>
      </c>
      <c r="J42" s="174" t="s">
        <v>401</v>
      </c>
      <c r="K42" s="170"/>
    </row>
    <row x14ac:dyDescent="0.25" r="43" customHeight="1" ht="37.5" customFormat="1" s="155">
      <c r="A43" s="162" t="s">
        <v>402</v>
      </c>
      <c r="B43" s="163" t="s">
        <v>403</v>
      </c>
      <c r="C43" s="171" t="s">
        <v>404</v>
      </c>
      <c r="D43" s="165"/>
      <c r="E43" s="166" t="s">
        <v>65</v>
      </c>
      <c r="F43" s="162" t="s">
        <v>316</v>
      </c>
      <c r="G43" s="173">
        <v>44948</v>
      </c>
      <c r="H43" s="166" t="s">
        <v>65</v>
      </c>
      <c r="I43" s="168" t="s">
        <v>255</v>
      </c>
      <c r="J43" s="162" t="s">
        <v>405</v>
      </c>
      <c r="K43" s="170"/>
    </row>
    <row x14ac:dyDescent="0.25" r="44" customHeight="1" ht="37.5" customFormat="1" s="155">
      <c r="A44" s="162" t="s">
        <v>406</v>
      </c>
      <c r="B44" s="163" t="s">
        <v>407</v>
      </c>
      <c r="C44" s="171" t="s">
        <v>408</v>
      </c>
      <c r="D44" s="165"/>
      <c r="E44" s="166" t="s">
        <v>65</v>
      </c>
      <c r="F44" s="162" t="s">
        <v>409</v>
      </c>
      <c r="G44" s="173">
        <v>44937</v>
      </c>
      <c r="H44" s="166" t="s">
        <v>65</v>
      </c>
      <c r="I44" s="168" t="s">
        <v>255</v>
      </c>
      <c r="J44" s="162" t="s">
        <v>410</v>
      </c>
      <c r="K44" s="170"/>
    </row>
    <row x14ac:dyDescent="0.25" r="45" customHeight="1" ht="37.5" customFormat="1" s="155">
      <c r="A45" s="162" t="s">
        <v>318</v>
      </c>
      <c r="B45" s="163" t="s">
        <v>411</v>
      </c>
      <c r="C45" s="171" t="s">
        <v>412</v>
      </c>
      <c r="D45" s="165"/>
      <c r="E45" s="166" t="s">
        <v>65</v>
      </c>
      <c r="F45" s="162" t="s">
        <v>409</v>
      </c>
      <c r="G45" s="173">
        <v>44924</v>
      </c>
      <c r="H45" s="166" t="s">
        <v>65</v>
      </c>
      <c r="I45" s="175" t="s">
        <v>255</v>
      </c>
      <c r="J45" s="162" t="s">
        <v>413</v>
      </c>
      <c r="K45" s="170"/>
    </row>
    <row x14ac:dyDescent="0.25" r="46" customHeight="1" ht="37.5" customFormat="1" s="155">
      <c r="A46" s="162" t="s">
        <v>367</v>
      </c>
      <c r="B46" s="163" t="s">
        <v>414</v>
      </c>
      <c r="C46" s="171" t="s">
        <v>415</v>
      </c>
      <c r="D46" s="165"/>
      <c r="E46" s="166" t="s">
        <v>65</v>
      </c>
      <c r="F46" s="162" t="s">
        <v>316</v>
      </c>
      <c r="G46" s="173">
        <v>44915</v>
      </c>
      <c r="H46" s="166" t="s">
        <v>65</v>
      </c>
      <c r="I46" s="175" t="s">
        <v>255</v>
      </c>
      <c r="J46" s="162" t="s">
        <v>416</v>
      </c>
      <c r="K46" s="170"/>
    </row>
    <row x14ac:dyDescent="0.25" r="47" customHeight="1" ht="37.5" customFormat="1" s="155">
      <c r="A47" s="162" t="s">
        <v>417</v>
      </c>
      <c r="B47" s="163" t="s">
        <v>418</v>
      </c>
      <c r="C47" s="171" t="s">
        <v>419</v>
      </c>
      <c r="D47" s="165"/>
      <c r="E47" s="166" t="s">
        <v>65</v>
      </c>
      <c r="F47" s="162" t="s">
        <v>409</v>
      </c>
      <c r="G47" s="173">
        <v>44914</v>
      </c>
      <c r="H47" s="166" t="s">
        <v>65</v>
      </c>
      <c r="I47" s="168" t="s">
        <v>255</v>
      </c>
      <c r="J47" s="162" t="s">
        <v>420</v>
      </c>
      <c r="K47" s="170"/>
    </row>
    <row x14ac:dyDescent="0.25" r="48" customHeight="1" ht="37.5" customFormat="1" s="155">
      <c r="A48" s="162" t="s">
        <v>421</v>
      </c>
      <c r="B48" s="163" t="s">
        <v>422</v>
      </c>
      <c r="C48" s="171" t="s">
        <v>423</v>
      </c>
      <c r="D48" s="165"/>
      <c r="E48" s="166" t="s">
        <v>65</v>
      </c>
      <c r="F48" s="162" t="s">
        <v>316</v>
      </c>
      <c r="G48" s="173">
        <v>44903</v>
      </c>
      <c r="H48" s="166" t="s">
        <v>80</v>
      </c>
      <c r="I48" s="168" t="s">
        <v>255</v>
      </c>
      <c r="J48" s="169" t="s">
        <v>424</v>
      </c>
      <c r="K48" s="170"/>
    </row>
    <row x14ac:dyDescent="0.25" r="49" customHeight="1" ht="37.5" customFormat="1" s="155">
      <c r="A49" s="162" t="s">
        <v>425</v>
      </c>
      <c r="B49" s="163" t="s">
        <v>426</v>
      </c>
      <c r="C49" s="171" t="s">
        <v>427</v>
      </c>
      <c r="D49" s="165"/>
      <c r="E49" s="166" t="s">
        <v>65</v>
      </c>
      <c r="F49" s="162" t="s">
        <v>316</v>
      </c>
      <c r="G49" s="173">
        <v>44901</v>
      </c>
      <c r="H49" s="166" t="s">
        <v>80</v>
      </c>
      <c r="I49" s="168" t="s">
        <v>255</v>
      </c>
      <c r="J49" s="162" t="s">
        <v>428</v>
      </c>
      <c r="K49" s="170"/>
    </row>
    <row x14ac:dyDescent="0.25" r="50" customHeight="1" ht="37.5" customFormat="1" s="155">
      <c r="A50" s="162" t="s">
        <v>429</v>
      </c>
      <c r="B50" s="163" t="s">
        <v>430</v>
      </c>
      <c r="C50" s="171" t="s">
        <v>431</v>
      </c>
      <c r="D50" s="165"/>
      <c r="E50" s="166" t="s">
        <v>65</v>
      </c>
      <c r="F50" s="162" t="s">
        <v>316</v>
      </c>
      <c r="G50" s="173">
        <v>44897</v>
      </c>
      <c r="H50" s="166" t="s">
        <v>80</v>
      </c>
      <c r="I50" s="168" t="s">
        <v>255</v>
      </c>
      <c r="J50" s="162" t="s">
        <v>432</v>
      </c>
      <c r="K50" s="170"/>
    </row>
    <row x14ac:dyDescent="0.25" r="51" customHeight="1" ht="37.5" customFormat="1" s="155">
      <c r="A51" s="162" t="s">
        <v>433</v>
      </c>
      <c r="B51" s="163" t="s">
        <v>434</v>
      </c>
      <c r="C51" s="171" t="s">
        <v>435</v>
      </c>
      <c r="D51" s="165"/>
      <c r="E51" s="166" t="s">
        <v>65</v>
      </c>
      <c r="F51" s="162" t="s">
        <v>436</v>
      </c>
      <c r="G51" s="173">
        <v>44459</v>
      </c>
      <c r="H51" s="166" t="s">
        <v>80</v>
      </c>
      <c r="I51" s="175" t="s">
        <v>255</v>
      </c>
      <c r="J51" s="162" t="s">
        <v>437</v>
      </c>
      <c r="K51" s="170"/>
    </row>
    <row x14ac:dyDescent="0.25" r="52" customHeight="1" ht="37.5" customFormat="1" s="155">
      <c r="A52" s="162" t="s">
        <v>438</v>
      </c>
      <c r="B52" s="163" t="s">
        <v>439</v>
      </c>
      <c r="C52" s="171" t="s">
        <v>440</v>
      </c>
      <c r="D52" s="165"/>
      <c r="E52" s="166" t="s">
        <v>65</v>
      </c>
      <c r="F52" s="162" t="s">
        <v>436</v>
      </c>
      <c r="G52" s="173">
        <v>44327</v>
      </c>
      <c r="H52" s="166" t="s">
        <v>80</v>
      </c>
      <c r="I52" s="168" t="s">
        <v>255</v>
      </c>
      <c r="J52" s="162" t="s">
        <v>441</v>
      </c>
      <c r="K52" s="170"/>
    </row>
    <row x14ac:dyDescent="0.25" r="53" customHeight="1" ht="37.5" customFormat="1" s="155">
      <c r="A53" s="162" t="s">
        <v>433</v>
      </c>
      <c r="B53" s="163" t="s">
        <v>442</v>
      </c>
      <c r="C53" s="171" t="s">
        <v>443</v>
      </c>
      <c r="D53" s="165"/>
      <c r="E53" s="166" t="s">
        <v>65</v>
      </c>
      <c r="F53" s="162" t="s">
        <v>436</v>
      </c>
      <c r="G53" s="173">
        <v>44267</v>
      </c>
      <c r="H53" s="166" t="s">
        <v>80</v>
      </c>
      <c r="I53" s="168" t="s">
        <v>255</v>
      </c>
      <c r="J53" s="162" t="s">
        <v>444</v>
      </c>
      <c r="K53" s="176"/>
    </row>
    <row x14ac:dyDescent="0.25" r="54" customHeight="1" ht="37.5" customFormat="1" s="155">
      <c r="A54" s="162" t="s">
        <v>445</v>
      </c>
      <c r="B54" s="163" t="s">
        <v>446</v>
      </c>
      <c r="C54" s="171" t="s">
        <v>447</v>
      </c>
      <c r="D54" s="165">
        <v>57</v>
      </c>
      <c r="E54" s="166" t="s">
        <v>65</v>
      </c>
      <c r="F54" s="162" t="s">
        <v>436</v>
      </c>
      <c r="G54" s="177">
        <v>43979</v>
      </c>
      <c r="H54" s="166" t="s">
        <v>65</v>
      </c>
      <c r="I54" s="168" t="s">
        <v>255</v>
      </c>
      <c r="J54" s="162" t="s">
        <v>448</v>
      </c>
      <c r="K54" s="176"/>
    </row>
    <row x14ac:dyDescent="0.25" r="55" customHeight="1" ht="37.5" customFormat="1" s="155">
      <c r="A55" s="162"/>
      <c r="B55" s="162"/>
      <c r="C55" s="164"/>
      <c r="D55" s="165"/>
      <c r="E55" s="166"/>
      <c r="F55" s="162"/>
      <c r="G55" s="178"/>
      <c r="H55" s="166"/>
      <c r="I55" s="166"/>
      <c r="J55" s="176"/>
      <c r="K55" s="176"/>
    </row>
    <row x14ac:dyDescent="0.25" r="56" customHeight="1" ht="17.25">
      <c r="A56" s="162"/>
      <c r="B56" s="179"/>
      <c r="C56" s="180"/>
      <c r="D56" s="181"/>
      <c r="E56" s="182"/>
      <c r="F56" s="183"/>
      <c r="G56" s="178"/>
      <c r="H56" s="166"/>
      <c r="I56" s="166"/>
      <c r="J56" s="176"/>
      <c r="K56" s="176"/>
    </row>
    <row x14ac:dyDescent="0.25" r="57" customHeight="1" ht="17.25">
      <c r="A57" s="162"/>
      <c r="B57" s="184" t="s">
        <v>449</v>
      </c>
      <c r="C57" s="185"/>
      <c r="D57" s="186"/>
      <c r="E57" s="187"/>
      <c r="F57" s="188" t="s">
        <v>450</v>
      </c>
      <c r="G57" s="189"/>
      <c r="H57" s="190"/>
      <c r="I57" s="166"/>
      <c r="J57" s="176"/>
      <c r="K57" s="176"/>
    </row>
    <row x14ac:dyDescent="0.25" r="58" customHeight="1" ht="17.25">
      <c r="A58" s="162"/>
      <c r="B58" s="184" t="s">
        <v>451</v>
      </c>
      <c r="C58" s="185"/>
      <c r="D58" s="186"/>
      <c r="E58" s="187"/>
      <c r="F58" s="191"/>
      <c r="G58" s="189"/>
      <c r="H58" s="190"/>
      <c r="I58" s="190"/>
      <c r="J58" s="192"/>
      <c r="K58" s="170"/>
    </row>
    <row x14ac:dyDescent="0.25" r="59" customHeight="1" ht="17.25" customFormat="1" s="155">
      <c r="A59" s="162"/>
      <c r="B59" s="162"/>
      <c r="C59" s="164"/>
      <c r="D59" s="165"/>
      <c r="E59" s="166"/>
      <c r="F59" s="162"/>
      <c r="G59" s="178"/>
      <c r="H59" s="166"/>
      <c r="I59" s="166"/>
      <c r="J59" s="176"/>
      <c r="K59" s="176"/>
    </row>
    <row x14ac:dyDescent="0.25" r="60" customHeight="1" ht="17.25" customFormat="1" s="155">
      <c r="A60" s="162"/>
      <c r="B60" s="162"/>
      <c r="C60" s="164"/>
      <c r="D60" s="165"/>
      <c r="E60" s="166"/>
      <c r="F60" s="162"/>
      <c r="G60" s="178"/>
      <c r="H60" s="166"/>
      <c r="I60" s="166"/>
      <c r="J60" s="176"/>
      <c r="K60" s="176"/>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010"/>
  <sheetViews>
    <sheetView workbookViewId="0"/>
  </sheetViews>
  <sheetFormatPr defaultRowHeight="15" x14ac:dyDescent="0.25"/>
  <cols>
    <col min="1" max="1" style="4" width="13.576428571428572" customWidth="1" bestFit="1"/>
    <col min="2" max="2" style="151" width="13.005" customWidth="1" bestFit="1"/>
    <col min="3" max="3" style="4" width="10.862142857142858" customWidth="1" bestFit="1"/>
    <col min="4" max="4" style="43" width="14.147857142857141" customWidth="1" bestFit="1"/>
    <col min="5" max="5" style="43" width="11.576428571428572" customWidth="1" bestFit="1"/>
    <col min="6" max="6" style="152" width="20.576428571428572" customWidth="1" bestFit="1"/>
    <col min="7" max="7" style="43" width="16.719285714285714" customWidth="1" bestFit="1"/>
    <col min="8" max="8" style="153" width="16.576428571428572" customWidth="1" bestFit="1"/>
    <col min="9" max="9" style="4" width="16.576428571428572" customWidth="1" bestFit="1"/>
    <col min="10" max="10" style="154" width="11.576428571428572" customWidth="1" bestFit="1"/>
    <col min="11" max="11" style="4" width="3.5764285714285715" customWidth="1" bestFit="1"/>
    <col min="12" max="12" style="154" width="24.862142857142857" customWidth="1" bestFit="1"/>
    <col min="13" max="13" style="4" width="39.29071428571429" customWidth="1" bestFit="1"/>
    <col min="14" max="14" style="4" width="39.29071428571429" customWidth="1" bestFit="1"/>
    <col min="15" max="15" style="4" width="39.29071428571429" customWidth="1" bestFit="1"/>
    <col min="16" max="16" style="4" width="39.29071428571429" customWidth="1" bestFit="1"/>
    <col min="17" max="17" style="4" width="39.29071428571429" customWidth="1" bestFit="1"/>
    <col min="18" max="18" style="4" width="39.29071428571429" customWidth="1" bestFit="1"/>
    <col min="19" max="19" style="4" width="39.29071428571429" customWidth="1" bestFit="1"/>
    <col min="20" max="20" style="4" width="39.29071428571429" customWidth="1" bestFit="1"/>
  </cols>
  <sheetData>
    <row x14ac:dyDescent="0.25" r="1" customHeight="1" ht="17.25">
      <c r="A1" s="45" t="s">
        <v>149</v>
      </c>
      <c r="B1" s="46" t="s">
        <v>150</v>
      </c>
      <c r="C1" s="47" t="s">
        <v>151</v>
      </c>
      <c r="D1" s="48" t="s">
        <v>152</v>
      </c>
      <c r="E1" s="48" t="s">
        <v>153</v>
      </c>
      <c r="F1" s="49" t="s">
        <v>154</v>
      </c>
      <c r="G1" s="48" t="s">
        <v>155</v>
      </c>
      <c r="H1" s="50" t="s">
        <v>156</v>
      </c>
      <c r="I1" s="51" t="s">
        <v>157</v>
      </c>
      <c r="J1" s="52" t="s">
        <v>158</v>
      </c>
      <c r="K1" s="53"/>
      <c r="L1" s="54" t="s">
        <v>159</v>
      </c>
      <c r="M1" s="55"/>
      <c r="N1" s="55"/>
      <c r="O1" s="55"/>
      <c r="P1" s="55"/>
      <c r="Q1" s="55"/>
      <c r="R1" s="55"/>
      <c r="S1" s="55"/>
      <c r="T1" s="55"/>
    </row>
    <row x14ac:dyDescent="0.25" r="2" customHeight="1" ht="17.25">
      <c r="A2" s="56" t="s">
        <v>160</v>
      </c>
      <c r="B2" s="57">
        <v>43922</v>
      </c>
      <c r="C2" s="58" t="s">
        <v>161</v>
      </c>
      <c r="D2" s="59">
        <v>130</v>
      </c>
      <c r="E2" s="59">
        <v>10000</v>
      </c>
      <c r="F2" s="60">
        <v>16</v>
      </c>
      <c r="G2" s="61">
        <f>E2*14.8*24</f>
      </c>
      <c r="H2" s="62">
        <f>SUM(G2*0.00011408)</f>
        <v>25568.666666666668</v>
      </c>
      <c r="I2" s="63" t="s">
        <v>162</v>
      </c>
      <c r="J2" s="64">
        <v>43.9</v>
      </c>
      <c r="K2" s="55"/>
      <c r="L2" s="65">
        <f>SUM(G2*H19)</f>
      </c>
      <c r="M2" s="55"/>
      <c r="N2" s="55"/>
      <c r="O2" s="55"/>
      <c r="P2" s="55"/>
      <c r="Q2" s="55"/>
      <c r="R2" s="55"/>
      <c r="S2" s="55"/>
      <c r="T2" s="55"/>
    </row>
    <row x14ac:dyDescent="0.25" r="3" customHeight="1" ht="17.25">
      <c r="A3" s="56" t="s">
        <v>163</v>
      </c>
      <c r="B3" s="57">
        <v>44927</v>
      </c>
      <c r="C3" s="66" t="s">
        <v>164</v>
      </c>
      <c r="D3" s="61">
        <v>312</v>
      </c>
      <c r="E3" s="67">
        <v>2048</v>
      </c>
      <c r="F3" s="68">
        <v>22</v>
      </c>
      <c r="G3" s="61">
        <f>E3*21*24</f>
      </c>
      <c r="H3" s="62">
        <f>SUM(G3*0.00011408)</f>
        <v>25568.666666666668</v>
      </c>
      <c r="I3" s="63" t="s">
        <v>165</v>
      </c>
      <c r="J3" s="64">
        <v>63.4</v>
      </c>
      <c r="K3" s="55"/>
      <c r="L3" s="65">
        <f>SUM(G3*H20)</f>
      </c>
      <c r="M3" s="55"/>
      <c r="N3" s="55"/>
      <c r="O3" s="55"/>
      <c r="P3" s="55"/>
      <c r="Q3" s="55"/>
      <c r="R3" s="55"/>
      <c r="S3" s="55"/>
      <c r="T3" s="55"/>
    </row>
    <row x14ac:dyDescent="0.25" r="4" customHeight="1" ht="17.25">
      <c r="A4" s="56" t="s">
        <v>166</v>
      </c>
      <c r="B4" s="57">
        <v>45078</v>
      </c>
      <c r="C4" s="69" t="s">
        <v>164</v>
      </c>
      <c r="D4" s="61">
        <v>312</v>
      </c>
      <c r="E4" s="70">
        <v>2048</v>
      </c>
      <c r="F4" s="71">
        <v>36</v>
      </c>
      <c r="G4" s="59">
        <f>E4*35*24</f>
      </c>
      <c r="H4" s="62">
        <f>SUM(G4*0.00011408)</f>
        <v>25568.666666666668</v>
      </c>
      <c r="I4" s="63" t="s">
        <v>167</v>
      </c>
      <c r="J4" s="64">
        <v>68</v>
      </c>
      <c r="K4" s="29"/>
      <c r="L4" s="65">
        <f>SUM(G4*H20)</f>
      </c>
      <c r="M4" s="55"/>
      <c r="N4" s="55"/>
      <c r="O4" s="55"/>
      <c r="P4" s="55"/>
      <c r="Q4" s="55"/>
      <c r="R4" s="55"/>
      <c r="S4" s="55"/>
      <c r="T4" s="55"/>
    </row>
    <row x14ac:dyDescent="0.25" r="5" customHeight="1" ht="17.25">
      <c r="A5" s="56" t="s">
        <v>168</v>
      </c>
      <c r="B5" s="57">
        <v>45017</v>
      </c>
      <c r="C5" s="72" t="s">
        <v>164</v>
      </c>
      <c r="D5" s="61">
        <v>312</v>
      </c>
      <c r="E5" s="73">
        <v>13760</v>
      </c>
      <c r="F5" s="74">
        <v>49</v>
      </c>
      <c r="G5" s="59">
        <f>E5*35*24</f>
      </c>
      <c r="H5" s="62">
        <f>SUM(G5*0.00011408)</f>
        <v>25568.666666666668</v>
      </c>
      <c r="I5" s="63" t="s">
        <v>169</v>
      </c>
      <c r="J5" s="75">
        <v>70.4</v>
      </c>
      <c r="K5" s="55"/>
      <c r="L5" s="65">
        <f>SUM(G5*H20)</f>
      </c>
      <c r="M5" s="55"/>
      <c r="N5" s="55"/>
      <c r="O5" s="55"/>
      <c r="P5" s="55"/>
      <c r="Q5" s="55"/>
      <c r="R5" s="55"/>
      <c r="S5" s="55"/>
      <c r="T5" s="55"/>
    </row>
    <row x14ac:dyDescent="0.25" r="6" customHeight="1" ht="17.25">
      <c r="A6" s="56" t="s">
        <v>170</v>
      </c>
      <c r="B6" s="57">
        <v>44774</v>
      </c>
      <c r="C6" s="76" t="s">
        <v>164</v>
      </c>
      <c r="D6" s="61">
        <v>312</v>
      </c>
      <c r="E6" s="77">
        <v>25000</v>
      </c>
      <c r="F6" s="78">
        <v>95</v>
      </c>
      <c r="G6" s="61">
        <f>E6*95*24</f>
      </c>
      <c r="H6" s="62">
        <f>SUM(G6*0.00011408)</f>
        <v>25568.666666666668</v>
      </c>
      <c r="I6" s="63" t="s">
        <v>171</v>
      </c>
      <c r="J6" s="64">
        <v>86.4</v>
      </c>
      <c r="K6" s="55"/>
      <c r="L6" s="65">
        <f>SUM(G6*H20)</f>
      </c>
      <c r="M6" s="55"/>
      <c r="N6" s="55"/>
      <c r="O6" s="55"/>
      <c r="P6" s="55"/>
      <c r="Q6" s="55"/>
      <c r="R6" s="55"/>
      <c r="S6" s="55"/>
      <c r="T6" s="55"/>
    </row>
    <row x14ac:dyDescent="0.25" r="7" customHeight="1" ht="17.25">
      <c r="A7" s="56" t="s">
        <v>172</v>
      </c>
      <c r="B7" s="57">
        <v>45231</v>
      </c>
      <c r="C7" s="76" t="s">
        <v>173</v>
      </c>
      <c r="D7" s="59">
        <v>275</v>
      </c>
      <c r="E7" s="67">
        <v>57000</v>
      </c>
      <c r="F7" s="68">
        <v>100</v>
      </c>
      <c r="G7" s="61">
        <f>E7*100*24</f>
      </c>
      <c r="H7" s="62">
        <f>SUM(G7*0.00011408)</f>
        <v>25568.666666666668</v>
      </c>
      <c r="I7" s="63" t="s">
        <v>174</v>
      </c>
      <c r="J7" s="64">
        <v>90.04</v>
      </c>
      <c r="K7" s="55"/>
      <c r="L7" s="65">
        <f>SUM(G7*H22)</f>
      </c>
      <c r="M7" s="55"/>
      <c r="N7" s="55"/>
      <c r="O7" s="55"/>
      <c r="P7" s="55"/>
      <c r="Q7" s="55"/>
      <c r="R7" s="55"/>
      <c r="S7" s="55"/>
      <c r="T7" s="55"/>
    </row>
    <row x14ac:dyDescent="0.25" r="8" customHeight="1" ht="17.25">
      <c r="A8" s="79" t="s">
        <v>175</v>
      </c>
      <c r="B8" s="57">
        <v>45383</v>
      </c>
      <c r="C8" s="69" t="s">
        <v>176</v>
      </c>
      <c r="D8" s="61">
        <v>989</v>
      </c>
      <c r="E8" s="80">
        <v>24576</v>
      </c>
      <c r="F8" s="81" t="s">
        <v>177</v>
      </c>
      <c r="G8" s="77">
        <v>6300000</v>
      </c>
      <c r="H8" s="62">
        <f>SUM(G8*0.00011408)</f>
        <v>25568.666666666668</v>
      </c>
      <c r="I8" s="63" t="s">
        <v>167</v>
      </c>
      <c r="J8" s="64">
        <v>82</v>
      </c>
      <c r="K8" s="55"/>
      <c r="L8" s="65">
        <f>SUM(G8*H23)</f>
      </c>
      <c r="M8" s="55"/>
      <c r="N8" s="55"/>
      <c r="O8" s="55"/>
      <c r="P8" s="55"/>
      <c r="Q8" s="55"/>
      <c r="R8" s="55"/>
      <c r="S8" s="55"/>
      <c r="T8" s="55"/>
    </row>
    <row x14ac:dyDescent="0.25" r="9" customHeight="1" ht="17.25">
      <c r="A9" s="56" t="s">
        <v>178</v>
      </c>
      <c r="B9" s="57">
        <v>45383</v>
      </c>
      <c r="C9" s="69" t="s">
        <v>176</v>
      </c>
      <c r="D9" s="61">
        <v>989</v>
      </c>
      <c r="E9" s="80">
        <v>24576</v>
      </c>
      <c r="F9" s="71">
        <v>51</v>
      </c>
      <c r="G9" s="77">
        <f>E9*50*24</f>
      </c>
      <c r="H9" s="62">
        <f>SUM(G9*0.00011408)</f>
        <v>25568.666666666668</v>
      </c>
      <c r="I9" s="63" t="s">
        <v>179</v>
      </c>
      <c r="J9" s="64">
        <v>88.6</v>
      </c>
      <c r="K9" s="55"/>
      <c r="L9" s="65">
        <f>SUM(G9*H21)</f>
      </c>
      <c r="M9" s="55"/>
      <c r="N9" s="55"/>
      <c r="O9" s="55"/>
      <c r="P9" s="55"/>
      <c r="Q9" s="55"/>
      <c r="R9" s="55"/>
      <c r="S9" s="55"/>
      <c r="T9" s="55"/>
    </row>
    <row x14ac:dyDescent="0.25" r="10" customHeight="1" ht="17.25">
      <c r="A10" s="56" t="s">
        <v>180</v>
      </c>
      <c r="B10" s="82">
        <v>45352</v>
      </c>
      <c r="C10" s="69" t="s">
        <v>176</v>
      </c>
      <c r="D10" s="61">
        <v>989</v>
      </c>
      <c r="E10" s="83">
        <v>50000</v>
      </c>
      <c r="F10" s="84">
        <v>120</v>
      </c>
      <c r="G10" s="61">
        <f>E10*120*24</f>
      </c>
      <c r="H10" s="62">
        <f>SUM(G10*0.00011408)</f>
        <v>25568.666666666668</v>
      </c>
      <c r="I10" s="85" t="s">
        <v>181</v>
      </c>
      <c r="J10" s="86"/>
      <c r="K10" s="55"/>
      <c r="L10" s="65">
        <f>SUM(G10*H21)</f>
      </c>
      <c r="M10" s="55"/>
      <c r="N10" s="55"/>
      <c r="O10" s="55"/>
      <c r="P10" s="55"/>
      <c r="Q10" s="55"/>
      <c r="R10" s="55"/>
      <c r="S10" s="55"/>
      <c r="T10" s="55"/>
    </row>
    <row x14ac:dyDescent="0.25" r="11" customHeight="1" ht="17.25">
      <c r="A11" s="56" t="s">
        <v>182</v>
      </c>
      <c r="B11" s="82">
        <v>45505</v>
      </c>
      <c r="C11" s="69" t="s">
        <v>176</v>
      </c>
      <c r="D11" s="61">
        <v>989</v>
      </c>
      <c r="E11" s="87"/>
      <c r="F11" s="88"/>
      <c r="G11" s="87"/>
      <c r="H11" s="89"/>
      <c r="I11" s="69"/>
      <c r="J11" s="90"/>
      <c r="K11" s="55"/>
      <c r="L11" s="65">
        <f>SUM(G11*H22)</f>
      </c>
      <c r="M11" s="55"/>
      <c r="N11" s="55"/>
      <c r="O11" s="55"/>
      <c r="P11" s="55"/>
      <c r="Q11" s="55"/>
      <c r="R11" s="55"/>
      <c r="S11" s="55"/>
      <c r="T11" s="55"/>
    </row>
    <row x14ac:dyDescent="0.25" r="12" customHeight="1" ht="17.25">
      <c r="A12" s="56" t="s">
        <v>183</v>
      </c>
      <c r="B12" s="82">
        <v>45444</v>
      </c>
      <c r="C12" s="69" t="s">
        <v>176</v>
      </c>
      <c r="D12" s="61">
        <v>989</v>
      </c>
      <c r="E12" s="91">
        <v>20000</v>
      </c>
      <c r="F12" s="81">
        <v>51</v>
      </c>
      <c r="G12" s="61">
        <f>E12*120*24</f>
      </c>
      <c r="H12" s="62">
        <f>SUM(G12*0.00011408)</f>
        <v>25568.666666666668</v>
      </c>
      <c r="I12" s="85" t="s">
        <v>184</v>
      </c>
      <c r="J12" s="90"/>
      <c r="K12" s="55"/>
      <c r="L12" s="65">
        <f>SUM(G12*H21)</f>
      </c>
      <c r="M12" s="55"/>
      <c r="N12" s="55"/>
      <c r="O12" s="55"/>
      <c r="P12" s="55"/>
      <c r="Q12" s="55"/>
      <c r="R12" s="55"/>
      <c r="S12" s="55"/>
      <c r="T12" s="55"/>
    </row>
    <row x14ac:dyDescent="0.25" r="13" customHeight="1" ht="17.25">
      <c r="A13" s="56" t="s">
        <v>185</v>
      </c>
      <c r="B13" s="82">
        <v>45597</v>
      </c>
      <c r="C13" s="69" t="s">
        <v>186</v>
      </c>
      <c r="D13" s="61">
        <v>1847</v>
      </c>
      <c r="E13" s="87"/>
      <c r="F13" s="88"/>
      <c r="G13" s="87"/>
      <c r="H13" s="89"/>
      <c r="I13" s="69"/>
      <c r="J13" s="90"/>
      <c r="K13" s="55"/>
      <c r="L13" s="65">
        <f>SUM(G13*H25)</f>
      </c>
      <c r="M13" s="55"/>
      <c r="N13" s="55"/>
      <c r="O13" s="55"/>
      <c r="P13" s="55"/>
      <c r="Q13" s="55"/>
      <c r="R13" s="55"/>
      <c r="S13" s="55"/>
      <c r="T13" s="55"/>
    </row>
    <row x14ac:dyDescent="0.25" r="14" customHeight="1" ht="17.25">
      <c r="A14" s="56" t="s">
        <v>187</v>
      </c>
      <c r="B14" s="82">
        <v>45627</v>
      </c>
      <c r="C14" s="69" t="s">
        <v>176</v>
      </c>
      <c r="D14" s="61">
        <v>989</v>
      </c>
      <c r="E14" s="91">
        <v>100000</v>
      </c>
      <c r="F14" s="81">
        <v>51</v>
      </c>
      <c r="G14" s="61">
        <f>E14*120*24</f>
      </c>
      <c r="H14" s="62">
        <f>SUM(G14*0.00011408)</f>
        <v>25568.666666666668</v>
      </c>
      <c r="I14" s="85" t="s">
        <v>188</v>
      </c>
      <c r="J14" s="90"/>
      <c r="K14" s="55"/>
      <c r="L14" s="65">
        <f>SUM(G14*H21)</f>
      </c>
      <c r="M14" s="55"/>
      <c r="N14" s="55"/>
      <c r="O14" s="55"/>
      <c r="P14" s="55"/>
      <c r="Q14" s="55"/>
      <c r="R14" s="55"/>
      <c r="S14" s="55"/>
      <c r="T14" s="55"/>
    </row>
    <row x14ac:dyDescent="0.25" r="15" customHeight="1" ht="17.25">
      <c r="A15" s="92"/>
      <c r="B15" s="93"/>
      <c r="C15" s="94"/>
      <c r="D15" s="95"/>
      <c r="E15" s="96"/>
      <c r="F15" s="97"/>
      <c r="G15" s="96"/>
      <c r="H15" s="98"/>
      <c r="I15" s="94"/>
      <c r="J15" s="99"/>
      <c r="K15" s="55"/>
      <c r="L15" s="65">
        <f>SUM(G15*H27)</f>
      </c>
      <c r="M15" s="55"/>
      <c r="N15" s="55"/>
      <c r="O15" s="55"/>
      <c r="P15" s="55"/>
      <c r="Q15" s="55"/>
      <c r="R15" s="55"/>
      <c r="S15" s="55"/>
      <c r="T15" s="55"/>
    </row>
    <row x14ac:dyDescent="0.25" r="16" customHeight="1" ht="17.25">
      <c r="A16" s="55"/>
      <c r="B16" s="100"/>
      <c r="C16" s="55"/>
      <c r="D16" s="101"/>
      <c r="E16" s="101"/>
      <c r="F16" s="102"/>
      <c r="G16" s="103"/>
      <c r="H16" s="104"/>
      <c r="I16" s="55"/>
      <c r="J16" s="105"/>
      <c r="K16" s="55"/>
      <c r="L16" s="65"/>
      <c r="M16" s="55"/>
      <c r="N16" s="55"/>
      <c r="O16" s="55"/>
      <c r="P16" s="55"/>
      <c r="Q16" s="55"/>
      <c r="R16" s="55"/>
      <c r="S16" s="55"/>
      <c r="T16" s="55"/>
    </row>
    <row x14ac:dyDescent="0.25" r="17" customHeight="1" ht="17.25">
      <c r="A17" s="106" t="s">
        <v>149</v>
      </c>
      <c r="B17" s="107" t="s">
        <v>189</v>
      </c>
      <c r="C17" s="106" t="s">
        <v>1</v>
      </c>
      <c r="D17" s="108" t="s">
        <v>190</v>
      </c>
      <c r="E17" s="109"/>
      <c r="F17" s="110" t="s">
        <v>151</v>
      </c>
      <c r="G17" s="111" t="s">
        <v>191</v>
      </c>
      <c r="H17" s="112" t="s">
        <v>192</v>
      </c>
      <c r="I17" s="113" t="s">
        <v>193</v>
      </c>
      <c r="J17" s="114" t="s">
        <v>194</v>
      </c>
      <c r="K17" s="115"/>
      <c r="L17" s="116"/>
      <c r="M17" s="115"/>
      <c r="N17" s="106"/>
      <c r="O17" s="106"/>
      <c r="P17" s="106"/>
      <c r="Q17" s="106"/>
      <c r="R17" s="106"/>
      <c r="S17" s="106"/>
      <c r="T17" s="106"/>
    </row>
    <row x14ac:dyDescent="0.25" r="18" customHeight="1" ht="17.25">
      <c r="A18" s="117" t="s">
        <v>160</v>
      </c>
      <c r="B18" s="118" t="s">
        <v>195</v>
      </c>
      <c r="C18" s="119" t="s">
        <v>196</v>
      </c>
      <c r="D18" s="120" t="s">
        <v>197</v>
      </c>
      <c r="E18" s="109"/>
      <c r="F18" s="121" t="s">
        <v>161</v>
      </c>
      <c r="G18" s="103">
        <v>2020</v>
      </c>
      <c r="H18" s="104">
        <v>0.66</v>
      </c>
      <c r="I18" s="122" t="s">
        <v>198</v>
      </c>
      <c r="J18" s="123">
        <f>SUM(H18*1000000)</f>
      </c>
      <c r="K18" s="115"/>
      <c r="L18" s="124" t="s">
        <v>199</v>
      </c>
      <c r="M18" s="115"/>
      <c r="N18" s="115"/>
      <c r="O18" s="115"/>
      <c r="P18" s="115"/>
      <c r="Q18" s="115"/>
      <c r="R18" s="115"/>
      <c r="S18" s="115"/>
      <c r="T18" s="115"/>
    </row>
    <row x14ac:dyDescent="0.25" r="19" customHeight="1" ht="17.25">
      <c r="A19" s="117"/>
      <c r="B19" s="118" t="s">
        <v>200</v>
      </c>
      <c r="C19" s="119" t="s">
        <v>201</v>
      </c>
      <c r="D19" s="125" t="s">
        <v>202</v>
      </c>
      <c r="E19" s="109"/>
      <c r="F19" s="121" t="s">
        <v>161</v>
      </c>
      <c r="G19" s="103">
        <v>2020</v>
      </c>
      <c r="H19" s="104">
        <v>2.48</v>
      </c>
      <c r="I19" s="122" t="s">
        <v>203</v>
      </c>
      <c r="J19" s="123">
        <f>SUM(H19*1000000)</f>
      </c>
      <c r="K19" s="115"/>
      <c r="L19" s="124" t="s">
        <v>204</v>
      </c>
      <c r="M19" s="115"/>
      <c r="N19" s="115"/>
      <c r="O19" s="115"/>
      <c r="P19" s="115"/>
      <c r="Q19" s="115"/>
      <c r="R19" s="115"/>
      <c r="S19" s="115"/>
      <c r="T19" s="115"/>
    </row>
    <row x14ac:dyDescent="0.25" r="20" customHeight="1" ht="17.25">
      <c r="A20" s="117" t="s">
        <v>170</v>
      </c>
      <c r="B20" s="118" t="s">
        <v>200</v>
      </c>
      <c r="C20" s="119" t="s">
        <v>205</v>
      </c>
      <c r="D20" s="126" t="s">
        <v>206</v>
      </c>
      <c r="E20" s="109"/>
      <c r="F20" s="121" t="s">
        <v>164</v>
      </c>
      <c r="G20" s="103">
        <v>2023</v>
      </c>
      <c r="H20" s="104">
        <v>3.93</v>
      </c>
      <c r="I20" s="122" t="s">
        <v>207</v>
      </c>
      <c r="J20" s="123">
        <f>SUM(H20*1000000)</f>
      </c>
      <c r="K20" s="115"/>
      <c r="L20" s="116"/>
      <c r="M20" s="115"/>
      <c r="N20" s="115"/>
      <c r="O20" s="115"/>
      <c r="P20" s="115"/>
      <c r="Q20" s="115"/>
      <c r="R20" s="115"/>
      <c r="S20" s="115"/>
      <c r="T20" s="115"/>
    </row>
    <row x14ac:dyDescent="0.25" r="21" customHeight="1" ht="18.75">
      <c r="A21" s="117" t="s">
        <v>163</v>
      </c>
      <c r="B21" s="118" t="s">
        <v>195</v>
      </c>
      <c r="C21" s="119" t="s">
        <v>208</v>
      </c>
      <c r="D21" s="127" t="s">
        <v>209</v>
      </c>
      <c r="E21" s="128"/>
      <c r="F21" s="121" t="s">
        <v>176</v>
      </c>
      <c r="G21" s="103">
        <v>2023</v>
      </c>
      <c r="H21" s="104">
        <v>4.25</v>
      </c>
      <c r="I21" s="122" t="s">
        <v>210</v>
      </c>
      <c r="J21" s="123">
        <f>SUM(H21*1000000)</f>
      </c>
      <c r="K21" s="129"/>
      <c r="L21" s="124" t="s">
        <v>211</v>
      </c>
      <c r="M21" s="130"/>
      <c r="N21" s="130"/>
      <c r="O21" s="130"/>
      <c r="P21" s="130"/>
      <c r="Q21" s="130"/>
      <c r="R21" s="130"/>
      <c r="S21" s="130"/>
      <c r="T21" s="130"/>
    </row>
    <row x14ac:dyDescent="0.25" r="22" customHeight="1" ht="18.75">
      <c r="A22" s="117" t="s">
        <v>166</v>
      </c>
      <c r="B22" s="118" t="s">
        <v>195</v>
      </c>
      <c r="C22" s="119" t="s">
        <v>212</v>
      </c>
      <c r="D22" s="125" t="s">
        <v>213</v>
      </c>
      <c r="E22" s="109"/>
      <c r="F22" s="121" t="s">
        <v>173</v>
      </c>
      <c r="G22" s="103">
        <v>2023</v>
      </c>
      <c r="H22" s="104">
        <v>3.22</v>
      </c>
      <c r="I22" s="122" t="s">
        <v>214</v>
      </c>
      <c r="J22" s="123">
        <f>SUM(H22*1000000)</f>
      </c>
      <c r="K22" s="118"/>
      <c r="L22" s="131" t="s">
        <v>215</v>
      </c>
      <c r="M22" s="115"/>
      <c r="N22" s="115"/>
      <c r="O22" s="115"/>
      <c r="P22" s="115"/>
      <c r="Q22" s="115"/>
      <c r="R22" s="115"/>
      <c r="S22" s="115"/>
      <c r="T22" s="115"/>
    </row>
    <row x14ac:dyDescent="0.25" r="23" customHeight="1" ht="17.25">
      <c r="A23" s="117"/>
      <c r="B23" s="118" t="s">
        <v>216</v>
      </c>
      <c r="C23" s="132"/>
      <c r="D23" s="120" t="s">
        <v>217</v>
      </c>
      <c r="E23" s="109"/>
      <c r="F23" s="121" t="s">
        <v>218</v>
      </c>
      <c r="G23" s="103">
        <v>2024</v>
      </c>
      <c r="H23" s="104">
        <v>1.2</v>
      </c>
      <c r="I23" s="122" t="s">
        <v>214</v>
      </c>
      <c r="J23" s="123">
        <f>SUM(H23*1000000)</f>
      </c>
      <c r="K23" s="115"/>
      <c r="L23" s="116"/>
      <c r="M23" s="115"/>
      <c r="N23" s="115"/>
      <c r="O23" s="115"/>
      <c r="P23" s="115"/>
      <c r="Q23" s="115"/>
      <c r="R23" s="115"/>
      <c r="S23" s="115"/>
      <c r="T23" s="115"/>
    </row>
    <row x14ac:dyDescent="0.25" r="24" customHeight="1" ht="17.25">
      <c r="A24" s="117" t="s">
        <v>168</v>
      </c>
      <c r="B24" s="118" t="s">
        <v>200</v>
      </c>
      <c r="C24" s="119" t="s">
        <v>219</v>
      </c>
      <c r="D24" s="133" t="s">
        <v>220</v>
      </c>
      <c r="E24" s="109"/>
      <c r="F24" s="121" t="s">
        <v>221</v>
      </c>
      <c r="G24" s="103">
        <v>2024</v>
      </c>
      <c r="H24" s="104">
        <v>4.2</v>
      </c>
      <c r="I24" s="122" t="s">
        <v>214</v>
      </c>
      <c r="J24" s="123">
        <f>SUM(H24*1000000)</f>
      </c>
      <c r="K24" s="115"/>
      <c r="L24" s="116"/>
      <c r="M24" s="115"/>
      <c r="N24" s="115"/>
      <c r="O24" s="115"/>
      <c r="P24" s="115"/>
      <c r="Q24" s="115"/>
      <c r="R24" s="115"/>
      <c r="S24" s="115"/>
      <c r="T24" s="115"/>
    </row>
    <row x14ac:dyDescent="0.25" r="25" customHeight="1" ht="17.25">
      <c r="A25" s="117"/>
      <c r="B25" s="118" t="s">
        <v>195</v>
      </c>
      <c r="C25" s="119" t="s">
        <v>222</v>
      </c>
      <c r="D25" s="134" t="s">
        <v>223</v>
      </c>
      <c r="E25" s="109"/>
      <c r="F25" s="121" t="s">
        <v>224</v>
      </c>
      <c r="G25" s="103">
        <v>2024</v>
      </c>
      <c r="H25" s="104"/>
      <c r="I25" s="55"/>
      <c r="J25" s="123">
        <f>SUM(H25*1000000)</f>
      </c>
      <c r="K25" s="115"/>
      <c r="L25" s="116"/>
      <c r="M25" s="115"/>
      <c r="N25" s="115"/>
      <c r="O25" s="115"/>
      <c r="P25" s="115"/>
      <c r="Q25" s="115"/>
      <c r="R25" s="115"/>
      <c r="S25" s="115"/>
      <c r="T25" s="115"/>
    </row>
    <row x14ac:dyDescent="0.25" r="26" customHeight="1" ht="17.25">
      <c r="A26" s="117" t="s">
        <v>172</v>
      </c>
      <c r="B26" s="118" t="s">
        <v>195</v>
      </c>
      <c r="C26" s="119" t="s">
        <v>225</v>
      </c>
      <c r="D26" s="126" t="s">
        <v>226</v>
      </c>
      <c r="E26" s="109"/>
      <c r="F26" s="135"/>
      <c r="G26" s="136"/>
      <c r="H26" s="137"/>
      <c r="I26" s="138"/>
      <c r="J26" s="139"/>
      <c r="K26" s="115"/>
      <c r="L26" s="116"/>
      <c r="M26" s="115"/>
      <c r="N26" s="115"/>
      <c r="O26" s="115"/>
      <c r="P26" s="115"/>
      <c r="Q26" s="115"/>
      <c r="R26" s="115"/>
      <c r="S26" s="115"/>
      <c r="T26" s="115"/>
    </row>
    <row x14ac:dyDescent="0.25" r="27" customHeight="1" ht="17.25">
      <c r="A27" s="117"/>
      <c r="B27" s="118" t="s">
        <v>200</v>
      </c>
      <c r="C27" s="119" t="s">
        <v>205</v>
      </c>
      <c r="D27" s="125" t="s">
        <v>227</v>
      </c>
      <c r="E27" s="109"/>
      <c r="F27" s="140"/>
      <c r="G27" s="141"/>
      <c r="H27" s="142"/>
      <c r="I27" s="115"/>
      <c r="J27" s="124"/>
      <c r="K27" s="115"/>
      <c r="L27" s="116"/>
      <c r="M27" s="115"/>
      <c r="N27" s="115"/>
      <c r="O27" s="115"/>
      <c r="P27" s="115"/>
      <c r="Q27" s="115"/>
      <c r="R27" s="115"/>
      <c r="S27" s="115"/>
      <c r="T27" s="115"/>
    </row>
    <row x14ac:dyDescent="0.25" r="28" customHeight="1" ht="17.25">
      <c r="A28" s="117"/>
      <c r="B28" s="118" t="s">
        <v>200</v>
      </c>
      <c r="C28" s="119" t="s">
        <v>205</v>
      </c>
      <c r="D28" s="127" t="s">
        <v>228</v>
      </c>
      <c r="E28" s="109"/>
      <c r="F28" s="143" t="s">
        <v>229</v>
      </c>
      <c r="G28" s="144"/>
      <c r="H28" s="145"/>
      <c r="I28" s="146"/>
      <c r="J28" s="147"/>
      <c r="K28" s="115"/>
      <c r="L28" s="116"/>
      <c r="M28" s="115"/>
      <c r="N28" s="115"/>
      <c r="O28" s="115"/>
      <c r="P28" s="115"/>
      <c r="Q28" s="115"/>
      <c r="R28" s="115"/>
      <c r="S28" s="115"/>
      <c r="T28" s="115"/>
    </row>
    <row x14ac:dyDescent="0.25" r="29" customHeight="1" ht="17.25">
      <c r="A29" s="117" t="s">
        <v>180</v>
      </c>
      <c r="B29" s="118" t="s">
        <v>216</v>
      </c>
      <c r="C29" s="119" t="s">
        <v>230</v>
      </c>
      <c r="D29" s="125" t="s">
        <v>231</v>
      </c>
      <c r="E29" s="109"/>
      <c r="F29" s="140"/>
      <c r="G29" s="109"/>
      <c r="H29" s="142"/>
      <c r="I29" s="115"/>
      <c r="J29" s="124"/>
      <c r="K29" s="115"/>
      <c r="L29" s="116"/>
      <c r="M29" s="115"/>
      <c r="N29" s="115"/>
      <c r="O29" s="115"/>
      <c r="P29" s="115"/>
      <c r="Q29" s="115"/>
      <c r="R29" s="115"/>
      <c r="S29" s="115"/>
      <c r="T29" s="115"/>
    </row>
    <row x14ac:dyDescent="0.25" r="30" customHeight="1" ht="17.25">
      <c r="A30" s="117" t="s">
        <v>232</v>
      </c>
      <c r="B30" s="118" t="s">
        <v>195</v>
      </c>
      <c r="C30" s="119" t="s">
        <v>233</v>
      </c>
      <c r="D30" s="120" t="s">
        <v>234</v>
      </c>
      <c r="E30" s="109"/>
      <c r="F30" s="140"/>
      <c r="G30" s="141"/>
      <c r="H30" s="142"/>
      <c r="I30" s="115"/>
      <c r="J30" s="124"/>
      <c r="K30" s="115"/>
      <c r="L30" s="116"/>
      <c r="M30" s="115"/>
      <c r="N30" s="115"/>
      <c r="O30" s="115"/>
      <c r="P30" s="115"/>
      <c r="Q30" s="115"/>
      <c r="R30" s="115"/>
      <c r="S30" s="115"/>
      <c r="T30" s="115"/>
    </row>
    <row x14ac:dyDescent="0.25" r="31" customHeight="1" ht="17.25">
      <c r="A31" s="117"/>
      <c r="B31" s="118" t="s">
        <v>195</v>
      </c>
      <c r="C31" s="119" t="s">
        <v>235</v>
      </c>
      <c r="D31" s="126" t="s">
        <v>236</v>
      </c>
      <c r="E31" s="109"/>
      <c r="F31" s="140"/>
      <c r="G31" s="141"/>
      <c r="H31" s="142"/>
      <c r="I31" s="115"/>
      <c r="J31" s="124"/>
      <c r="K31" s="115"/>
      <c r="L31" s="116"/>
      <c r="M31" s="115"/>
      <c r="N31" s="115"/>
      <c r="O31" s="115"/>
      <c r="P31" s="115"/>
      <c r="Q31" s="115"/>
      <c r="R31" s="115"/>
      <c r="S31" s="115"/>
      <c r="T31" s="115"/>
    </row>
    <row x14ac:dyDescent="0.25" r="32" customHeight="1" ht="17.25">
      <c r="A32" s="117" t="s">
        <v>182</v>
      </c>
      <c r="B32" s="118"/>
      <c r="C32" s="115"/>
      <c r="D32" s="109"/>
      <c r="E32" s="109"/>
      <c r="F32" s="140"/>
      <c r="G32" s="141"/>
      <c r="H32" s="142"/>
      <c r="I32" s="115"/>
      <c r="J32" s="124"/>
      <c r="K32" s="115"/>
      <c r="L32" s="116"/>
      <c r="M32" s="115"/>
      <c r="N32" s="115"/>
      <c r="O32" s="115"/>
      <c r="P32" s="115"/>
      <c r="Q32" s="115"/>
      <c r="R32" s="115"/>
      <c r="S32" s="115"/>
      <c r="T32" s="115"/>
    </row>
    <row x14ac:dyDescent="0.25" r="33" customHeight="1" ht="18.75">
      <c r="A33" s="117" t="s">
        <v>183</v>
      </c>
      <c r="B33" s="118" t="s">
        <v>195</v>
      </c>
      <c r="C33" s="119" t="s">
        <v>237</v>
      </c>
      <c r="D33" s="148" t="s">
        <v>238</v>
      </c>
      <c r="E33" s="109"/>
      <c r="F33" s="140"/>
      <c r="G33" s="141"/>
      <c r="H33" s="142"/>
      <c r="I33" s="115"/>
      <c r="J33" s="124"/>
      <c r="K33" s="118"/>
      <c r="L33" s="149"/>
      <c r="M33" s="115"/>
      <c r="N33" s="115"/>
      <c r="O33" s="115"/>
      <c r="P33" s="115"/>
      <c r="Q33" s="115"/>
      <c r="R33" s="115"/>
      <c r="S33" s="115"/>
      <c r="T33" s="115"/>
    </row>
    <row x14ac:dyDescent="0.25" r="34" customHeight="1" ht="18.75">
      <c r="A34" s="117" t="s">
        <v>185</v>
      </c>
      <c r="B34" s="118"/>
      <c r="C34" s="115"/>
      <c r="D34" s="109"/>
      <c r="E34" s="109"/>
      <c r="F34" s="140"/>
      <c r="G34" s="141"/>
      <c r="H34" s="142"/>
      <c r="I34" s="115"/>
      <c r="J34" s="124"/>
      <c r="K34" s="118"/>
      <c r="L34" s="149"/>
      <c r="M34" s="115"/>
      <c r="N34" s="115"/>
      <c r="O34" s="115"/>
      <c r="P34" s="115"/>
      <c r="Q34" s="115"/>
      <c r="R34" s="115"/>
      <c r="S34" s="115"/>
      <c r="T34" s="115"/>
    </row>
    <row x14ac:dyDescent="0.25" r="35" customHeight="1" ht="17.25">
      <c r="A35" s="106" t="s">
        <v>187</v>
      </c>
      <c r="B35" s="118" t="s">
        <v>195</v>
      </c>
      <c r="C35" s="119" t="s">
        <v>237</v>
      </c>
      <c r="D35" s="148" t="s">
        <v>238</v>
      </c>
      <c r="E35" s="109"/>
      <c r="F35" s="140"/>
      <c r="G35" s="141"/>
      <c r="H35" s="142"/>
      <c r="I35" s="115"/>
      <c r="J35" s="124"/>
      <c r="K35" s="115"/>
      <c r="L35" s="116"/>
      <c r="M35" s="115"/>
      <c r="N35" s="115"/>
      <c r="O35" s="115"/>
      <c r="P35" s="115"/>
      <c r="Q35" s="115"/>
      <c r="R35" s="115"/>
      <c r="S35" s="115"/>
      <c r="T35" s="115"/>
    </row>
    <row x14ac:dyDescent="0.25" r="36" customHeight="1" ht="17.25">
      <c r="A36" s="106" t="s">
        <v>239</v>
      </c>
      <c r="B36" s="118" t="s">
        <v>240</v>
      </c>
      <c r="C36" s="115"/>
      <c r="D36" s="109"/>
      <c r="E36" s="109"/>
      <c r="F36" s="140"/>
      <c r="G36" s="141"/>
      <c r="H36" s="142"/>
      <c r="I36" s="115"/>
      <c r="J36" s="124"/>
      <c r="K36" s="115"/>
      <c r="L36" s="116"/>
      <c r="M36" s="115"/>
      <c r="N36" s="115"/>
      <c r="O36" s="115"/>
      <c r="P36" s="115"/>
      <c r="Q36" s="115"/>
      <c r="R36" s="115"/>
      <c r="S36" s="115"/>
      <c r="T36" s="115"/>
    </row>
    <row x14ac:dyDescent="0.25" r="37" customHeight="1" ht="17.25">
      <c r="A37" s="115"/>
      <c r="B37" s="118" t="s">
        <v>241</v>
      </c>
      <c r="C37" s="115"/>
      <c r="D37" s="109"/>
      <c r="E37" s="101"/>
      <c r="F37" s="140"/>
      <c r="G37" s="141"/>
      <c r="H37" s="142"/>
      <c r="I37" s="115"/>
      <c r="J37" s="124"/>
      <c r="K37" s="55"/>
      <c r="L37" s="65"/>
      <c r="M37" s="55"/>
      <c r="N37" s="55"/>
      <c r="O37" s="55"/>
      <c r="P37" s="55"/>
      <c r="Q37" s="55"/>
      <c r="R37" s="55"/>
      <c r="S37" s="55"/>
      <c r="T37" s="55"/>
    </row>
    <row x14ac:dyDescent="0.25" r="38" customHeight="1" ht="17.25">
      <c r="A38" s="115"/>
      <c r="B38" s="118" t="s">
        <v>242</v>
      </c>
      <c r="C38" s="115"/>
      <c r="D38" s="109"/>
      <c r="E38" s="101"/>
      <c r="F38" s="102"/>
      <c r="G38" s="103"/>
      <c r="H38" s="150"/>
      <c r="I38" s="55"/>
      <c r="J38" s="105"/>
      <c r="K38" s="55"/>
      <c r="L38" s="65"/>
      <c r="M38" s="55"/>
      <c r="N38" s="55"/>
      <c r="O38" s="55"/>
      <c r="P38" s="55"/>
      <c r="Q38" s="55"/>
      <c r="R38" s="55"/>
      <c r="S38" s="55"/>
      <c r="T38" s="55"/>
    </row>
    <row x14ac:dyDescent="0.25" r="39" customHeight="1" ht="17.25">
      <c r="A39" s="55"/>
      <c r="B39" s="100"/>
      <c r="C39" s="55"/>
      <c r="D39" s="101"/>
      <c r="E39" s="101"/>
      <c r="F39" s="102"/>
      <c r="G39" s="103"/>
      <c r="H39" s="150"/>
      <c r="I39" s="55"/>
      <c r="J39" s="105"/>
      <c r="K39" s="55"/>
      <c r="L39" s="65"/>
      <c r="M39" s="55"/>
      <c r="N39" s="55"/>
      <c r="O39" s="55"/>
      <c r="P39" s="55"/>
      <c r="Q39" s="55"/>
      <c r="R39" s="55"/>
      <c r="S39" s="55"/>
      <c r="T39" s="55"/>
    </row>
    <row x14ac:dyDescent="0.25" r="40" customHeight="1" ht="17.25">
      <c r="A40" s="55"/>
      <c r="B40" s="100"/>
      <c r="C40" s="55"/>
      <c r="D40" s="101"/>
      <c r="E40" s="101"/>
      <c r="F40" s="102"/>
      <c r="G40" s="103"/>
      <c r="H40" s="150"/>
      <c r="I40" s="55"/>
      <c r="J40" s="105"/>
      <c r="K40" s="55"/>
      <c r="L40" s="65"/>
      <c r="M40" s="55"/>
      <c r="N40" s="55"/>
      <c r="O40" s="55"/>
      <c r="P40" s="55"/>
      <c r="Q40" s="55"/>
      <c r="R40" s="55"/>
      <c r="S40" s="55"/>
      <c r="T40" s="55"/>
    </row>
    <row x14ac:dyDescent="0.25" r="41" customHeight="1" ht="17.25">
      <c r="A41" s="55"/>
      <c r="B41" s="100"/>
      <c r="C41" s="55"/>
      <c r="D41" s="101"/>
      <c r="E41" s="101"/>
      <c r="F41" s="102"/>
      <c r="G41" s="103"/>
      <c r="H41" s="150"/>
      <c r="I41" s="55"/>
      <c r="J41" s="105"/>
      <c r="K41" s="55"/>
      <c r="L41" s="65"/>
      <c r="M41" s="55"/>
      <c r="N41" s="55"/>
      <c r="O41" s="55"/>
      <c r="P41" s="55"/>
      <c r="Q41" s="55"/>
      <c r="R41" s="55"/>
      <c r="S41" s="55"/>
      <c r="T41" s="55"/>
    </row>
    <row x14ac:dyDescent="0.25" r="42" customHeight="1" ht="17.25">
      <c r="A42" s="55"/>
      <c r="B42" s="100"/>
      <c r="C42" s="55"/>
      <c r="D42" s="101"/>
      <c r="E42" s="101"/>
      <c r="F42" s="102"/>
      <c r="G42" s="103"/>
      <c r="H42" s="150"/>
      <c r="I42" s="55"/>
      <c r="J42" s="105"/>
      <c r="K42" s="55"/>
      <c r="L42" s="65"/>
      <c r="M42" s="55"/>
      <c r="N42" s="55"/>
      <c r="O42" s="55"/>
      <c r="P42" s="55"/>
      <c r="Q42" s="55"/>
      <c r="R42" s="55"/>
      <c r="S42" s="55"/>
      <c r="T42" s="55"/>
    </row>
    <row x14ac:dyDescent="0.25" r="43" customHeight="1" ht="17.25">
      <c r="A43" s="55"/>
      <c r="B43" s="100"/>
      <c r="C43" s="55"/>
      <c r="D43" s="101"/>
      <c r="E43" s="101"/>
      <c r="F43" s="102"/>
      <c r="G43" s="103"/>
      <c r="H43" s="150"/>
      <c r="I43" s="55"/>
      <c r="J43" s="105"/>
      <c r="K43" s="55"/>
      <c r="L43" s="65"/>
      <c r="M43" s="55"/>
      <c r="N43" s="55"/>
      <c r="O43" s="55"/>
      <c r="P43" s="55"/>
      <c r="Q43" s="55"/>
      <c r="R43" s="55"/>
      <c r="S43" s="55"/>
      <c r="T43" s="55"/>
    </row>
    <row x14ac:dyDescent="0.25" r="44" customHeight="1" ht="17.25">
      <c r="A44" s="55"/>
      <c r="B44" s="100"/>
      <c r="C44" s="55"/>
      <c r="D44" s="101"/>
      <c r="E44" s="101"/>
      <c r="F44" s="102"/>
      <c r="G44" s="103"/>
      <c r="H44" s="150"/>
      <c r="I44" s="55"/>
      <c r="J44" s="105"/>
      <c r="K44" s="55"/>
      <c r="L44" s="65"/>
      <c r="M44" s="55"/>
      <c r="N44" s="55"/>
      <c r="O44" s="55"/>
      <c r="P44" s="55"/>
      <c r="Q44" s="55"/>
      <c r="R44" s="55"/>
      <c r="S44" s="55"/>
      <c r="T44" s="55"/>
    </row>
    <row x14ac:dyDescent="0.25" r="45" customHeight="1" ht="17.25">
      <c r="A45" s="55"/>
      <c r="B45" s="100"/>
      <c r="C45" s="55"/>
      <c r="D45" s="101"/>
      <c r="E45" s="101"/>
      <c r="F45" s="102"/>
      <c r="G45" s="103"/>
      <c r="H45" s="150"/>
      <c r="I45" s="55"/>
      <c r="J45" s="105"/>
      <c r="K45" s="55"/>
      <c r="L45" s="65"/>
      <c r="M45" s="55"/>
      <c r="N45" s="55"/>
      <c r="O45" s="55"/>
      <c r="P45" s="55"/>
      <c r="Q45" s="55"/>
      <c r="R45" s="55"/>
      <c r="S45" s="55"/>
      <c r="T45" s="55"/>
    </row>
    <row x14ac:dyDescent="0.25" r="46" customHeight="1" ht="17.25">
      <c r="A46" s="55"/>
      <c r="B46" s="100"/>
      <c r="C46" s="55"/>
      <c r="D46" s="101"/>
      <c r="E46" s="101"/>
      <c r="F46" s="102"/>
      <c r="G46" s="103"/>
      <c r="H46" s="150"/>
      <c r="I46" s="55"/>
      <c r="J46" s="105"/>
      <c r="K46" s="55"/>
      <c r="L46" s="65"/>
      <c r="M46" s="55"/>
      <c r="N46" s="55"/>
      <c r="O46" s="55"/>
      <c r="P46" s="55"/>
      <c r="Q46" s="55"/>
      <c r="R46" s="55"/>
      <c r="S46" s="55"/>
      <c r="T46" s="55"/>
    </row>
    <row x14ac:dyDescent="0.25" r="47" customHeight="1" ht="17.25">
      <c r="A47" s="55"/>
      <c r="B47" s="100"/>
      <c r="C47" s="55"/>
      <c r="D47" s="101"/>
      <c r="E47" s="101"/>
      <c r="F47" s="102"/>
      <c r="G47" s="103"/>
      <c r="H47" s="150"/>
      <c r="I47" s="55"/>
      <c r="J47" s="105"/>
      <c r="K47" s="55"/>
      <c r="L47" s="65"/>
      <c r="M47" s="55"/>
      <c r="N47" s="55"/>
      <c r="O47" s="55"/>
      <c r="P47" s="55"/>
      <c r="Q47" s="55"/>
      <c r="R47" s="55"/>
      <c r="S47" s="55"/>
      <c r="T47" s="55"/>
    </row>
    <row x14ac:dyDescent="0.25" r="48" customHeight="1" ht="17.25">
      <c r="A48" s="55"/>
      <c r="B48" s="100"/>
      <c r="C48" s="55"/>
      <c r="D48" s="101"/>
      <c r="E48" s="101"/>
      <c r="F48" s="102"/>
      <c r="G48" s="103"/>
      <c r="H48" s="150"/>
      <c r="I48" s="55"/>
      <c r="J48" s="105"/>
      <c r="K48" s="55"/>
      <c r="L48" s="65"/>
      <c r="M48" s="55"/>
      <c r="N48" s="55"/>
      <c r="O48" s="55"/>
      <c r="P48" s="55"/>
      <c r="Q48" s="55"/>
      <c r="R48" s="55"/>
      <c r="S48" s="55"/>
      <c r="T48" s="55"/>
    </row>
    <row x14ac:dyDescent="0.25" r="49" customHeight="1" ht="17.25">
      <c r="A49" s="55"/>
      <c r="B49" s="100"/>
      <c r="C49" s="55"/>
      <c r="D49" s="101"/>
      <c r="E49" s="101"/>
      <c r="F49" s="102"/>
      <c r="G49" s="103"/>
      <c r="H49" s="150"/>
      <c r="I49" s="55"/>
      <c r="J49" s="105"/>
      <c r="K49" s="55"/>
      <c r="L49" s="65"/>
      <c r="M49" s="55"/>
      <c r="N49" s="55"/>
      <c r="O49" s="55"/>
      <c r="P49" s="55"/>
      <c r="Q49" s="55"/>
      <c r="R49" s="55"/>
      <c r="S49" s="55"/>
      <c r="T49" s="55"/>
    </row>
    <row x14ac:dyDescent="0.25" r="50" customHeight="1" ht="17.25">
      <c r="A50" s="55"/>
      <c r="B50" s="100"/>
      <c r="C50" s="55"/>
      <c r="D50" s="101"/>
      <c r="E50" s="101"/>
      <c r="F50" s="102"/>
      <c r="G50" s="103"/>
      <c r="H50" s="150"/>
      <c r="I50" s="55"/>
      <c r="J50" s="105"/>
      <c r="K50" s="55"/>
      <c r="L50" s="65"/>
      <c r="M50" s="55"/>
      <c r="N50" s="55"/>
      <c r="O50" s="55"/>
      <c r="P50" s="55"/>
      <c r="Q50" s="55"/>
      <c r="R50" s="55"/>
      <c r="S50" s="55"/>
      <c r="T50" s="55"/>
    </row>
    <row x14ac:dyDescent="0.25" r="51" customHeight="1" ht="17.25">
      <c r="A51" s="55"/>
      <c r="B51" s="100"/>
      <c r="C51" s="55"/>
      <c r="D51" s="101"/>
      <c r="E51" s="101"/>
      <c r="F51" s="102"/>
      <c r="G51" s="103"/>
      <c r="H51" s="150"/>
      <c r="I51" s="55"/>
      <c r="J51" s="105"/>
      <c r="K51" s="55"/>
      <c r="L51" s="65"/>
      <c r="M51" s="55"/>
      <c r="N51" s="55"/>
      <c r="O51" s="55"/>
      <c r="P51" s="55"/>
      <c r="Q51" s="55"/>
      <c r="R51" s="55"/>
      <c r="S51" s="55"/>
      <c r="T51" s="55"/>
    </row>
    <row x14ac:dyDescent="0.25" r="52" customHeight="1" ht="17.25">
      <c r="A52" s="55"/>
      <c r="B52" s="100"/>
      <c r="C52" s="55"/>
      <c r="D52" s="101"/>
      <c r="E52" s="101"/>
      <c r="F52" s="102"/>
      <c r="G52" s="103"/>
      <c r="H52" s="150"/>
      <c r="I52" s="55"/>
      <c r="J52" s="105"/>
      <c r="K52" s="55"/>
      <c r="L52" s="65"/>
      <c r="M52" s="55"/>
      <c r="N52" s="55"/>
      <c r="O52" s="55"/>
      <c r="P52" s="55"/>
      <c r="Q52" s="55"/>
      <c r="R52" s="55"/>
      <c r="S52" s="55"/>
      <c r="T52" s="55"/>
    </row>
    <row x14ac:dyDescent="0.25" r="53" customHeight="1" ht="17.25">
      <c r="A53" s="55"/>
      <c r="B53" s="100"/>
      <c r="C53" s="55"/>
      <c r="D53" s="101"/>
      <c r="E53" s="101"/>
      <c r="F53" s="102"/>
      <c r="G53" s="103"/>
      <c r="H53" s="150"/>
      <c r="I53" s="55"/>
      <c r="J53" s="105"/>
      <c r="K53" s="55"/>
      <c r="L53" s="65"/>
      <c r="M53" s="55"/>
      <c r="N53" s="55"/>
      <c r="O53" s="55"/>
      <c r="P53" s="55"/>
      <c r="Q53" s="55"/>
      <c r="R53" s="55"/>
      <c r="S53" s="55"/>
      <c r="T53" s="55"/>
    </row>
    <row x14ac:dyDescent="0.25" r="54" customHeight="1" ht="17.25">
      <c r="A54" s="55"/>
      <c r="B54" s="100"/>
      <c r="C54" s="55"/>
      <c r="D54" s="101"/>
      <c r="E54" s="101"/>
      <c r="F54" s="102"/>
      <c r="G54" s="103"/>
      <c r="H54" s="150"/>
      <c r="I54" s="55"/>
      <c r="J54" s="105"/>
      <c r="K54" s="55"/>
      <c r="L54" s="65"/>
      <c r="M54" s="55"/>
      <c r="N54" s="55"/>
      <c r="O54" s="55"/>
      <c r="P54" s="55"/>
      <c r="Q54" s="55"/>
      <c r="R54" s="55"/>
      <c r="S54" s="55"/>
      <c r="T54" s="55"/>
    </row>
    <row x14ac:dyDescent="0.25" r="55" customHeight="1" ht="17.25">
      <c r="A55" s="55"/>
      <c r="B55" s="100"/>
      <c r="C55" s="55"/>
      <c r="D55" s="101"/>
      <c r="E55" s="101"/>
      <c r="F55" s="102"/>
      <c r="G55" s="103"/>
      <c r="H55" s="150"/>
      <c r="I55" s="55"/>
      <c r="J55" s="105"/>
      <c r="K55" s="55"/>
      <c r="L55" s="65"/>
      <c r="M55" s="55"/>
      <c r="N55" s="55"/>
      <c r="O55" s="55"/>
      <c r="P55" s="55"/>
      <c r="Q55" s="55"/>
      <c r="R55" s="55"/>
      <c r="S55" s="55"/>
      <c r="T55" s="55"/>
    </row>
    <row x14ac:dyDescent="0.25" r="56" customHeight="1" ht="17.25">
      <c r="A56" s="55"/>
      <c r="B56" s="100"/>
      <c r="C56" s="55"/>
      <c r="D56" s="101"/>
      <c r="E56" s="101"/>
      <c r="F56" s="102"/>
      <c r="G56" s="103"/>
      <c r="H56" s="150"/>
      <c r="I56" s="55"/>
      <c r="J56" s="105"/>
      <c r="K56" s="55"/>
      <c r="L56" s="65"/>
      <c r="M56" s="55"/>
      <c r="N56" s="55"/>
      <c r="O56" s="55"/>
      <c r="P56" s="55"/>
      <c r="Q56" s="55"/>
      <c r="R56" s="55"/>
      <c r="S56" s="55"/>
      <c r="T56" s="55"/>
    </row>
    <row x14ac:dyDescent="0.25" r="57" customHeight="1" ht="17.25">
      <c r="A57" s="55"/>
      <c r="B57" s="100"/>
      <c r="C57" s="55"/>
      <c r="D57" s="101"/>
      <c r="E57" s="101"/>
      <c r="F57" s="102"/>
      <c r="G57" s="103"/>
      <c r="H57" s="150"/>
      <c r="I57" s="55"/>
      <c r="J57" s="105"/>
      <c r="K57" s="55"/>
      <c r="L57" s="65"/>
      <c r="M57" s="55"/>
      <c r="N57" s="55"/>
      <c r="O57" s="55"/>
      <c r="P57" s="55"/>
      <c r="Q57" s="55"/>
      <c r="R57" s="55"/>
      <c r="S57" s="55"/>
      <c r="T57" s="55"/>
    </row>
    <row x14ac:dyDescent="0.25" r="58" customHeight="1" ht="17.25">
      <c r="A58" s="55"/>
      <c r="B58" s="100"/>
      <c r="C58" s="55"/>
      <c r="D58" s="101"/>
      <c r="E58" s="101"/>
      <c r="F58" s="102"/>
      <c r="G58" s="103"/>
      <c r="H58" s="150"/>
      <c r="I58" s="55"/>
      <c r="J58" s="105"/>
      <c r="K58" s="55"/>
      <c r="L58" s="65"/>
      <c r="M58" s="55"/>
      <c r="N58" s="55"/>
      <c r="O58" s="55"/>
      <c r="P58" s="55"/>
      <c r="Q58" s="55"/>
      <c r="R58" s="55"/>
      <c r="S58" s="55"/>
      <c r="T58" s="55"/>
    </row>
    <row x14ac:dyDescent="0.25" r="59" customHeight="1" ht="17.25">
      <c r="A59" s="55"/>
      <c r="B59" s="100"/>
      <c r="C59" s="55"/>
      <c r="D59" s="101"/>
      <c r="E59" s="101"/>
      <c r="F59" s="102"/>
      <c r="G59" s="103"/>
      <c r="H59" s="150"/>
      <c r="I59" s="55"/>
      <c r="J59" s="105"/>
      <c r="K59" s="55"/>
      <c r="L59" s="65"/>
      <c r="M59" s="55"/>
      <c r="N59" s="55"/>
      <c r="O59" s="55"/>
      <c r="P59" s="55"/>
      <c r="Q59" s="55"/>
      <c r="R59" s="55"/>
      <c r="S59" s="55"/>
      <c r="T59" s="55"/>
    </row>
    <row x14ac:dyDescent="0.25" r="60" customHeight="1" ht="17.25">
      <c r="A60" s="55"/>
      <c r="B60" s="100"/>
      <c r="C60" s="55"/>
      <c r="D60" s="101"/>
      <c r="E60" s="101"/>
      <c r="F60" s="102"/>
      <c r="G60" s="103"/>
      <c r="H60" s="150"/>
      <c r="I60" s="55"/>
      <c r="J60" s="105"/>
      <c r="K60" s="55"/>
      <c r="L60" s="65"/>
      <c r="M60" s="55"/>
      <c r="N60" s="55"/>
      <c r="O60" s="55"/>
      <c r="P60" s="55"/>
      <c r="Q60" s="55"/>
      <c r="R60" s="55"/>
      <c r="S60" s="55"/>
      <c r="T60" s="55"/>
    </row>
    <row x14ac:dyDescent="0.25" r="61" customHeight="1" ht="17.25">
      <c r="A61" s="55"/>
      <c r="B61" s="100"/>
      <c r="C61" s="55"/>
      <c r="D61" s="101"/>
      <c r="E61" s="101"/>
      <c r="F61" s="102"/>
      <c r="G61" s="103"/>
      <c r="H61" s="150"/>
      <c r="I61" s="55"/>
      <c r="J61" s="105"/>
      <c r="K61" s="55"/>
      <c r="L61" s="65"/>
      <c r="M61" s="55"/>
      <c r="N61" s="55"/>
      <c r="O61" s="55"/>
      <c r="P61" s="55"/>
      <c r="Q61" s="55"/>
      <c r="R61" s="55"/>
      <c r="S61" s="55"/>
      <c r="T61" s="55"/>
    </row>
    <row x14ac:dyDescent="0.25" r="62" customHeight="1" ht="17.25">
      <c r="A62" s="55"/>
      <c r="B62" s="100"/>
      <c r="C62" s="55"/>
      <c r="D62" s="101"/>
      <c r="E62" s="101"/>
      <c r="F62" s="102"/>
      <c r="G62" s="103"/>
      <c r="H62" s="150"/>
      <c r="I62" s="55"/>
      <c r="J62" s="105"/>
      <c r="K62" s="55"/>
      <c r="L62" s="65"/>
      <c r="M62" s="55"/>
      <c r="N62" s="55"/>
      <c r="O62" s="55"/>
      <c r="P62" s="55"/>
      <c r="Q62" s="55"/>
      <c r="R62" s="55"/>
      <c r="S62" s="55"/>
      <c r="T62" s="55"/>
    </row>
    <row x14ac:dyDescent="0.25" r="63" customHeight="1" ht="17.25">
      <c r="A63" s="55"/>
      <c r="B63" s="100"/>
      <c r="C63" s="55"/>
      <c r="D63" s="101"/>
      <c r="E63" s="101"/>
      <c r="F63" s="102"/>
      <c r="G63" s="103"/>
      <c r="H63" s="150"/>
      <c r="I63" s="55"/>
      <c r="J63" s="105"/>
      <c r="K63" s="55"/>
      <c r="L63" s="65"/>
      <c r="M63" s="55"/>
      <c r="N63" s="55"/>
      <c r="O63" s="55"/>
      <c r="P63" s="55"/>
      <c r="Q63" s="55"/>
      <c r="R63" s="55"/>
      <c r="S63" s="55"/>
      <c r="T63" s="55"/>
    </row>
    <row x14ac:dyDescent="0.25" r="64" customHeight="1" ht="17.25">
      <c r="A64" s="55"/>
      <c r="B64" s="100"/>
      <c r="C64" s="55"/>
      <c r="D64" s="101"/>
      <c r="E64" s="101"/>
      <c r="F64" s="102"/>
      <c r="G64" s="103"/>
      <c r="H64" s="150"/>
      <c r="I64" s="55"/>
      <c r="J64" s="105"/>
      <c r="K64" s="55"/>
      <c r="L64" s="65"/>
      <c r="M64" s="55"/>
      <c r="N64" s="55"/>
      <c r="O64" s="55"/>
      <c r="P64" s="55"/>
      <c r="Q64" s="55"/>
      <c r="R64" s="55"/>
      <c r="S64" s="55"/>
      <c r="T64" s="55"/>
    </row>
    <row x14ac:dyDescent="0.25" r="65" customHeight="1" ht="17.25">
      <c r="A65" s="55"/>
      <c r="B65" s="100"/>
      <c r="C65" s="55"/>
      <c r="D65" s="101"/>
      <c r="E65" s="101"/>
      <c r="F65" s="102"/>
      <c r="G65" s="103"/>
      <c r="H65" s="150"/>
      <c r="I65" s="55"/>
      <c r="J65" s="105"/>
      <c r="K65" s="55"/>
      <c r="L65" s="65"/>
      <c r="M65" s="55"/>
      <c r="N65" s="55"/>
      <c r="O65" s="55"/>
      <c r="P65" s="55"/>
      <c r="Q65" s="55"/>
      <c r="R65" s="55"/>
      <c r="S65" s="55"/>
      <c r="T65" s="55"/>
    </row>
    <row x14ac:dyDescent="0.25" r="66" customHeight="1" ht="17.25">
      <c r="A66" s="55"/>
      <c r="B66" s="100"/>
      <c r="C66" s="55"/>
      <c r="D66" s="101"/>
      <c r="E66" s="101"/>
      <c r="F66" s="102"/>
      <c r="G66" s="103"/>
      <c r="H66" s="150"/>
      <c r="I66" s="55"/>
      <c r="J66" s="105"/>
      <c r="K66" s="55"/>
      <c r="L66" s="65"/>
      <c r="M66" s="55"/>
      <c r="N66" s="55"/>
      <c r="O66" s="55"/>
      <c r="P66" s="55"/>
      <c r="Q66" s="55"/>
      <c r="R66" s="55"/>
      <c r="S66" s="55"/>
      <c r="T66" s="55"/>
    </row>
    <row x14ac:dyDescent="0.25" r="67" customHeight="1" ht="17.25">
      <c r="A67" s="55"/>
      <c r="B67" s="100"/>
      <c r="C67" s="55"/>
      <c r="D67" s="101"/>
      <c r="E67" s="101"/>
      <c r="F67" s="102"/>
      <c r="G67" s="103"/>
      <c r="H67" s="150"/>
      <c r="I67" s="55"/>
      <c r="J67" s="105"/>
      <c r="K67" s="55"/>
      <c r="L67" s="65"/>
      <c r="M67" s="55"/>
      <c r="N67" s="55"/>
      <c r="O67" s="55"/>
      <c r="P67" s="55"/>
      <c r="Q67" s="55"/>
      <c r="R67" s="55"/>
      <c r="S67" s="55"/>
      <c r="T67" s="55"/>
    </row>
    <row x14ac:dyDescent="0.25" r="68" customHeight="1" ht="17.25">
      <c r="A68" s="55"/>
      <c r="B68" s="100"/>
      <c r="C68" s="55"/>
      <c r="D68" s="101"/>
      <c r="E68" s="101"/>
      <c r="F68" s="102"/>
      <c r="G68" s="103"/>
      <c r="H68" s="150"/>
      <c r="I68" s="55"/>
      <c r="J68" s="105"/>
      <c r="K68" s="55"/>
      <c r="L68" s="65"/>
      <c r="M68" s="55"/>
      <c r="N68" s="55"/>
      <c r="O68" s="55"/>
      <c r="P68" s="55"/>
      <c r="Q68" s="55"/>
      <c r="R68" s="55"/>
      <c r="S68" s="55"/>
      <c r="T68" s="55"/>
    </row>
    <row x14ac:dyDescent="0.25" r="69" customHeight="1" ht="17.25">
      <c r="A69" s="55"/>
      <c r="B69" s="100"/>
      <c r="C69" s="55"/>
      <c r="D69" s="101"/>
      <c r="E69" s="101"/>
      <c r="F69" s="102"/>
      <c r="G69" s="103"/>
      <c r="H69" s="150"/>
      <c r="I69" s="55"/>
      <c r="J69" s="105"/>
      <c r="K69" s="55"/>
      <c r="L69" s="65"/>
      <c r="M69" s="55"/>
      <c r="N69" s="55"/>
      <c r="O69" s="55"/>
      <c r="P69" s="55"/>
      <c r="Q69" s="55"/>
      <c r="R69" s="55"/>
      <c r="S69" s="55"/>
      <c r="T69" s="55"/>
    </row>
    <row x14ac:dyDescent="0.25" r="70" customHeight="1" ht="17.25">
      <c r="A70" s="55"/>
      <c r="B70" s="100"/>
      <c r="C70" s="55"/>
      <c r="D70" s="101"/>
      <c r="E70" s="101"/>
      <c r="F70" s="102"/>
      <c r="G70" s="103"/>
      <c r="H70" s="150"/>
      <c r="I70" s="55"/>
      <c r="J70" s="105"/>
      <c r="K70" s="55"/>
      <c r="L70" s="65"/>
      <c r="M70" s="55"/>
      <c r="N70" s="55"/>
      <c r="O70" s="55"/>
      <c r="P70" s="55"/>
      <c r="Q70" s="55"/>
      <c r="R70" s="55"/>
      <c r="S70" s="55"/>
      <c r="T70" s="55"/>
    </row>
    <row x14ac:dyDescent="0.25" r="71" customHeight="1" ht="17.25">
      <c r="A71" s="55"/>
      <c r="B71" s="100"/>
      <c r="C71" s="55"/>
      <c r="D71" s="101"/>
      <c r="E71" s="101"/>
      <c r="F71" s="102"/>
      <c r="G71" s="103"/>
      <c r="H71" s="150"/>
      <c r="I71" s="55"/>
      <c r="J71" s="105"/>
      <c r="K71" s="55"/>
      <c r="L71" s="65"/>
      <c r="M71" s="55"/>
      <c r="N71" s="55"/>
      <c r="O71" s="55"/>
      <c r="P71" s="55"/>
      <c r="Q71" s="55"/>
      <c r="R71" s="55"/>
      <c r="S71" s="55"/>
      <c r="T71" s="55"/>
    </row>
    <row x14ac:dyDescent="0.25" r="72" customHeight="1" ht="17.25">
      <c r="A72" s="55"/>
      <c r="B72" s="100"/>
      <c r="C72" s="55"/>
      <c r="D72" s="101"/>
      <c r="E72" s="101"/>
      <c r="F72" s="102"/>
      <c r="G72" s="103"/>
      <c r="H72" s="150"/>
      <c r="I72" s="55"/>
      <c r="J72" s="105"/>
      <c r="K72" s="55"/>
      <c r="L72" s="65"/>
      <c r="M72" s="55"/>
      <c r="N72" s="55"/>
      <c r="O72" s="55"/>
      <c r="P72" s="55"/>
      <c r="Q72" s="55"/>
      <c r="R72" s="55"/>
      <c r="S72" s="55"/>
      <c r="T72" s="55"/>
    </row>
    <row x14ac:dyDescent="0.25" r="73" customHeight="1" ht="17.25">
      <c r="A73" s="55"/>
      <c r="B73" s="100"/>
      <c r="C73" s="55"/>
      <c r="D73" s="101"/>
      <c r="E73" s="101"/>
      <c r="F73" s="102"/>
      <c r="G73" s="103"/>
      <c r="H73" s="150"/>
      <c r="I73" s="55"/>
      <c r="J73" s="105"/>
      <c r="K73" s="55"/>
      <c r="L73" s="65"/>
      <c r="M73" s="55"/>
      <c r="N73" s="55"/>
      <c r="O73" s="55"/>
      <c r="P73" s="55"/>
      <c r="Q73" s="55"/>
      <c r="R73" s="55"/>
      <c r="S73" s="55"/>
      <c r="T73" s="55"/>
    </row>
    <row x14ac:dyDescent="0.25" r="74" customHeight="1" ht="17.25">
      <c r="A74" s="55"/>
      <c r="B74" s="100"/>
      <c r="C74" s="55"/>
      <c r="D74" s="101"/>
      <c r="E74" s="101"/>
      <c r="F74" s="102"/>
      <c r="G74" s="103"/>
      <c r="H74" s="150"/>
      <c r="I74" s="55"/>
      <c r="J74" s="105"/>
      <c r="K74" s="55"/>
      <c r="L74" s="65"/>
      <c r="M74" s="55"/>
      <c r="N74" s="55"/>
      <c r="O74" s="55"/>
      <c r="P74" s="55"/>
      <c r="Q74" s="55"/>
      <c r="R74" s="55"/>
      <c r="S74" s="55"/>
      <c r="T74" s="55"/>
    </row>
    <row x14ac:dyDescent="0.25" r="75" customHeight="1" ht="17.25">
      <c r="A75" s="55"/>
      <c r="B75" s="100"/>
      <c r="C75" s="55"/>
      <c r="D75" s="101"/>
      <c r="E75" s="101"/>
      <c r="F75" s="102"/>
      <c r="G75" s="103"/>
      <c r="H75" s="150"/>
      <c r="I75" s="55"/>
      <c r="J75" s="105"/>
      <c r="K75" s="55"/>
      <c r="L75" s="65"/>
      <c r="M75" s="55"/>
      <c r="N75" s="55"/>
      <c r="O75" s="55"/>
      <c r="P75" s="55"/>
      <c r="Q75" s="55"/>
      <c r="R75" s="55"/>
      <c r="S75" s="55"/>
      <c r="T75" s="55"/>
    </row>
    <row x14ac:dyDescent="0.25" r="76" customHeight="1" ht="17.25">
      <c r="A76" s="55"/>
      <c r="B76" s="100"/>
      <c r="C76" s="55"/>
      <c r="D76" s="101"/>
      <c r="E76" s="101"/>
      <c r="F76" s="102"/>
      <c r="G76" s="103"/>
      <c r="H76" s="150"/>
      <c r="I76" s="55"/>
      <c r="J76" s="105"/>
      <c r="K76" s="55"/>
      <c r="L76" s="65"/>
      <c r="M76" s="55"/>
      <c r="N76" s="55"/>
      <c r="O76" s="55"/>
      <c r="P76" s="55"/>
      <c r="Q76" s="55"/>
      <c r="R76" s="55"/>
      <c r="S76" s="55"/>
      <c r="T76" s="55"/>
    </row>
    <row x14ac:dyDescent="0.25" r="77" customHeight="1" ht="17.25">
      <c r="A77" s="55"/>
      <c r="B77" s="100"/>
      <c r="C77" s="55"/>
      <c r="D77" s="101"/>
      <c r="E77" s="101"/>
      <c r="F77" s="102"/>
      <c r="G77" s="103"/>
      <c r="H77" s="150"/>
      <c r="I77" s="55"/>
      <c r="J77" s="105"/>
      <c r="K77" s="55"/>
      <c r="L77" s="65"/>
      <c r="M77" s="55"/>
      <c r="N77" s="55"/>
      <c r="O77" s="55"/>
      <c r="P77" s="55"/>
      <c r="Q77" s="55"/>
      <c r="R77" s="55"/>
      <c r="S77" s="55"/>
      <c r="T77" s="55"/>
    </row>
    <row x14ac:dyDescent="0.25" r="78" customHeight="1" ht="17.25">
      <c r="A78" s="55"/>
      <c r="B78" s="100"/>
      <c r="C78" s="55"/>
      <c r="D78" s="101"/>
      <c r="E78" s="101"/>
      <c r="F78" s="102"/>
      <c r="G78" s="103"/>
      <c r="H78" s="150"/>
      <c r="I78" s="55"/>
      <c r="J78" s="105"/>
      <c r="K78" s="55"/>
      <c r="L78" s="65"/>
      <c r="M78" s="55"/>
      <c r="N78" s="55"/>
      <c r="O78" s="55"/>
      <c r="P78" s="55"/>
      <c r="Q78" s="55"/>
      <c r="R78" s="55"/>
      <c r="S78" s="55"/>
      <c r="T78" s="55"/>
    </row>
    <row x14ac:dyDescent="0.25" r="79" customHeight="1" ht="17.25">
      <c r="A79" s="55"/>
      <c r="B79" s="100"/>
      <c r="C79" s="55"/>
      <c r="D79" s="101"/>
      <c r="E79" s="101"/>
      <c r="F79" s="102"/>
      <c r="G79" s="103"/>
      <c r="H79" s="150"/>
      <c r="I79" s="55"/>
      <c r="J79" s="105"/>
      <c r="K79" s="55"/>
      <c r="L79" s="65"/>
      <c r="M79" s="55"/>
      <c r="N79" s="55"/>
      <c r="O79" s="55"/>
      <c r="P79" s="55"/>
      <c r="Q79" s="55"/>
      <c r="R79" s="55"/>
      <c r="S79" s="55"/>
      <c r="T79" s="55"/>
    </row>
    <row x14ac:dyDescent="0.25" r="80" customHeight="1" ht="17.25">
      <c r="A80" s="55"/>
      <c r="B80" s="100"/>
      <c r="C80" s="55"/>
      <c r="D80" s="101"/>
      <c r="E80" s="101"/>
      <c r="F80" s="102"/>
      <c r="G80" s="103"/>
      <c r="H80" s="150"/>
      <c r="I80" s="55"/>
      <c r="J80" s="105"/>
      <c r="K80" s="55"/>
      <c r="L80" s="65"/>
      <c r="M80" s="55"/>
      <c r="N80" s="55"/>
      <c r="O80" s="55"/>
      <c r="P80" s="55"/>
      <c r="Q80" s="55"/>
      <c r="R80" s="55"/>
      <c r="S80" s="55"/>
      <c r="T80" s="55"/>
    </row>
    <row x14ac:dyDescent="0.25" r="81" customHeight="1" ht="17.25">
      <c r="A81" s="55"/>
      <c r="B81" s="100"/>
      <c r="C81" s="55"/>
      <c r="D81" s="101"/>
      <c r="E81" s="101"/>
      <c r="F81" s="102"/>
      <c r="G81" s="103"/>
      <c r="H81" s="150"/>
      <c r="I81" s="55"/>
      <c r="J81" s="105"/>
      <c r="K81" s="55"/>
      <c r="L81" s="65"/>
      <c r="M81" s="55"/>
      <c r="N81" s="55"/>
      <c r="O81" s="55"/>
      <c r="P81" s="55"/>
      <c r="Q81" s="55"/>
      <c r="R81" s="55"/>
      <c r="S81" s="55"/>
      <c r="T81" s="55"/>
    </row>
    <row x14ac:dyDescent="0.25" r="82" customHeight="1" ht="17.25">
      <c r="A82" s="55"/>
      <c r="B82" s="100"/>
      <c r="C82" s="55"/>
      <c r="D82" s="101"/>
      <c r="E82" s="101"/>
      <c r="F82" s="102"/>
      <c r="G82" s="103"/>
      <c r="H82" s="150"/>
      <c r="I82" s="55"/>
      <c r="J82" s="105"/>
      <c r="K82" s="55"/>
      <c r="L82" s="65"/>
      <c r="M82" s="55"/>
      <c r="N82" s="55"/>
      <c r="O82" s="55"/>
      <c r="P82" s="55"/>
      <c r="Q82" s="55"/>
      <c r="R82" s="55"/>
      <c r="S82" s="55"/>
      <c r="T82" s="55"/>
    </row>
    <row x14ac:dyDescent="0.25" r="83" customHeight="1" ht="17.25">
      <c r="A83" s="55"/>
      <c r="B83" s="100"/>
      <c r="C83" s="55"/>
      <c r="D83" s="101"/>
      <c r="E83" s="101"/>
      <c r="F83" s="102"/>
      <c r="G83" s="103"/>
      <c r="H83" s="150"/>
      <c r="I83" s="55"/>
      <c r="J83" s="105"/>
      <c r="K83" s="55"/>
      <c r="L83" s="65"/>
      <c r="M83" s="55"/>
      <c r="N83" s="55"/>
      <c r="O83" s="55"/>
      <c r="P83" s="55"/>
      <c r="Q83" s="55"/>
      <c r="R83" s="55"/>
      <c r="S83" s="55"/>
      <c r="T83" s="55"/>
    </row>
    <row x14ac:dyDescent="0.25" r="84" customHeight="1" ht="17.25">
      <c r="A84" s="55"/>
      <c r="B84" s="100"/>
      <c r="C84" s="55"/>
      <c r="D84" s="101"/>
      <c r="E84" s="101"/>
      <c r="F84" s="102"/>
      <c r="G84" s="103"/>
      <c r="H84" s="150"/>
      <c r="I84" s="55"/>
      <c r="J84" s="105"/>
      <c r="K84" s="55"/>
      <c r="L84" s="65"/>
      <c r="M84" s="55"/>
      <c r="N84" s="55"/>
      <c r="O84" s="55"/>
      <c r="P84" s="55"/>
      <c r="Q84" s="55"/>
      <c r="R84" s="55"/>
      <c r="S84" s="55"/>
      <c r="T84" s="55"/>
    </row>
    <row x14ac:dyDescent="0.25" r="85" customHeight="1" ht="17.25">
      <c r="A85" s="55"/>
      <c r="B85" s="100"/>
      <c r="C85" s="55"/>
      <c r="D85" s="101"/>
      <c r="E85" s="101"/>
      <c r="F85" s="102"/>
      <c r="G85" s="103"/>
      <c r="H85" s="150"/>
      <c r="I85" s="55"/>
      <c r="J85" s="105"/>
      <c r="K85" s="55"/>
      <c r="L85" s="65"/>
      <c r="M85" s="55"/>
      <c r="N85" s="55"/>
      <c r="O85" s="55"/>
      <c r="P85" s="55"/>
      <c r="Q85" s="55"/>
      <c r="R85" s="55"/>
      <c r="S85" s="55"/>
      <c r="T85" s="55"/>
    </row>
    <row x14ac:dyDescent="0.25" r="86" customHeight="1" ht="17.25">
      <c r="A86" s="55"/>
      <c r="B86" s="100"/>
      <c r="C86" s="55"/>
      <c r="D86" s="101"/>
      <c r="E86" s="101"/>
      <c r="F86" s="102"/>
      <c r="G86" s="103"/>
      <c r="H86" s="150"/>
      <c r="I86" s="55"/>
      <c r="J86" s="105"/>
      <c r="K86" s="55"/>
      <c r="L86" s="65"/>
      <c r="M86" s="55"/>
      <c r="N86" s="55"/>
      <c r="O86" s="55"/>
      <c r="P86" s="55"/>
      <c r="Q86" s="55"/>
      <c r="R86" s="55"/>
      <c r="S86" s="55"/>
      <c r="T86" s="55"/>
    </row>
    <row x14ac:dyDescent="0.25" r="87" customHeight="1" ht="17.25">
      <c r="A87" s="55"/>
      <c r="B87" s="100"/>
      <c r="C87" s="55"/>
      <c r="D87" s="101"/>
      <c r="E87" s="101"/>
      <c r="F87" s="102"/>
      <c r="G87" s="103"/>
      <c r="H87" s="150"/>
      <c r="I87" s="55"/>
      <c r="J87" s="105"/>
      <c r="K87" s="55"/>
      <c r="L87" s="65"/>
      <c r="M87" s="55"/>
      <c r="N87" s="55"/>
      <c r="O87" s="55"/>
      <c r="P87" s="55"/>
      <c r="Q87" s="55"/>
      <c r="R87" s="55"/>
      <c r="S87" s="55"/>
      <c r="T87" s="55"/>
    </row>
    <row x14ac:dyDescent="0.25" r="88" customHeight="1" ht="17.25">
      <c r="A88" s="55"/>
      <c r="B88" s="100"/>
      <c r="C88" s="55"/>
      <c r="D88" s="101"/>
      <c r="E88" s="101"/>
      <c r="F88" s="102"/>
      <c r="G88" s="103"/>
      <c r="H88" s="150"/>
      <c r="I88" s="55"/>
      <c r="J88" s="105"/>
      <c r="K88" s="55"/>
      <c r="L88" s="65"/>
      <c r="M88" s="55"/>
      <c r="N88" s="55"/>
      <c r="O88" s="55"/>
      <c r="P88" s="55"/>
      <c r="Q88" s="55"/>
      <c r="R88" s="55"/>
      <c r="S88" s="55"/>
      <c r="T88" s="55"/>
    </row>
    <row x14ac:dyDescent="0.25" r="89" customHeight="1" ht="17.25">
      <c r="A89" s="55"/>
      <c r="B89" s="100"/>
      <c r="C89" s="55"/>
      <c r="D89" s="101"/>
      <c r="E89" s="101"/>
      <c r="F89" s="102"/>
      <c r="G89" s="103"/>
      <c r="H89" s="150"/>
      <c r="I89" s="55"/>
      <c r="J89" s="105"/>
      <c r="K89" s="55"/>
      <c r="L89" s="65"/>
      <c r="M89" s="55"/>
      <c r="N89" s="55"/>
      <c r="O89" s="55"/>
      <c r="P89" s="55"/>
      <c r="Q89" s="55"/>
      <c r="R89" s="55"/>
      <c r="S89" s="55"/>
      <c r="T89" s="55"/>
    </row>
    <row x14ac:dyDescent="0.25" r="90" customHeight="1" ht="17.25">
      <c r="A90" s="55"/>
      <c r="B90" s="100"/>
      <c r="C90" s="55"/>
      <c r="D90" s="101"/>
      <c r="E90" s="101"/>
      <c r="F90" s="102"/>
      <c r="G90" s="103"/>
      <c r="H90" s="150"/>
      <c r="I90" s="55"/>
      <c r="J90" s="105"/>
      <c r="K90" s="55"/>
      <c r="L90" s="65"/>
      <c r="M90" s="55"/>
      <c r="N90" s="55"/>
      <c r="O90" s="55"/>
      <c r="P90" s="55"/>
      <c r="Q90" s="55"/>
      <c r="R90" s="55"/>
      <c r="S90" s="55"/>
      <c r="T90" s="55"/>
    </row>
    <row x14ac:dyDescent="0.25" r="91" customHeight="1" ht="17.25">
      <c r="A91" s="55"/>
      <c r="B91" s="100"/>
      <c r="C91" s="55"/>
      <c r="D91" s="101"/>
      <c r="E91" s="101"/>
      <c r="F91" s="102"/>
      <c r="G91" s="103"/>
      <c r="H91" s="150"/>
      <c r="I91" s="55"/>
      <c r="J91" s="105"/>
      <c r="K91" s="55"/>
      <c r="L91" s="65"/>
      <c r="M91" s="55"/>
      <c r="N91" s="55"/>
      <c r="O91" s="55"/>
      <c r="P91" s="55"/>
      <c r="Q91" s="55"/>
      <c r="R91" s="55"/>
      <c r="S91" s="55"/>
      <c r="T91" s="55"/>
    </row>
    <row x14ac:dyDescent="0.25" r="92" customHeight="1" ht="17.25">
      <c r="A92" s="55"/>
      <c r="B92" s="100"/>
      <c r="C92" s="55"/>
      <c r="D92" s="101"/>
      <c r="E92" s="101"/>
      <c r="F92" s="102"/>
      <c r="G92" s="103"/>
      <c r="H92" s="150"/>
      <c r="I92" s="55"/>
      <c r="J92" s="105"/>
      <c r="K92" s="55"/>
      <c r="L92" s="65"/>
      <c r="M92" s="55"/>
      <c r="N92" s="55"/>
      <c r="O92" s="55"/>
      <c r="P92" s="55"/>
      <c r="Q92" s="55"/>
      <c r="R92" s="55"/>
      <c r="S92" s="55"/>
      <c r="T92" s="55"/>
    </row>
    <row x14ac:dyDescent="0.25" r="93" customHeight="1" ht="17.25">
      <c r="A93" s="55"/>
      <c r="B93" s="100"/>
      <c r="C93" s="55"/>
      <c r="D93" s="101"/>
      <c r="E93" s="101"/>
      <c r="F93" s="102"/>
      <c r="G93" s="103"/>
      <c r="H93" s="150"/>
      <c r="I93" s="55"/>
      <c r="J93" s="105"/>
      <c r="K93" s="55"/>
      <c r="L93" s="65"/>
      <c r="M93" s="55"/>
      <c r="N93" s="55"/>
      <c r="O93" s="55"/>
      <c r="P93" s="55"/>
      <c r="Q93" s="55"/>
      <c r="R93" s="55"/>
      <c r="S93" s="55"/>
      <c r="T93" s="55"/>
    </row>
    <row x14ac:dyDescent="0.25" r="94" customHeight="1" ht="17.25">
      <c r="A94" s="55"/>
      <c r="B94" s="100"/>
      <c r="C94" s="55"/>
      <c r="D94" s="101"/>
      <c r="E94" s="101"/>
      <c r="F94" s="102"/>
      <c r="G94" s="103"/>
      <c r="H94" s="150"/>
      <c r="I94" s="55"/>
      <c r="J94" s="105"/>
      <c r="K94" s="55"/>
      <c r="L94" s="65"/>
      <c r="M94" s="55"/>
      <c r="N94" s="55"/>
      <c r="O94" s="55"/>
      <c r="P94" s="55"/>
      <c r="Q94" s="55"/>
      <c r="R94" s="55"/>
      <c r="S94" s="55"/>
      <c r="T94" s="55"/>
    </row>
    <row x14ac:dyDescent="0.25" r="95" customHeight="1" ht="17.25">
      <c r="A95" s="55"/>
      <c r="B95" s="100"/>
      <c r="C95" s="55"/>
      <c r="D95" s="101"/>
      <c r="E95" s="101"/>
      <c r="F95" s="102"/>
      <c r="G95" s="103"/>
      <c r="H95" s="150"/>
      <c r="I95" s="55"/>
      <c r="J95" s="105"/>
      <c r="K95" s="55"/>
      <c r="L95" s="65"/>
      <c r="M95" s="55"/>
      <c r="N95" s="55"/>
      <c r="O95" s="55"/>
      <c r="P95" s="55"/>
      <c r="Q95" s="55"/>
      <c r="R95" s="55"/>
      <c r="S95" s="55"/>
      <c r="T95" s="55"/>
    </row>
    <row x14ac:dyDescent="0.25" r="96" customHeight="1" ht="17.25">
      <c r="A96" s="55"/>
      <c r="B96" s="100"/>
      <c r="C96" s="55"/>
      <c r="D96" s="101"/>
      <c r="E96" s="101"/>
      <c r="F96" s="102"/>
      <c r="G96" s="103"/>
      <c r="H96" s="150"/>
      <c r="I96" s="55"/>
      <c r="J96" s="105"/>
      <c r="K96" s="55"/>
      <c r="L96" s="65"/>
      <c r="M96" s="55"/>
      <c r="N96" s="55"/>
      <c r="O96" s="55"/>
      <c r="P96" s="55"/>
      <c r="Q96" s="55"/>
      <c r="R96" s="55"/>
      <c r="S96" s="55"/>
      <c r="T96" s="55"/>
    </row>
    <row x14ac:dyDescent="0.25" r="97" customHeight="1" ht="17.25">
      <c r="A97" s="55"/>
      <c r="B97" s="100"/>
      <c r="C97" s="55"/>
      <c r="D97" s="101"/>
      <c r="E97" s="101"/>
      <c r="F97" s="102"/>
      <c r="G97" s="103"/>
      <c r="H97" s="150"/>
      <c r="I97" s="55"/>
      <c r="J97" s="105"/>
      <c r="K97" s="55"/>
      <c r="L97" s="65"/>
      <c r="M97" s="55"/>
      <c r="N97" s="55"/>
      <c r="O97" s="55"/>
      <c r="P97" s="55"/>
      <c r="Q97" s="55"/>
      <c r="R97" s="55"/>
      <c r="S97" s="55"/>
      <c r="T97" s="55"/>
    </row>
    <row x14ac:dyDescent="0.25" r="98" customHeight="1" ht="17.25">
      <c r="A98" s="55"/>
      <c r="B98" s="100"/>
      <c r="C98" s="55"/>
      <c r="D98" s="101"/>
      <c r="E98" s="101"/>
      <c r="F98" s="102"/>
      <c r="G98" s="103"/>
      <c r="H98" s="150"/>
      <c r="I98" s="55"/>
      <c r="J98" s="105"/>
      <c r="K98" s="55"/>
      <c r="L98" s="65"/>
      <c r="M98" s="55"/>
      <c r="N98" s="55"/>
      <c r="O98" s="55"/>
      <c r="P98" s="55"/>
      <c r="Q98" s="55"/>
      <c r="R98" s="55"/>
      <c r="S98" s="55"/>
      <c r="T98" s="55"/>
    </row>
    <row x14ac:dyDescent="0.25" r="99" customHeight="1" ht="17.25">
      <c r="A99" s="55"/>
      <c r="B99" s="100"/>
      <c r="C99" s="55"/>
      <c r="D99" s="101"/>
      <c r="E99" s="101"/>
      <c r="F99" s="102"/>
      <c r="G99" s="103"/>
      <c r="H99" s="150"/>
      <c r="I99" s="55"/>
      <c r="J99" s="105"/>
      <c r="K99" s="55"/>
      <c r="L99" s="65"/>
      <c r="M99" s="55"/>
      <c r="N99" s="55"/>
      <c r="O99" s="55"/>
      <c r="P99" s="55"/>
      <c r="Q99" s="55"/>
      <c r="R99" s="55"/>
      <c r="S99" s="55"/>
      <c r="T99" s="55"/>
    </row>
    <row x14ac:dyDescent="0.25" r="100" customHeight="1" ht="17.25">
      <c r="A100" s="55"/>
      <c r="B100" s="100"/>
      <c r="C100" s="55"/>
      <c r="D100" s="101"/>
      <c r="E100" s="101"/>
      <c r="F100" s="102"/>
      <c r="G100" s="103"/>
      <c r="H100" s="150"/>
      <c r="I100" s="55"/>
      <c r="J100" s="105"/>
      <c r="K100" s="55"/>
      <c r="L100" s="65"/>
      <c r="M100" s="55"/>
      <c r="N100" s="55"/>
      <c r="O100" s="55"/>
      <c r="P100" s="55"/>
      <c r="Q100" s="55"/>
      <c r="R100" s="55"/>
      <c r="S100" s="55"/>
      <c r="T100" s="55"/>
    </row>
    <row x14ac:dyDescent="0.25" r="101" customHeight="1" ht="17.25">
      <c r="A101" s="55"/>
      <c r="B101" s="100"/>
      <c r="C101" s="55"/>
      <c r="D101" s="101"/>
      <c r="E101" s="101"/>
      <c r="F101" s="102"/>
      <c r="G101" s="103"/>
      <c r="H101" s="150"/>
      <c r="I101" s="55"/>
      <c r="J101" s="105"/>
      <c r="K101" s="55"/>
      <c r="L101" s="65"/>
      <c r="M101" s="55"/>
      <c r="N101" s="55"/>
      <c r="O101" s="55"/>
      <c r="P101" s="55"/>
      <c r="Q101" s="55"/>
      <c r="R101" s="55"/>
      <c r="S101" s="55"/>
      <c r="T101" s="55"/>
    </row>
    <row x14ac:dyDescent="0.25" r="102" customHeight="1" ht="17.25">
      <c r="A102" s="55"/>
      <c r="B102" s="100"/>
      <c r="C102" s="55"/>
      <c r="D102" s="101"/>
      <c r="E102" s="101"/>
      <c r="F102" s="102"/>
      <c r="G102" s="103"/>
      <c r="H102" s="150"/>
      <c r="I102" s="55"/>
      <c r="J102" s="105"/>
      <c r="K102" s="55"/>
      <c r="L102" s="65"/>
      <c r="M102" s="55"/>
      <c r="N102" s="55"/>
      <c r="O102" s="55"/>
      <c r="P102" s="55"/>
      <c r="Q102" s="55"/>
      <c r="R102" s="55"/>
      <c r="S102" s="55"/>
      <c r="T102" s="55"/>
    </row>
    <row x14ac:dyDescent="0.25" r="103" customHeight="1" ht="17.25">
      <c r="A103" s="55"/>
      <c r="B103" s="100"/>
      <c r="C103" s="55"/>
      <c r="D103" s="101"/>
      <c r="E103" s="101"/>
      <c r="F103" s="102"/>
      <c r="G103" s="103"/>
      <c r="H103" s="150"/>
      <c r="I103" s="55"/>
      <c r="J103" s="105"/>
      <c r="K103" s="55"/>
      <c r="L103" s="65"/>
      <c r="M103" s="55"/>
      <c r="N103" s="55"/>
      <c r="O103" s="55"/>
      <c r="P103" s="55"/>
      <c r="Q103" s="55"/>
      <c r="R103" s="55"/>
      <c r="S103" s="55"/>
      <c r="T103" s="55"/>
    </row>
    <row x14ac:dyDescent="0.25" r="104" customHeight="1" ht="17.25">
      <c r="A104" s="55"/>
      <c r="B104" s="100"/>
      <c r="C104" s="55"/>
      <c r="D104" s="101"/>
      <c r="E104" s="101"/>
      <c r="F104" s="102"/>
      <c r="G104" s="103"/>
      <c r="H104" s="150"/>
      <c r="I104" s="55"/>
      <c r="J104" s="105"/>
      <c r="K104" s="55"/>
      <c r="L104" s="65"/>
      <c r="M104" s="55"/>
      <c r="N104" s="55"/>
      <c r="O104" s="55"/>
      <c r="P104" s="55"/>
      <c r="Q104" s="55"/>
      <c r="R104" s="55"/>
      <c r="S104" s="55"/>
      <c r="T104" s="55"/>
    </row>
    <row x14ac:dyDescent="0.25" r="105" customHeight="1" ht="17.25">
      <c r="A105" s="55"/>
      <c r="B105" s="100"/>
      <c r="C105" s="55"/>
      <c r="D105" s="101"/>
      <c r="E105" s="101"/>
      <c r="F105" s="102"/>
      <c r="G105" s="103"/>
      <c r="H105" s="150"/>
      <c r="I105" s="55"/>
      <c r="J105" s="105"/>
      <c r="K105" s="55"/>
      <c r="L105" s="65"/>
      <c r="M105" s="55"/>
      <c r="N105" s="55"/>
      <c r="O105" s="55"/>
      <c r="P105" s="55"/>
      <c r="Q105" s="55"/>
      <c r="R105" s="55"/>
      <c r="S105" s="55"/>
      <c r="T105" s="55"/>
    </row>
    <row x14ac:dyDescent="0.25" r="106" customHeight="1" ht="17.25">
      <c r="A106" s="55"/>
      <c r="B106" s="100"/>
      <c r="C106" s="55"/>
      <c r="D106" s="101"/>
      <c r="E106" s="101"/>
      <c r="F106" s="102"/>
      <c r="G106" s="103"/>
      <c r="H106" s="150"/>
      <c r="I106" s="55"/>
      <c r="J106" s="105"/>
      <c r="K106" s="55"/>
      <c r="L106" s="65"/>
      <c r="M106" s="55"/>
      <c r="N106" s="55"/>
      <c r="O106" s="55"/>
      <c r="P106" s="55"/>
      <c r="Q106" s="55"/>
      <c r="R106" s="55"/>
      <c r="S106" s="55"/>
      <c r="T106" s="55"/>
    </row>
    <row x14ac:dyDescent="0.25" r="107" customHeight="1" ht="17.25">
      <c r="A107" s="55"/>
      <c r="B107" s="100"/>
      <c r="C107" s="55"/>
      <c r="D107" s="101"/>
      <c r="E107" s="101"/>
      <c r="F107" s="102"/>
      <c r="G107" s="103"/>
      <c r="H107" s="150"/>
      <c r="I107" s="55"/>
      <c r="J107" s="105"/>
      <c r="K107" s="55"/>
      <c r="L107" s="65"/>
      <c r="M107" s="55"/>
      <c r="N107" s="55"/>
      <c r="O107" s="55"/>
      <c r="P107" s="55"/>
      <c r="Q107" s="55"/>
      <c r="R107" s="55"/>
      <c r="S107" s="55"/>
      <c r="T107" s="55"/>
    </row>
    <row x14ac:dyDescent="0.25" r="108" customHeight="1" ht="17.25">
      <c r="A108" s="55"/>
      <c r="B108" s="100"/>
      <c r="C108" s="55"/>
      <c r="D108" s="101"/>
      <c r="E108" s="101"/>
      <c r="F108" s="102"/>
      <c r="G108" s="103"/>
      <c r="H108" s="150"/>
      <c r="I108" s="55"/>
      <c r="J108" s="105"/>
      <c r="K108" s="55"/>
      <c r="L108" s="65"/>
      <c r="M108" s="55"/>
      <c r="N108" s="55"/>
      <c r="O108" s="55"/>
      <c r="P108" s="55"/>
      <c r="Q108" s="55"/>
      <c r="R108" s="55"/>
      <c r="S108" s="55"/>
      <c r="T108" s="55"/>
    </row>
    <row x14ac:dyDescent="0.25" r="109" customHeight="1" ht="17.25">
      <c r="A109" s="55"/>
      <c r="B109" s="100"/>
      <c r="C109" s="55"/>
      <c r="D109" s="101"/>
      <c r="E109" s="101"/>
      <c r="F109" s="102"/>
      <c r="G109" s="103"/>
      <c r="H109" s="150"/>
      <c r="I109" s="55"/>
      <c r="J109" s="105"/>
      <c r="K109" s="55"/>
      <c r="L109" s="65"/>
      <c r="M109" s="55"/>
      <c r="N109" s="55"/>
      <c r="O109" s="55"/>
      <c r="P109" s="55"/>
      <c r="Q109" s="55"/>
      <c r="R109" s="55"/>
      <c r="S109" s="55"/>
      <c r="T109" s="55"/>
    </row>
    <row x14ac:dyDescent="0.25" r="110" customHeight="1" ht="17.25">
      <c r="A110" s="55"/>
      <c r="B110" s="100"/>
      <c r="C110" s="55"/>
      <c r="D110" s="101"/>
      <c r="E110" s="101"/>
      <c r="F110" s="102"/>
      <c r="G110" s="103"/>
      <c r="H110" s="150"/>
      <c r="I110" s="55"/>
      <c r="J110" s="105"/>
      <c r="K110" s="55"/>
      <c r="L110" s="65"/>
      <c r="M110" s="55"/>
      <c r="N110" s="55"/>
      <c r="O110" s="55"/>
      <c r="P110" s="55"/>
      <c r="Q110" s="55"/>
      <c r="R110" s="55"/>
      <c r="S110" s="55"/>
      <c r="T110" s="55"/>
    </row>
    <row x14ac:dyDescent="0.25" r="111" customHeight="1" ht="17.25">
      <c r="A111" s="55"/>
      <c r="B111" s="100"/>
      <c r="C111" s="55"/>
      <c r="D111" s="101"/>
      <c r="E111" s="101"/>
      <c r="F111" s="102"/>
      <c r="G111" s="103"/>
      <c r="H111" s="150"/>
      <c r="I111" s="55"/>
      <c r="J111" s="105"/>
      <c r="K111" s="55"/>
      <c r="L111" s="65"/>
      <c r="M111" s="55"/>
      <c r="N111" s="55"/>
      <c r="O111" s="55"/>
      <c r="P111" s="55"/>
      <c r="Q111" s="55"/>
      <c r="R111" s="55"/>
      <c r="S111" s="55"/>
      <c r="T111" s="55"/>
    </row>
    <row x14ac:dyDescent="0.25" r="112" customHeight="1" ht="17.25">
      <c r="A112" s="55"/>
      <c r="B112" s="100"/>
      <c r="C112" s="55"/>
      <c r="D112" s="101"/>
      <c r="E112" s="101"/>
      <c r="F112" s="102"/>
      <c r="G112" s="103"/>
      <c r="H112" s="150"/>
      <c r="I112" s="55"/>
      <c r="J112" s="105"/>
      <c r="K112" s="55"/>
      <c r="L112" s="65"/>
      <c r="M112" s="55"/>
      <c r="N112" s="55"/>
      <c r="O112" s="55"/>
      <c r="P112" s="55"/>
      <c r="Q112" s="55"/>
      <c r="R112" s="55"/>
      <c r="S112" s="55"/>
      <c r="T112" s="55"/>
    </row>
    <row x14ac:dyDescent="0.25" r="113" customHeight="1" ht="17.25">
      <c r="A113" s="55"/>
      <c r="B113" s="100"/>
      <c r="C113" s="55"/>
      <c r="D113" s="101"/>
      <c r="E113" s="101"/>
      <c r="F113" s="102"/>
      <c r="G113" s="103"/>
      <c r="H113" s="150"/>
      <c r="I113" s="55"/>
      <c r="J113" s="105"/>
      <c r="K113" s="55"/>
      <c r="L113" s="65"/>
      <c r="M113" s="55"/>
      <c r="N113" s="55"/>
      <c r="O113" s="55"/>
      <c r="P113" s="55"/>
      <c r="Q113" s="55"/>
      <c r="R113" s="55"/>
      <c r="S113" s="55"/>
      <c r="T113" s="55"/>
    </row>
    <row x14ac:dyDescent="0.25" r="114" customHeight="1" ht="17.25">
      <c r="A114" s="55"/>
      <c r="B114" s="100"/>
      <c r="C114" s="55"/>
      <c r="D114" s="101"/>
      <c r="E114" s="101"/>
      <c r="F114" s="102"/>
      <c r="G114" s="103"/>
      <c r="H114" s="150"/>
      <c r="I114" s="55"/>
      <c r="J114" s="105"/>
      <c r="K114" s="55"/>
      <c r="L114" s="65"/>
      <c r="M114" s="55"/>
      <c r="N114" s="55"/>
      <c r="O114" s="55"/>
      <c r="P114" s="55"/>
      <c r="Q114" s="55"/>
      <c r="R114" s="55"/>
      <c r="S114" s="55"/>
      <c r="T114" s="55"/>
    </row>
    <row x14ac:dyDescent="0.25" r="115" customHeight="1" ht="17.25">
      <c r="A115" s="55"/>
      <c r="B115" s="100"/>
      <c r="C115" s="55"/>
      <c r="D115" s="101"/>
      <c r="E115" s="101"/>
      <c r="F115" s="102"/>
      <c r="G115" s="103"/>
      <c r="H115" s="150"/>
      <c r="I115" s="55"/>
      <c r="J115" s="105"/>
      <c r="K115" s="55"/>
      <c r="L115" s="65"/>
      <c r="M115" s="55"/>
      <c r="N115" s="55"/>
      <c r="O115" s="55"/>
      <c r="P115" s="55"/>
      <c r="Q115" s="55"/>
      <c r="R115" s="55"/>
      <c r="S115" s="55"/>
      <c r="T115" s="55"/>
    </row>
    <row x14ac:dyDescent="0.25" r="116" customHeight="1" ht="17.25">
      <c r="A116" s="55"/>
      <c r="B116" s="100"/>
      <c r="C116" s="55"/>
      <c r="D116" s="101"/>
      <c r="E116" s="101"/>
      <c r="F116" s="102"/>
      <c r="G116" s="103"/>
      <c r="H116" s="150"/>
      <c r="I116" s="55"/>
      <c r="J116" s="105"/>
      <c r="K116" s="55"/>
      <c r="L116" s="65"/>
      <c r="M116" s="55"/>
      <c r="N116" s="55"/>
      <c r="O116" s="55"/>
      <c r="P116" s="55"/>
      <c r="Q116" s="55"/>
      <c r="R116" s="55"/>
      <c r="S116" s="55"/>
      <c r="T116" s="55"/>
    </row>
    <row x14ac:dyDescent="0.25" r="117" customHeight="1" ht="17.25">
      <c r="A117" s="55"/>
      <c r="B117" s="100"/>
      <c r="C117" s="55"/>
      <c r="D117" s="101"/>
      <c r="E117" s="101"/>
      <c r="F117" s="102"/>
      <c r="G117" s="103"/>
      <c r="H117" s="150"/>
      <c r="I117" s="55"/>
      <c r="J117" s="105"/>
      <c r="K117" s="55"/>
      <c r="L117" s="65"/>
      <c r="M117" s="55"/>
      <c r="N117" s="55"/>
      <c r="O117" s="55"/>
      <c r="P117" s="55"/>
      <c r="Q117" s="55"/>
      <c r="R117" s="55"/>
      <c r="S117" s="55"/>
      <c r="T117" s="55"/>
    </row>
    <row x14ac:dyDescent="0.25" r="118" customHeight="1" ht="17.25">
      <c r="A118" s="55"/>
      <c r="B118" s="100"/>
      <c r="C118" s="55"/>
      <c r="D118" s="101"/>
      <c r="E118" s="101"/>
      <c r="F118" s="102"/>
      <c r="G118" s="103"/>
      <c r="H118" s="150"/>
      <c r="I118" s="55"/>
      <c r="J118" s="105"/>
      <c r="K118" s="55"/>
      <c r="L118" s="65"/>
      <c r="M118" s="55"/>
      <c r="N118" s="55"/>
      <c r="O118" s="55"/>
      <c r="P118" s="55"/>
      <c r="Q118" s="55"/>
      <c r="R118" s="55"/>
      <c r="S118" s="55"/>
      <c r="T118" s="55"/>
    </row>
    <row x14ac:dyDescent="0.25" r="119" customHeight="1" ht="17.25">
      <c r="A119" s="55"/>
      <c r="B119" s="100"/>
      <c r="C119" s="55"/>
      <c r="D119" s="101"/>
      <c r="E119" s="101"/>
      <c r="F119" s="102"/>
      <c r="G119" s="103"/>
      <c r="H119" s="150"/>
      <c r="I119" s="55"/>
      <c r="J119" s="105"/>
      <c r="K119" s="55"/>
      <c r="L119" s="65"/>
      <c r="M119" s="55"/>
      <c r="N119" s="55"/>
      <c r="O119" s="55"/>
      <c r="P119" s="55"/>
      <c r="Q119" s="55"/>
      <c r="R119" s="55"/>
      <c r="S119" s="55"/>
      <c r="T119" s="55"/>
    </row>
    <row x14ac:dyDescent="0.25" r="120" customHeight="1" ht="17.25">
      <c r="A120" s="55"/>
      <c r="B120" s="100"/>
      <c r="C120" s="55"/>
      <c r="D120" s="101"/>
      <c r="E120" s="101"/>
      <c r="F120" s="102"/>
      <c r="G120" s="103"/>
      <c r="H120" s="150"/>
      <c r="I120" s="55"/>
      <c r="J120" s="105"/>
      <c r="K120" s="55"/>
      <c r="L120" s="65"/>
      <c r="M120" s="55"/>
      <c r="N120" s="55"/>
      <c r="O120" s="55"/>
      <c r="P120" s="55"/>
      <c r="Q120" s="55"/>
      <c r="R120" s="55"/>
      <c r="S120" s="55"/>
      <c r="T120" s="55"/>
    </row>
    <row x14ac:dyDescent="0.25" r="121" customHeight="1" ht="17.25">
      <c r="A121" s="55"/>
      <c r="B121" s="100"/>
      <c r="C121" s="55"/>
      <c r="D121" s="101"/>
      <c r="E121" s="101"/>
      <c r="F121" s="102"/>
      <c r="G121" s="103"/>
      <c r="H121" s="150"/>
      <c r="I121" s="55"/>
      <c r="J121" s="105"/>
      <c r="K121" s="55"/>
      <c r="L121" s="65"/>
      <c r="M121" s="55"/>
      <c r="N121" s="55"/>
      <c r="O121" s="55"/>
      <c r="P121" s="55"/>
      <c r="Q121" s="55"/>
      <c r="R121" s="55"/>
      <c r="S121" s="55"/>
      <c r="T121" s="55"/>
    </row>
    <row x14ac:dyDescent="0.25" r="122" customHeight="1" ht="17.25">
      <c r="A122" s="55"/>
      <c r="B122" s="100"/>
      <c r="C122" s="55"/>
      <c r="D122" s="101"/>
      <c r="E122" s="101"/>
      <c r="F122" s="102"/>
      <c r="G122" s="103"/>
      <c r="H122" s="150"/>
      <c r="I122" s="55"/>
      <c r="J122" s="105"/>
      <c r="K122" s="55"/>
      <c r="L122" s="65"/>
      <c r="M122" s="55"/>
      <c r="N122" s="55"/>
      <c r="O122" s="55"/>
      <c r="P122" s="55"/>
      <c r="Q122" s="55"/>
      <c r="R122" s="55"/>
      <c r="S122" s="55"/>
      <c r="T122" s="55"/>
    </row>
    <row x14ac:dyDescent="0.25" r="123" customHeight="1" ht="17.25">
      <c r="A123" s="55"/>
      <c r="B123" s="100"/>
      <c r="C123" s="55"/>
      <c r="D123" s="101"/>
      <c r="E123" s="101"/>
      <c r="F123" s="102"/>
      <c r="G123" s="103"/>
      <c r="H123" s="150"/>
      <c r="I123" s="55"/>
      <c r="J123" s="105"/>
      <c r="K123" s="55"/>
      <c r="L123" s="65"/>
      <c r="M123" s="55"/>
      <c r="N123" s="55"/>
      <c r="O123" s="55"/>
      <c r="P123" s="55"/>
      <c r="Q123" s="55"/>
      <c r="R123" s="55"/>
      <c r="S123" s="55"/>
      <c r="T123" s="55"/>
    </row>
    <row x14ac:dyDescent="0.25" r="124" customHeight="1" ht="17.25">
      <c r="A124" s="55"/>
      <c r="B124" s="100"/>
      <c r="C124" s="55"/>
      <c r="D124" s="101"/>
      <c r="E124" s="101"/>
      <c r="F124" s="102"/>
      <c r="G124" s="103"/>
      <c r="H124" s="150"/>
      <c r="I124" s="55"/>
      <c r="J124" s="105"/>
      <c r="K124" s="55"/>
      <c r="L124" s="65"/>
      <c r="M124" s="55"/>
      <c r="N124" s="55"/>
      <c r="O124" s="55"/>
      <c r="P124" s="55"/>
      <c r="Q124" s="55"/>
      <c r="R124" s="55"/>
      <c r="S124" s="55"/>
      <c r="T124" s="55"/>
    </row>
    <row x14ac:dyDescent="0.25" r="125" customHeight="1" ht="17.25">
      <c r="A125" s="55"/>
      <c r="B125" s="100"/>
      <c r="C125" s="55"/>
      <c r="D125" s="101"/>
      <c r="E125" s="101"/>
      <c r="F125" s="102"/>
      <c r="G125" s="103"/>
      <c r="H125" s="150"/>
      <c r="I125" s="55"/>
      <c r="J125" s="105"/>
      <c r="K125" s="55"/>
      <c r="L125" s="65"/>
      <c r="M125" s="55"/>
      <c r="N125" s="55"/>
      <c r="O125" s="55"/>
      <c r="P125" s="55"/>
      <c r="Q125" s="55"/>
      <c r="R125" s="55"/>
      <c r="S125" s="55"/>
      <c r="T125" s="55"/>
    </row>
    <row x14ac:dyDescent="0.25" r="126" customHeight="1" ht="17.25">
      <c r="A126" s="55"/>
      <c r="B126" s="100"/>
      <c r="C126" s="55"/>
      <c r="D126" s="101"/>
      <c r="E126" s="101"/>
      <c r="F126" s="102"/>
      <c r="G126" s="103"/>
      <c r="H126" s="150"/>
      <c r="I126" s="55"/>
      <c r="J126" s="105"/>
      <c r="K126" s="55"/>
      <c r="L126" s="65"/>
      <c r="M126" s="55"/>
      <c r="N126" s="55"/>
      <c r="O126" s="55"/>
      <c r="P126" s="55"/>
      <c r="Q126" s="55"/>
      <c r="R126" s="55"/>
      <c r="S126" s="55"/>
      <c r="T126" s="55"/>
    </row>
    <row x14ac:dyDescent="0.25" r="127" customHeight="1" ht="17.25">
      <c r="A127" s="55"/>
      <c r="B127" s="100"/>
      <c r="C127" s="55"/>
      <c r="D127" s="101"/>
      <c r="E127" s="101"/>
      <c r="F127" s="102"/>
      <c r="G127" s="103"/>
      <c r="H127" s="150"/>
      <c r="I127" s="55"/>
      <c r="J127" s="105"/>
      <c r="K127" s="55"/>
      <c r="L127" s="65"/>
      <c r="M127" s="55"/>
      <c r="N127" s="55"/>
      <c r="O127" s="55"/>
      <c r="P127" s="55"/>
      <c r="Q127" s="55"/>
      <c r="R127" s="55"/>
      <c r="S127" s="55"/>
      <c r="T127" s="55"/>
    </row>
    <row x14ac:dyDescent="0.25" r="128" customHeight="1" ht="17.25">
      <c r="A128" s="55"/>
      <c r="B128" s="100"/>
      <c r="C128" s="55"/>
      <c r="D128" s="101"/>
      <c r="E128" s="101"/>
      <c r="F128" s="102"/>
      <c r="G128" s="103"/>
      <c r="H128" s="150"/>
      <c r="I128" s="55"/>
      <c r="J128" s="105"/>
      <c r="K128" s="55"/>
      <c r="L128" s="65"/>
      <c r="M128" s="55"/>
      <c r="N128" s="55"/>
      <c r="O128" s="55"/>
      <c r="P128" s="55"/>
      <c r="Q128" s="55"/>
      <c r="R128" s="55"/>
      <c r="S128" s="55"/>
      <c r="T128" s="55"/>
    </row>
    <row x14ac:dyDescent="0.25" r="129" customHeight="1" ht="17.25">
      <c r="A129" s="55"/>
      <c r="B129" s="100"/>
      <c r="C129" s="55"/>
      <c r="D129" s="101"/>
      <c r="E129" s="101"/>
      <c r="F129" s="102"/>
      <c r="G129" s="103"/>
      <c r="H129" s="150"/>
      <c r="I129" s="55"/>
      <c r="J129" s="105"/>
      <c r="K129" s="55"/>
      <c r="L129" s="65"/>
      <c r="M129" s="55"/>
      <c r="N129" s="55"/>
      <c r="O129" s="55"/>
      <c r="P129" s="55"/>
      <c r="Q129" s="55"/>
      <c r="R129" s="55"/>
      <c r="S129" s="55"/>
      <c r="T129" s="55"/>
    </row>
    <row x14ac:dyDescent="0.25" r="130" customHeight="1" ht="17.25">
      <c r="A130" s="55"/>
      <c r="B130" s="100"/>
      <c r="C130" s="55"/>
      <c r="D130" s="101"/>
      <c r="E130" s="101"/>
      <c r="F130" s="102"/>
      <c r="G130" s="103"/>
      <c r="H130" s="150"/>
      <c r="I130" s="55"/>
      <c r="J130" s="105"/>
      <c r="K130" s="55"/>
      <c r="L130" s="65"/>
      <c r="M130" s="55"/>
      <c r="N130" s="55"/>
      <c r="O130" s="55"/>
      <c r="P130" s="55"/>
      <c r="Q130" s="55"/>
      <c r="R130" s="55"/>
      <c r="S130" s="55"/>
      <c r="T130" s="55"/>
    </row>
    <row x14ac:dyDescent="0.25" r="131" customHeight="1" ht="17.25">
      <c r="A131" s="55"/>
      <c r="B131" s="100"/>
      <c r="C131" s="55"/>
      <c r="D131" s="101"/>
      <c r="E131" s="101"/>
      <c r="F131" s="102"/>
      <c r="G131" s="103"/>
      <c r="H131" s="150"/>
      <c r="I131" s="55"/>
      <c r="J131" s="105"/>
      <c r="K131" s="55"/>
      <c r="L131" s="65"/>
      <c r="M131" s="55"/>
      <c r="N131" s="55"/>
      <c r="O131" s="55"/>
      <c r="P131" s="55"/>
      <c r="Q131" s="55"/>
      <c r="R131" s="55"/>
      <c r="S131" s="55"/>
      <c r="T131" s="55"/>
    </row>
    <row x14ac:dyDescent="0.25" r="132" customHeight="1" ht="17.25">
      <c r="A132" s="55"/>
      <c r="B132" s="100"/>
      <c r="C132" s="55"/>
      <c r="D132" s="101"/>
      <c r="E132" s="101"/>
      <c r="F132" s="102"/>
      <c r="G132" s="103"/>
      <c r="H132" s="150"/>
      <c r="I132" s="55"/>
      <c r="J132" s="105"/>
      <c r="K132" s="55"/>
      <c r="L132" s="65"/>
      <c r="M132" s="55"/>
      <c r="N132" s="55"/>
      <c r="O132" s="55"/>
      <c r="P132" s="55"/>
      <c r="Q132" s="55"/>
      <c r="R132" s="55"/>
      <c r="S132" s="55"/>
      <c r="T132" s="55"/>
    </row>
    <row x14ac:dyDescent="0.25" r="133" customHeight="1" ht="17.25">
      <c r="A133" s="55"/>
      <c r="B133" s="100"/>
      <c r="C133" s="55"/>
      <c r="D133" s="101"/>
      <c r="E133" s="101"/>
      <c r="F133" s="102"/>
      <c r="G133" s="103"/>
      <c r="H133" s="150"/>
      <c r="I133" s="55"/>
      <c r="J133" s="105"/>
      <c r="K133" s="55"/>
      <c r="L133" s="65"/>
      <c r="M133" s="55"/>
      <c r="N133" s="55"/>
      <c r="O133" s="55"/>
      <c r="P133" s="55"/>
      <c r="Q133" s="55"/>
      <c r="R133" s="55"/>
      <c r="S133" s="55"/>
      <c r="T133" s="55"/>
    </row>
    <row x14ac:dyDescent="0.25" r="134" customHeight="1" ht="17.25">
      <c r="A134" s="55"/>
      <c r="B134" s="100"/>
      <c r="C134" s="55"/>
      <c r="D134" s="101"/>
      <c r="E134" s="101"/>
      <c r="F134" s="102"/>
      <c r="G134" s="103"/>
      <c r="H134" s="150"/>
      <c r="I134" s="55"/>
      <c r="J134" s="105"/>
      <c r="K134" s="55"/>
      <c r="L134" s="65"/>
      <c r="M134" s="55"/>
      <c r="N134" s="55"/>
      <c r="O134" s="55"/>
      <c r="P134" s="55"/>
      <c r="Q134" s="55"/>
      <c r="R134" s="55"/>
      <c r="S134" s="55"/>
      <c r="T134" s="55"/>
    </row>
    <row x14ac:dyDescent="0.25" r="135" customHeight="1" ht="17.25">
      <c r="A135" s="55"/>
      <c r="B135" s="100"/>
      <c r="C135" s="55"/>
      <c r="D135" s="101"/>
      <c r="E135" s="101"/>
      <c r="F135" s="102"/>
      <c r="G135" s="103"/>
      <c r="H135" s="150"/>
      <c r="I135" s="55"/>
      <c r="J135" s="105"/>
      <c r="K135" s="55"/>
      <c r="L135" s="65"/>
      <c r="M135" s="55"/>
      <c r="N135" s="55"/>
      <c r="O135" s="55"/>
      <c r="P135" s="55"/>
      <c r="Q135" s="55"/>
      <c r="R135" s="55"/>
      <c r="S135" s="55"/>
      <c r="T135" s="55"/>
    </row>
    <row x14ac:dyDescent="0.25" r="136" customHeight="1" ht="17.25">
      <c r="A136" s="55"/>
      <c r="B136" s="100"/>
      <c r="C136" s="55"/>
      <c r="D136" s="101"/>
      <c r="E136" s="101"/>
      <c r="F136" s="102"/>
      <c r="G136" s="103"/>
      <c r="H136" s="150"/>
      <c r="I136" s="55"/>
      <c r="J136" s="105"/>
      <c r="K136" s="55"/>
      <c r="L136" s="65"/>
      <c r="M136" s="55"/>
      <c r="N136" s="55"/>
      <c r="O136" s="55"/>
      <c r="P136" s="55"/>
      <c r="Q136" s="55"/>
      <c r="R136" s="55"/>
      <c r="S136" s="55"/>
      <c r="T136" s="55"/>
    </row>
    <row x14ac:dyDescent="0.25" r="137" customHeight="1" ht="17.25">
      <c r="A137" s="55"/>
      <c r="B137" s="100"/>
      <c r="C137" s="55"/>
      <c r="D137" s="101"/>
      <c r="E137" s="101"/>
      <c r="F137" s="102"/>
      <c r="G137" s="103"/>
      <c r="H137" s="150"/>
      <c r="I137" s="55"/>
      <c r="J137" s="105"/>
      <c r="K137" s="55"/>
      <c r="L137" s="65"/>
      <c r="M137" s="55"/>
      <c r="N137" s="55"/>
      <c r="O137" s="55"/>
      <c r="P137" s="55"/>
      <c r="Q137" s="55"/>
      <c r="R137" s="55"/>
      <c r="S137" s="55"/>
      <c r="T137" s="55"/>
    </row>
    <row x14ac:dyDescent="0.25" r="138" customHeight="1" ht="17.25">
      <c r="A138" s="55"/>
      <c r="B138" s="100"/>
      <c r="C138" s="55"/>
      <c r="D138" s="101"/>
      <c r="E138" s="101"/>
      <c r="F138" s="102"/>
      <c r="G138" s="103"/>
      <c r="H138" s="150"/>
      <c r="I138" s="55"/>
      <c r="J138" s="105"/>
      <c r="K138" s="55"/>
      <c r="L138" s="65"/>
      <c r="M138" s="55"/>
      <c r="N138" s="55"/>
      <c r="O138" s="55"/>
      <c r="P138" s="55"/>
      <c r="Q138" s="55"/>
      <c r="R138" s="55"/>
      <c r="S138" s="55"/>
      <c r="T138" s="55"/>
    </row>
    <row x14ac:dyDescent="0.25" r="139" customHeight="1" ht="17.25">
      <c r="A139" s="55"/>
      <c r="B139" s="100"/>
      <c r="C139" s="55"/>
      <c r="D139" s="101"/>
      <c r="E139" s="101"/>
      <c r="F139" s="102"/>
      <c r="G139" s="103"/>
      <c r="H139" s="150"/>
      <c r="I139" s="55"/>
      <c r="J139" s="105"/>
      <c r="K139" s="55"/>
      <c r="L139" s="65"/>
      <c r="M139" s="55"/>
      <c r="N139" s="55"/>
      <c r="O139" s="55"/>
      <c r="P139" s="55"/>
      <c r="Q139" s="55"/>
      <c r="R139" s="55"/>
      <c r="S139" s="55"/>
      <c r="T139" s="55"/>
    </row>
    <row x14ac:dyDescent="0.25" r="140" customHeight="1" ht="17.25">
      <c r="A140" s="55"/>
      <c r="B140" s="100"/>
      <c r="C140" s="55"/>
      <c r="D140" s="101"/>
      <c r="E140" s="101"/>
      <c r="F140" s="102"/>
      <c r="G140" s="103"/>
      <c r="H140" s="150"/>
      <c r="I140" s="55"/>
      <c r="J140" s="105"/>
      <c r="K140" s="55"/>
      <c r="L140" s="65"/>
      <c r="M140" s="55"/>
      <c r="N140" s="55"/>
      <c r="O140" s="55"/>
      <c r="P140" s="55"/>
      <c r="Q140" s="55"/>
      <c r="R140" s="55"/>
      <c r="S140" s="55"/>
      <c r="T140" s="55"/>
    </row>
    <row x14ac:dyDescent="0.25" r="141" customHeight="1" ht="17.25">
      <c r="A141" s="55"/>
      <c r="B141" s="100"/>
      <c r="C141" s="55"/>
      <c r="D141" s="101"/>
      <c r="E141" s="101"/>
      <c r="F141" s="102"/>
      <c r="G141" s="103"/>
      <c r="H141" s="150"/>
      <c r="I141" s="55"/>
      <c r="J141" s="105"/>
      <c r="K141" s="55"/>
      <c r="L141" s="65"/>
      <c r="M141" s="55"/>
      <c r="N141" s="55"/>
      <c r="O141" s="55"/>
      <c r="P141" s="55"/>
      <c r="Q141" s="55"/>
      <c r="R141" s="55"/>
      <c r="S141" s="55"/>
      <c r="T141" s="55"/>
    </row>
    <row x14ac:dyDescent="0.25" r="142" customHeight="1" ht="17.25">
      <c r="A142" s="55"/>
      <c r="B142" s="100"/>
      <c r="C142" s="55"/>
      <c r="D142" s="101"/>
      <c r="E142" s="101"/>
      <c r="F142" s="102"/>
      <c r="G142" s="103"/>
      <c r="H142" s="150"/>
      <c r="I142" s="55"/>
      <c r="J142" s="105"/>
      <c r="K142" s="55"/>
      <c r="L142" s="65"/>
      <c r="M142" s="55"/>
      <c r="N142" s="55"/>
      <c r="O142" s="55"/>
      <c r="P142" s="55"/>
      <c r="Q142" s="55"/>
      <c r="R142" s="55"/>
      <c r="S142" s="55"/>
      <c r="T142" s="55"/>
    </row>
    <row x14ac:dyDescent="0.25" r="143" customHeight="1" ht="17.25">
      <c r="A143" s="55"/>
      <c r="B143" s="100"/>
      <c r="C143" s="55"/>
      <c r="D143" s="101"/>
      <c r="E143" s="101"/>
      <c r="F143" s="102"/>
      <c r="G143" s="103"/>
      <c r="H143" s="150"/>
      <c r="I143" s="55"/>
      <c r="J143" s="105"/>
      <c r="K143" s="55"/>
      <c r="L143" s="65"/>
      <c r="M143" s="55"/>
      <c r="N143" s="55"/>
      <c r="O143" s="55"/>
      <c r="P143" s="55"/>
      <c r="Q143" s="55"/>
      <c r="R143" s="55"/>
      <c r="S143" s="55"/>
      <c r="T143" s="55"/>
    </row>
    <row x14ac:dyDescent="0.25" r="144" customHeight="1" ht="17.25">
      <c r="A144" s="55"/>
      <c r="B144" s="100"/>
      <c r="C144" s="55"/>
      <c r="D144" s="101"/>
      <c r="E144" s="101"/>
      <c r="F144" s="102"/>
      <c r="G144" s="103"/>
      <c r="H144" s="150"/>
      <c r="I144" s="55"/>
      <c r="J144" s="105"/>
      <c r="K144" s="55"/>
      <c r="L144" s="65"/>
      <c r="M144" s="55"/>
      <c r="N144" s="55"/>
      <c r="O144" s="55"/>
      <c r="P144" s="55"/>
      <c r="Q144" s="55"/>
      <c r="R144" s="55"/>
      <c r="S144" s="55"/>
      <c r="T144" s="55"/>
    </row>
    <row x14ac:dyDescent="0.25" r="145" customHeight="1" ht="17.25">
      <c r="A145" s="55"/>
      <c r="B145" s="100"/>
      <c r="C145" s="55"/>
      <c r="D145" s="101"/>
      <c r="E145" s="101"/>
      <c r="F145" s="102"/>
      <c r="G145" s="103"/>
      <c r="H145" s="150"/>
      <c r="I145" s="55"/>
      <c r="J145" s="105"/>
      <c r="K145" s="55"/>
      <c r="L145" s="65"/>
      <c r="M145" s="55"/>
      <c r="N145" s="55"/>
      <c r="O145" s="55"/>
      <c r="P145" s="55"/>
      <c r="Q145" s="55"/>
      <c r="R145" s="55"/>
      <c r="S145" s="55"/>
      <c r="T145" s="55"/>
    </row>
    <row x14ac:dyDescent="0.25" r="146" customHeight="1" ht="17.25">
      <c r="A146" s="55"/>
      <c r="B146" s="100"/>
      <c r="C146" s="55"/>
      <c r="D146" s="101"/>
      <c r="E146" s="101"/>
      <c r="F146" s="102"/>
      <c r="G146" s="103"/>
      <c r="H146" s="150"/>
      <c r="I146" s="55"/>
      <c r="J146" s="105"/>
      <c r="K146" s="55"/>
      <c r="L146" s="65"/>
      <c r="M146" s="55"/>
      <c r="N146" s="55"/>
      <c r="O146" s="55"/>
      <c r="P146" s="55"/>
      <c r="Q146" s="55"/>
      <c r="R146" s="55"/>
      <c r="S146" s="55"/>
      <c r="T146" s="55"/>
    </row>
    <row x14ac:dyDescent="0.25" r="147" customHeight="1" ht="17.25">
      <c r="A147" s="55"/>
      <c r="B147" s="100"/>
      <c r="C147" s="55"/>
      <c r="D147" s="101"/>
      <c r="E147" s="101"/>
      <c r="F147" s="102"/>
      <c r="G147" s="103"/>
      <c r="H147" s="150"/>
      <c r="I147" s="55"/>
      <c r="J147" s="105"/>
      <c r="K147" s="55"/>
      <c r="L147" s="65"/>
      <c r="M147" s="55"/>
      <c r="N147" s="55"/>
      <c r="O147" s="55"/>
      <c r="P147" s="55"/>
      <c r="Q147" s="55"/>
      <c r="R147" s="55"/>
      <c r="S147" s="55"/>
      <c r="T147" s="55"/>
    </row>
    <row x14ac:dyDescent="0.25" r="148" customHeight="1" ht="17.25">
      <c r="A148" s="55"/>
      <c r="B148" s="100"/>
      <c r="C148" s="55"/>
      <c r="D148" s="101"/>
      <c r="E148" s="101"/>
      <c r="F148" s="102"/>
      <c r="G148" s="103"/>
      <c r="H148" s="150"/>
      <c r="I148" s="55"/>
      <c r="J148" s="105"/>
      <c r="K148" s="55"/>
      <c r="L148" s="65"/>
      <c r="M148" s="55"/>
      <c r="N148" s="55"/>
      <c r="O148" s="55"/>
      <c r="P148" s="55"/>
      <c r="Q148" s="55"/>
      <c r="R148" s="55"/>
      <c r="S148" s="55"/>
      <c r="T148" s="55"/>
    </row>
    <row x14ac:dyDescent="0.25" r="149" customHeight="1" ht="17.25">
      <c r="A149" s="55"/>
      <c r="B149" s="100"/>
      <c r="C149" s="55"/>
      <c r="D149" s="101"/>
      <c r="E149" s="101"/>
      <c r="F149" s="102"/>
      <c r="G149" s="103"/>
      <c r="H149" s="150"/>
      <c r="I149" s="55"/>
      <c r="J149" s="105"/>
      <c r="K149" s="55"/>
      <c r="L149" s="65"/>
      <c r="M149" s="55"/>
      <c r="N149" s="55"/>
      <c r="O149" s="55"/>
      <c r="P149" s="55"/>
      <c r="Q149" s="55"/>
      <c r="R149" s="55"/>
      <c r="S149" s="55"/>
      <c r="T149" s="55"/>
    </row>
    <row x14ac:dyDescent="0.25" r="150" customHeight="1" ht="17.25">
      <c r="A150" s="55"/>
      <c r="B150" s="100"/>
      <c r="C150" s="55"/>
      <c r="D150" s="101"/>
      <c r="E150" s="101"/>
      <c r="F150" s="102"/>
      <c r="G150" s="103"/>
      <c r="H150" s="150"/>
      <c r="I150" s="55"/>
      <c r="J150" s="105"/>
      <c r="K150" s="55"/>
      <c r="L150" s="65"/>
      <c r="M150" s="55"/>
      <c r="N150" s="55"/>
      <c r="O150" s="55"/>
      <c r="P150" s="55"/>
      <c r="Q150" s="55"/>
      <c r="R150" s="55"/>
      <c r="S150" s="55"/>
      <c r="T150" s="55"/>
    </row>
    <row x14ac:dyDescent="0.25" r="151" customHeight="1" ht="17.25">
      <c r="A151" s="55"/>
      <c r="B151" s="100"/>
      <c r="C151" s="55"/>
      <c r="D151" s="101"/>
      <c r="E151" s="101"/>
      <c r="F151" s="102"/>
      <c r="G151" s="103"/>
      <c r="H151" s="150"/>
      <c r="I151" s="55"/>
      <c r="J151" s="105"/>
      <c r="K151" s="55"/>
      <c r="L151" s="65"/>
      <c r="M151" s="55"/>
      <c r="N151" s="55"/>
      <c r="O151" s="55"/>
      <c r="P151" s="55"/>
      <c r="Q151" s="55"/>
      <c r="R151" s="55"/>
      <c r="S151" s="55"/>
      <c r="T151" s="55"/>
    </row>
    <row x14ac:dyDescent="0.25" r="152" customHeight="1" ht="17.25">
      <c r="A152" s="55"/>
      <c r="B152" s="100"/>
      <c r="C152" s="55"/>
      <c r="D152" s="101"/>
      <c r="E152" s="101"/>
      <c r="F152" s="102"/>
      <c r="G152" s="103"/>
      <c r="H152" s="150"/>
      <c r="I152" s="55"/>
      <c r="J152" s="105"/>
      <c r="K152" s="55"/>
      <c r="L152" s="65"/>
      <c r="M152" s="55"/>
      <c r="N152" s="55"/>
      <c r="O152" s="55"/>
      <c r="P152" s="55"/>
      <c r="Q152" s="55"/>
      <c r="R152" s="55"/>
      <c r="S152" s="55"/>
      <c r="T152" s="55"/>
    </row>
    <row x14ac:dyDescent="0.25" r="153" customHeight="1" ht="17.25">
      <c r="A153" s="55"/>
      <c r="B153" s="100"/>
      <c r="C153" s="55"/>
      <c r="D153" s="101"/>
      <c r="E153" s="101"/>
      <c r="F153" s="102"/>
      <c r="G153" s="103"/>
      <c r="H153" s="150"/>
      <c r="I153" s="55"/>
      <c r="J153" s="105"/>
      <c r="K153" s="55"/>
      <c r="L153" s="65"/>
      <c r="M153" s="55"/>
      <c r="N153" s="55"/>
      <c r="O153" s="55"/>
      <c r="P153" s="55"/>
      <c r="Q153" s="55"/>
      <c r="R153" s="55"/>
      <c r="S153" s="55"/>
      <c r="T153" s="55"/>
    </row>
    <row x14ac:dyDescent="0.25" r="154" customHeight="1" ht="17.25">
      <c r="A154" s="55"/>
      <c r="B154" s="100"/>
      <c r="C154" s="55"/>
      <c r="D154" s="101"/>
      <c r="E154" s="101"/>
      <c r="F154" s="102"/>
      <c r="G154" s="103"/>
      <c r="H154" s="150"/>
      <c r="I154" s="55"/>
      <c r="J154" s="105"/>
      <c r="K154" s="55"/>
      <c r="L154" s="65"/>
      <c r="M154" s="55"/>
      <c r="N154" s="55"/>
      <c r="O154" s="55"/>
      <c r="P154" s="55"/>
      <c r="Q154" s="55"/>
      <c r="R154" s="55"/>
      <c r="S154" s="55"/>
      <c r="T154" s="55"/>
    </row>
    <row x14ac:dyDescent="0.25" r="155" customHeight="1" ht="17.25">
      <c r="A155" s="55"/>
      <c r="B155" s="100"/>
      <c r="C155" s="55"/>
      <c r="D155" s="101"/>
      <c r="E155" s="101"/>
      <c r="F155" s="102"/>
      <c r="G155" s="103"/>
      <c r="H155" s="150"/>
      <c r="I155" s="55"/>
      <c r="J155" s="105"/>
      <c r="K155" s="55"/>
      <c r="L155" s="65"/>
      <c r="M155" s="55"/>
      <c r="N155" s="55"/>
      <c r="O155" s="55"/>
      <c r="P155" s="55"/>
      <c r="Q155" s="55"/>
      <c r="R155" s="55"/>
      <c r="S155" s="55"/>
      <c r="T155" s="55"/>
    </row>
    <row x14ac:dyDescent="0.25" r="156" customHeight="1" ht="17.25">
      <c r="A156" s="55"/>
      <c r="B156" s="100"/>
      <c r="C156" s="55"/>
      <c r="D156" s="101"/>
      <c r="E156" s="101"/>
      <c r="F156" s="102"/>
      <c r="G156" s="103"/>
      <c r="H156" s="150"/>
      <c r="I156" s="55"/>
      <c r="J156" s="105"/>
      <c r="K156" s="55"/>
      <c r="L156" s="65"/>
      <c r="M156" s="55"/>
      <c r="N156" s="55"/>
      <c r="O156" s="55"/>
      <c r="P156" s="55"/>
      <c r="Q156" s="55"/>
      <c r="R156" s="55"/>
      <c r="S156" s="55"/>
      <c r="T156" s="55"/>
    </row>
    <row x14ac:dyDescent="0.25" r="157" customHeight="1" ht="17.25">
      <c r="A157" s="55"/>
      <c r="B157" s="100"/>
      <c r="C157" s="55"/>
      <c r="D157" s="101"/>
      <c r="E157" s="101"/>
      <c r="F157" s="102"/>
      <c r="G157" s="103"/>
      <c r="H157" s="150"/>
      <c r="I157" s="55"/>
      <c r="J157" s="105"/>
      <c r="K157" s="55"/>
      <c r="L157" s="65"/>
      <c r="M157" s="55"/>
      <c r="N157" s="55"/>
      <c r="O157" s="55"/>
      <c r="P157" s="55"/>
      <c r="Q157" s="55"/>
      <c r="R157" s="55"/>
      <c r="S157" s="55"/>
      <c r="T157" s="55"/>
    </row>
    <row x14ac:dyDescent="0.25" r="158" customHeight="1" ht="17.25">
      <c r="A158" s="55"/>
      <c r="B158" s="100"/>
      <c r="C158" s="55"/>
      <c r="D158" s="101"/>
      <c r="E158" s="101"/>
      <c r="F158" s="102"/>
      <c r="G158" s="103"/>
      <c r="H158" s="150"/>
      <c r="I158" s="55"/>
      <c r="J158" s="105"/>
      <c r="K158" s="55"/>
      <c r="L158" s="65"/>
      <c r="M158" s="55"/>
      <c r="N158" s="55"/>
      <c r="O158" s="55"/>
      <c r="P158" s="55"/>
      <c r="Q158" s="55"/>
      <c r="R158" s="55"/>
      <c r="S158" s="55"/>
      <c r="T158" s="55"/>
    </row>
    <row x14ac:dyDescent="0.25" r="159" customHeight="1" ht="17.25">
      <c r="A159" s="55"/>
      <c r="B159" s="100"/>
      <c r="C159" s="55"/>
      <c r="D159" s="101"/>
      <c r="E159" s="101"/>
      <c r="F159" s="102"/>
      <c r="G159" s="103"/>
      <c r="H159" s="150"/>
      <c r="I159" s="55"/>
      <c r="J159" s="105"/>
      <c r="K159" s="55"/>
      <c r="L159" s="65"/>
      <c r="M159" s="55"/>
      <c r="N159" s="55"/>
      <c r="O159" s="55"/>
      <c r="P159" s="55"/>
      <c r="Q159" s="55"/>
      <c r="R159" s="55"/>
      <c r="S159" s="55"/>
      <c r="T159" s="55"/>
    </row>
    <row x14ac:dyDescent="0.25" r="160" customHeight="1" ht="17.25">
      <c r="A160" s="55"/>
      <c r="B160" s="100"/>
      <c r="C160" s="55"/>
      <c r="D160" s="101"/>
      <c r="E160" s="101"/>
      <c r="F160" s="102"/>
      <c r="G160" s="103"/>
      <c r="H160" s="150"/>
      <c r="I160" s="55"/>
      <c r="J160" s="105"/>
      <c r="K160" s="55"/>
      <c r="L160" s="65"/>
      <c r="M160" s="55"/>
      <c r="N160" s="55"/>
      <c r="O160" s="55"/>
      <c r="P160" s="55"/>
      <c r="Q160" s="55"/>
      <c r="R160" s="55"/>
      <c r="S160" s="55"/>
      <c r="T160" s="55"/>
    </row>
    <row x14ac:dyDescent="0.25" r="161" customHeight="1" ht="17.25">
      <c r="A161" s="55"/>
      <c r="B161" s="100"/>
      <c r="C161" s="55"/>
      <c r="D161" s="101"/>
      <c r="E161" s="101"/>
      <c r="F161" s="102"/>
      <c r="G161" s="103"/>
      <c r="H161" s="150"/>
      <c r="I161" s="55"/>
      <c r="J161" s="105"/>
      <c r="K161" s="55"/>
      <c r="L161" s="65"/>
      <c r="M161" s="55"/>
      <c r="N161" s="55"/>
      <c r="O161" s="55"/>
      <c r="P161" s="55"/>
      <c r="Q161" s="55"/>
      <c r="R161" s="55"/>
      <c r="S161" s="55"/>
      <c r="T161" s="55"/>
    </row>
    <row x14ac:dyDescent="0.25" r="162" customHeight="1" ht="17.25">
      <c r="A162" s="55"/>
      <c r="B162" s="100"/>
      <c r="C162" s="55"/>
      <c r="D162" s="101"/>
      <c r="E162" s="101"/>
      <c r="F162" s="102"/>
      <c r="G162" s="103"/>
      <c r="H162" s="150"/>
      <c r="I162" s="55"/>
      <c r="J162" s="105"/>
      <c r="K162" s="55"/>
      <c r="L162" s="65"/>
      <c r="M162" s="55"/>
      <c r="N162" s="55"/>
      <c r="O162" s="55"/>
      <c r="P162" s="55"/>
      <c r="Q162" s="55"/>
      <c r="R162" s="55"/>
      <c r="S162" s="55"/>
      <c r="T162" s="55"/>
    </row>
    <row x14ac:dyDescent="0.25" r="163" customHeight="1" ht="17.25">
      <c r="A163" s="55"/>
      <c r="B163" s="100"/>
      <c r="C163" s="55"/>
      <c r="D163" s="101"/>
      <c r="E163" s="101"/>
      <c r="F163" s="102"/>
      <c r="G163" s="103"/>
      <c r="H163" s="150"/>
      <c r="I163" s="55"/>
      <c r="J163" s="105"/>
      <c r="K163" s="55"/>
      <c r="L163" s="65"/>
      <c r="M163" s="55"/>
      <c r="N163" s="55"/>
      <c r="O163" s="55"/>
      <c r="P163" s="55"/>
      <c r="Q163" s="55"/>
      <c r="R163" s="55"/>
      <c r="S163" s="55"/>
      <c r="T163" s="55"/>
    </row>
    <row x14ac:dyDescent="0.25" r="164" customHeight="1" ht="17.25">
      <c r="A164" s="55"/>
      <c r="B164" s="100"/>
      <c r="C164" s="55"/>
      <c r="D164" s="101"/>
      <c r="E164" s="101"/>
      <c r="F164" s="102"/>
      <c r="G164" s="103"/>
      <c r="H164" s="150"/>
      <c r="I164" s="55"/>
      <c r="J164" s="105"/>
      <c r="K164" s="55"/>
      <c r="L164" s="65"/>
      <c r="M164" s="55"/>
      <c r="N164" s="55"/>
      <c r="O164" s="55"/>
      <c r="P164" s="55"/>
      <c r="Q164" s="55"/>
      <c r="R164" s="55"/>
      <c r="S164" s="55"/>
      <c r="T164" s="55"/>
    </row>
    <row x14ac:dyDescent="0.25" r="165" customHeight="1" ht="17.25">
      <c r="A165" s="55"/>
      <c r="B165" s="100"/>
      <c r="C165" s="55"/>
      <c r="D165" s="101"/>
      <c r="E165" s="101"/>
      <c r="F165" s="102"/>
      <c r="G165" s="103"/>
      <c r="H165" s="150"/>
      <c r="I165" s="55"/>
      <c r="J165" s="105"/>
      <c r="K165" s="55"/>
      <c r="L165" s="65"/>
      <c r="M165" s="55"/>
      <c r="N165" s="55"/>
      <c r="O165" s="55"/>
      <c r="P165" s="55"/>
      <c r="Q165" s="55"/>
      <c r="R165" s="55"/>
      <c r="S165" s="55"/>
      <c r="T165" s="55"/>
    </row>
    <row x14ac:dyDescent="0.25" r="166" customHeight="1" ht="17.25">
      <c r="A166" s="55"/>
      <c r="B166" s="100"/>
      <c r="C166" s="55"/>
      <c r="D166" s="101"/>
      <c r="E166" s="101"/>
      <c r="F166" s="102"/>
      <c r="G166" s="103"/>
      <c r="H166" s="150"/>
      <c r="I166" s="55"/>
      <c r="J166" s="105"/>
      <c r="K166" s="55"/>
      <c r="L166" s="65"/>
      <c r="M166" s="55"/>
      <c r="N166" s="55"/>
      <c r="O166" s="55"/>
      <c r="P166" s="55"/>
      <c r="Q166" s="55"/>
      <c r="R166" s="55"/>
      <c r="S166" s="55"/>
      <c r="T166" s="55"/>
    </row>
    <row x14ac:dyDescent="0.25" r="167" customHeight="1" ht="17.25">
      <c r="A167" s="55"/>
      <c r="B167" s="100"/>
      <c r="C167" s="55"/>
      <c r="D167" s="101"/>
      <c r="E167" s="101"/>
      <c r="F167" s="102"/>
      <c r="G167" s="103"/>
      <c r="H167" s="150"/>
      <c r="I167" s="55"/>
      <c r="J167" s="105"/>
      <c r="K167" s="55"/>
      <c r="L167" s="65"/>
      <c r="M167" s="55"/>
      <c r="N167" s="55"/>
      <c r="O167" s="55"/>
      <c r="P167" s="55"/>
      <c r="Q167" s="55"/>
      <c r="R167" s="55"/>
      <c r="S167" s="55"/>
      <c r="T167" s="55"/>
    </row>
    <row x14ac:dyDescent="0.25" r="168" customHeight="1" ht="17.25">
      <c r="A168" s="55"/>
      <c r="B168" s="100"/>
      <c r="C168" s="55"/>
      <c r="D168" s="101"/>
      <c r="E168" s="101"/>
      <c r="F168" s="102"/>
      <c r="G168" s="103"/>
      <c r="H168" s="150"/>
      <c r="I168" s="55"/>
      <c r="J168" s="105"/>
      <c r="K168" s="55"/>
      <c r="L168" s="65"/>
      <c r="M168" s="55"/>
      <c r="N168" s="55"/>
      <c r="O168" s="55"/>
      <c r="P168" s="55"/>
      <c r="Q168" s="55"/>
      <c r="R168" s="55"/>
      <c r="S168" s="55"/>
      <c r="T168" s="55"/>
    </row>
    <row x14ac:dyDescent="0.25" r="169" customHeight="1" ht="17.25">
      <c r="A169" s="55"/>
      <c r="B169" s="100"/>
      <c r="C169" s="55"/>
      <c r="D169" s="101"/>
      <c r="E169" s="101"/>
      <c r="F169" s="102"/>
      <c r="G169" s="103"/>
      <c r="H169" s="150"/>
      <c r="I169" s="55"/>
      <c r="J169" s="105"/>
      <c r="K169" s="55"/>
      <c r="L169" s="65"/>
      <c r="M169" s="55"/>
      <c r="N169" s="55"/>
      <c r="O169" s="55"/>
      <c r="P169" s="55"/>
      <c r="Q169" s="55"/>
      <c r="R169" s="55"/>
      <c r="S169" s="55"/>
      <c r="T169" s="55"/>
    </row>
    <row x14ac:dyDescent="0.25" r="170" customHeight="1" ht="17.25">
      <c r="A170" s="55"/>
      <c r="B170" s="100"/>
      <c r="C170" s="55"/>
      <c r="D170" s="101"/>
      <c r="E170" s="101"/>
      <c r="F170" s="102"/>
      <c r="G170" s="103"/>
      <c r="H170" s="150"/>
      <c r="I170" s="55"/>
      <c r="J170" s="105"/>
      <c r="K170" s="55"/>
      <c r="L170" s="65"/>
      <c r="M170" s="55"/>
      <c r="N170" s="55"/>
      <c r="O170" s="55"/>
      <c r="P170" s="55"/>
      <c r="Q170" s="55"/>
      <c r="R170" s="55"/>
      <c r="S170" s="55"/>
      <c r="T170" s="55"/>
    </row>
    <row x14ac:dyDescent="0.25" r="171" customHeight="1" ht="17.25">
      <c r="A171" s="55"/>
      <c r="B171" s="100"/>
      <c r="C171" s="55"/>
      <c r="D171" s="101"/>
      <c r="E171" s="101"/>
      <c r="F171" s="102"/>
      <c r="G171" s="103"/>
      <c r="H171" s="150"/>
      <c r="I171" s="55"/>
      <c r="J171" s="105"/>
      <c r="K171" s="55"/>
      <c r="L171" s="65"/>
      <c r="M171" s="55"/>
      <c r="N171" s="55"/>
      <c r="O171" s="55"/>
      <c r="P171" s="55"/>
      <c r="Q171" s="55"/>
      <c r="R171" s="55"/>
      <c r="S171" s="55"/>
      <c r="T171" s="55"/>
    </row>
    <row x14ac:dyDescent="0.25" r="172" customHeight="1" ht="17.25">
      <c r="A172" s="55"/>
      <c r="B172" s="100"/>
      <c r="C172" s="55"/>
      <c r="D172" s="101"/>
      <c r="E172" s="101"/>
      <c r="F172" s="102"/>
      <c r="G172" s="103"/>
      <c r="H172" s="150"/>
      <c r="I172" s="55"/>
      <c r="J172" s="105"/>
      <c r="K172" s="55"/>
      <c r="L172" s="65"/>
      <c r="M172" s="55"/>
      <c r="N172" s="55"/>
      <c r="O172" s="55"/>
      <c r="P172" s="55"/>
      <c r="Q172" s="55"/>
      <c r="R172" s="55"/>
      <c r="S172" s="55"/>
      <c r="T172" s="55"/>
    </row>
    <row x14ac:dyDescent="0.25" r="173" customHeight="1" ht="17.25">
      <c r="A173" s="55"/>
      <c r="B173" s="100"/>
      <c r="C173" s="55"/>
      <c r="D173" s="101"/>
      <c r="E173" s="101"/>
      <c r="F173" s="102"/>
      <c r="G173" s="103"/>
      <c r="H173" s="150"/>
      <c r="I173" s="55"/>
      <c r="J173" s="105"/>
      <c r="K173" s="55"/>
      <c r="L173" s="65"/>
      <c r="M173" s="55"/>
      <c r="N173" s="55"/>
      <c r="O173" s="55"/>
      <c r="P173" s="55"/>
      <c r="Q173" s="55"/>
      <c r="R173" s="55"/>
      <c r="S173" s="55"/>
      <c r="T173" s="55"/>
    </row>
    <row x14ac:dyDescent="0.25" r="174" customHeight="1" ht="17.25">
      <c r="A174" s="55"/>
      <c r="B174" s="100"/>
      <c r="C174" s="55"/>
      <c r="D174" s="101"/>
      <c r="E174" s="101"/>
      <c r="F174" s="102"/>
      <c r="G174" s="103"/>
      <c r="H174" s="150"/>
      <c r="I174" s="55"/>
      <c r="J174" s="105"/>
      <c r="K174" s="55"/>
      <c r="L174" s="65"/>
      <c r="M174" s="55"/>
      <c r="N174" s="55"/>
      <c r="O174" s="55"/>
      <c r="P174" s="55"/>
      <c r="Q174" s="55"/>
      <c r="R174" s="55"/>
      <c r="S174" s="55"/>
      <c r="T174" s="55"/>
    </row>
    <row x14ac:dyDescent="0.25" r="175" customHeight="1" ht="17.25">
      <c r="A175" s="55"/>
      <c r="B175" s="100"/>
      <c r="C175" s="55"/>
      <c r="D175" s="101"/>
      <c r="E175" s="101"/>
      <c r="F175" s="102"/>
      <c r="G175" s="103"/>
      <c r="H175" s="150"/>
      <c r="I175" s="55"/>
      <c r="J175" s="105"/>
      <c r="K175" s="55"/>
      <c r="L175" s="65"/>
      <c r="M175" s="55"/>
      <c r="N175" s="55"/>
      <c r="O175" s="55"/>
      <c r="P175" s="55"/>
      <c r="Q175" s="55"/>
      <c r="R175" s="55"/>
      <c r="S175" s="55"/>
      <c r="T175" s="55"/>
    </row>
    <row x14ac:dyDescent="0.25" r="176" customHeight="1" ht="17.25">
      <c r="A176" s="55"/>
      <c r="B176" s="100"/>
      <c r="C176" s="55"/>
      <c r="D176" s="101"/>
      <c r="E176" s="101"/>
      <c r="F176" s="102"/>
      <c r="G176" s="103"/>
      <c r="H176" s="150"/>
      <c r="I176" s="55"/>
      <c r="J176" s="105"/>
      <c r="K176" s="55"/>
      <c r="L176" s="65"/>
      <c r="M176" s="55"/>
      <c r="N176" s="55"/>
      <c r="O176" s="55"/>
      <c r="P176" s="55"/>
      <c r="Q176" s="55"/>
      <c r="R176" s="55"/>
      <c r="S176" s="55"/>
      <c r="T176" s="55"/>
    </row>
    <row x14ac:dyDescent="0.25" r="177" customHeight="1" ht="17.25">
      <c r="A177" s="55"/>
      <c r="B177" s="100"/>
      <c r="C177" s="55"/>
      <c r="D177" s="101"/>
      <c r="E177" s="101"/>
      <c r="F177" s="102"/>
      <c r="G177" s="103"/>
      <c r="H177" s="150"/>
      <c r="I177" s="55"/>
      <c r="J177" s="105"/>
      <c r="K177" s="55"/>
      <c r="L177" s="65"/>
      <c r="M177" s="55"/>
      <c r="N177" s="55"/>
      <c r="O177" s="55"/>
      <c r="P177" s="55"/>
      <c r="Q177" s="55"/>
      <c r="R177" s="55"/>
      <c r="S177" s="55"/>
      <c r="T177" s="55"/>
    </row>
    <row x14ac:dyDescent="0.25" r="178" customHeight="1" ht="17.25">
      <c r="A178" s="55"/>
      <c r="B178" s="100"/>
      <c r="C178" s="55"/>
      <c r="D178" s="101"/>
      <c r="E178" s="101"/>
      <c r="F178" s="102"/>
      <c r="G178" s="103"/>
      <c r="H178" s="150"/>
      <c r="I178" s="55"/>
      <c r="J178" s="105"/>
      <c r="K178" s="55"/>
      <c r="L178" s="65"/>
      <c r="M178" s="55"/>
      <c r="N178" s="55"/>
      <c r="O178" s="55"/>
      <c r="P178" s="55"/>
      <c r="Q178" s="55"/>
      <c r="R178" s="55"/>
      <c r="S178" s="55"/>
      <c r="T178" s="55"/>
    </row>
    <row x14ac:dyDescent="0.25" r="179" customHeight="1" ht="17.25">
      <c r="A179" s="55"/>
      <c r="B179" s="100"/>
      <c r="C179" s="55"/>
      <c r="D179" s="101"/>
      <c r="E179" s="101"/>
      <c r="F179" s="102"/>
      <c r="G179" s="103"/>
      <c r="H179" s="150"/>
      <c r="I179" s="55"/>
      <c r="J179" s="105"/>
      <c r="K179" s="55"/>
      <c r="L179" s="65"/>
      <c r="M179" s="55"/>
      <c r="N179" s="55"/>
      <c r="O179" s="55"/>
      <c r="P179" s="55"/>
      <c r="Q179" s="55"/>
      <c r="R179" s="55"/>
      <c r="S179" s="55"/>
      <c r="T179" s="55"/>
    </row>
    <row x14ac:dyDescent="0.25" r="180" customHeight="1" ht="17.25">
      <c r="A180" s="55"/>
      <c r="B180" s="100"/>
      <c r="C180" s="55"/>
      <c r="D180" s="101"/>
      <c r="E180" s="101"/>
      <c r="F180" s="102"/>
      <c r="G180" s="103"/>
      <c r="H180" s="150"/>
      <c r="I180" s="55"/>
      <c r="J180" s="105"/>
      <c r="K180" s="55"/>
      <c r="L180" s="65"/>
      <c r="M180" s="55"/>
      <c r="N180" s="55"/>
      <c r="O180" s="55"/>
      <c r="P180" s="55"/>
      <c r="Q180" s="55"/>
      <c r="R180" s="55"/>
      <c r="S180" s="55"/>
      <c r="T180" s="55"/>
    </row>
    <row x14ac:dyDescent="0.25" r="181" customHeight="1" ht="17.25">
      <c r="A181" s="55"/>
      <c r="B181" s="100"/>
      <c r="C181" s="55"/>
      <c r="D181" s="101"/>
      <c r="E181" s="101"/>
      <c r="F181" s="102"/>
      <c r="G181" s="103"/>
      <c r="H181" s="150"/>
      <c r="I181" s="55"/>
      <c r="J181" s="105"/>
      <c r="K181" s="55"/>
      <c r="L181" s="65"/>
      <c r="M181" s="55"/>
      <c r="N181" s="55"/>
      <c r="O181" s="55"/>
      <c r="P181" s="55"/>
      <c r="Q181" s="55"/>
      <c r="R181" s="55"/>
      <c r="S181" s="55"/>
      <c r="T181" s="55"/>
    </row>
    <row x14ac:dyDescent="0.25" r="182" customHeight="1" ht="17.25">
      <c r="A182" s="55"/>
      <c r="B182" s="100"/>
      <c r="C182" s="55"/>
      <c r="D182" s="101"/>
      <c r="E182" s="101"/>
      <c r="F182" s="102"/>
      <c r="G182" s="103"/>
      <c r="H182" s="150"/>
      <c r="I182" s="55"/>
      <c r="J182" s="105"/>
      <c r="K182" s="55"/>
      <c r="L182" s="65"/>
      <c r="M182" s="55"/>
      <c r="N182" s="55"/>
      <c r="O182" s="55"/>
      <c r="P182" s="55"/>
      <c r="Q182" s="55"/>
      <c r="R182" s="55"/>
      <c r="S182" s="55"/>
      <c r="T182" s="55"/>
    </row>
    <row x14ac:dyDescent="0.25" r="183" customHeight="1" ht="17.25">
      <c r="A183" s="55"/>
      <c r="B183" s="100"/>
      <c r="C183" s="55"/>
      <c r="D183" s="101"/>
      <c r="E183" s="101"/>
      <c r="F183" s="102"/>
      <c r="G183" s="103"/>
      <c r="H183" s="150"/>
      <c r="I183" s="55"/>
      <c r="J183" s="105"/>
      <c r="K183" s="55"/>
      <c r="L183" s="65"/>
      <c r="M183" s="55"/>
      <c r="N183" s="55"/>
      <c r="O183" s="55"/>
      <c r="P183" s="55"/>
      <c r="Q183" s="55"/>
      <c r="R183" s="55"/>
      <c r="S183" s="55"/>
      <c r="T183" s="55"/>
    </row>
    <row x14ac:dyDescent="0.25" r="184" customHeight="1" ht="17.25">
      <c r="A184" s="55"/>
      <c r="B184" s="100"/>
      <c r="C184" s="55"/>
      <c r="D184" s="101"/>
      <c r="E184" s="101"/>
      <c r="F184" s="102"/>
      <c r="G184" s="103"/>
      <c r="H184" s="150"/>
      <c r="I184" s="55"/>
      <c r="J184" s="105"/>
      <c r="K184" s="55"/>
      <c r="L184" s="65"/>
      <c r="M184" s="55"/>
      <c r="N184" s="55"/>
      <c r="O184" s="55"/>
      <c r="P184" s="55"/>
      <c r="Q184" s="55"/>
      <c r="R184" s="55"/>
      <c r="S184" s="55"/>
      <c r="T184" s="55"/>
    </row>
    <row x14ac:dyDescent="0.25" r="185" customHeight="1" ht="17.25">
      <c r="A185" s="55"/>
      <c r="B185" s="100"/>
      <c r="C185" s="55"/>
      <c r="D185" s="101"/>
      <c r="E185" s="101"/>
      <c r="F185" s="102"/>
      <c r="G185" s="103"/>
      <c r="H185" s="150"/>
      <c r="I185" s="55"/>
      <c r="J185" s="105"/>
      <c r="K185" s="55"/>
      <c r="L185" s="65"/>
      <c r="M185" s="55"/>
      <c r="N185" s="55"/>
      <c r="O185" s="55"/>
      <c r="P185" s="55"/>
      <c r="Q185" s="55"/>
      <c r="R185" s="55"/>
      <c r="S185" s="55"/>
      <c r="T185" s="55"/>
    </row>
    <row x14ac:dyDescent="0.25" r="186" customHeight="1" ht="17.25">
      <c r="A186" s="55"/>
      <c r="B186" s="100"/>
      <c r="C186" s="55"/>
      <c r="D186" s="101"/>
      <c r="E186" s="101"/>
      <c r="F186" s="102"/>
      <c r="G186" s="103"/>
      <c r="H186" s="150"/>
      <c r="I186" s="55"/>
      <c r="J186" s="105"/>
      <c r="K186" s="55"/>
      <c r="L186" s="65"/>
      <c r="M186" s="55"/>
      <c r="N186" s="55"/>
      <c r="O186" s="55"/>
      <c r="P186" s="55"/>
      <c r="Q186" s="55"/>
      <c r="R186" s="55"/>
      <c r="S186" s="55"/>
      <c r="T186" s="55"/>
    </row>
    <row x14ac:dyDescent="0.25" r="187" customHeight="1" ht="17.25">
      <c r="A187" s="55"/>
      <c r="B187" s="100"/>
      <c r="C187" s="55"/>
      <c r="D187" s="101"/>
      <c r="E187" s="101"/>
      <c r="F187" s="102"/>
      <c r="G187" s="103"/>
      <c r="H187" s="150"/>
      <c r="I187" s="55"/>
      <c r="J187" s="105"/>
      <c r="K187" s="55"/>
      <c r="L187" s="65"/>
      <c r="M187" s="55"/>
      <c r="N187" s="55"/>
      <c r="O187" s="55"/>
      <c r="P187" s="55"/>
      <c r="Q187" s="55"/>
      <c r="R187" s="55"/>
      <c r="S187" s="55"/>
      <c r="T187" s="55"/>
    </row>
    <row x14ac:dyDescent="0.25" r="188" customHeight="1" ht="17.25">
      <c r="A188" s="55"/>
      <c r="B188" s="100"/>
      <c r="C188" s="55"/>
      <c r="D188" s="101"/>
      <c r="E188" s="101"/>
      <c r="F188" s="102"/>
      <c r="G188" s="103"/>
      <c r="H188" s="150"/>
      <c r="I188" s="55"/>
      <c r="J188" s="105"/>
      <c r="K188" s="55"/>
      <c r="L188" s="65"/>
      <c r="M188" s="55"/>
      <c r="N188" s="55"/>
      <c r="O188" s="55"/>
      <c r="P188" s="55"/>
      <c r="Q188" s="55"/>
      <c r="R188" s="55"/>
      <c r="S188" s="55"/>
      <c r="T188" s="55"/>
    </row>
    <row x14ac:dyDescent="0.25" r="189" customHeight="1" ht="17.25">
      <c r="A189" s="55"/>
      <c r="B189" s="100"/>
      <c r="C189" s="55"/>
      <c r="D189" s="101"/>
      <c r="E189" s="101"/>
      <c r="F189" s="102"/>
      <c r="G189" s="103"/>
      <c r="H189" s="150"/>
      <c r="I189" s="55"/>
      <c r="J189" s="105"/>
      <c r="K189" s="55"/>
      <c r="L189" s="65"/>
      <c r="M189" s="55"/>
      <c r="N189" s="55"/>
      <c r="O189" s="55"/>
      <c r="P189" s="55"/>
      <c r="Q189" s="55"/>
      <c r="R189" s="55"/>
      <c r="S189" s="55"/>
      <c r="T189" s="55"/>
    </row>
    <row x14ac:dyDescent="0.25" r="190" customHeight="1" ht="17.25">
      <c r="A190" s="55"/>
      <c r="B190" s="100"/>
      <c r="C190" s="55"/>
      <c r="D190" s="101"/>
      <c r="E190" s="101"/>
      <c r="F190" s="102"/>
      <c r="G190" s="103"/>
      <c r="H190" s="150"/>
      <c r="I190" s="55"/>
      <c r="J190" s="105"/>
      <c r="K190" s="55"/>
      <c r="L190" s="65"/>
      <c r="M190" s="55"/>
      <c r="N190" s="55"/>
      <c r="O190" s="55"/>
      <c r="P190" s="55"/>
      <c r="Q190" s="55"/>
      <c r="R190" s="55"/>
      <c r="S190" s="55"/>
      <c r="T190" s="55"/>
    </row>
    <row x14ac:dyDescent="0.25" r="191" customHeight="1" ht="17.25">
      <c r="A191" s="55"/>
      <c r="B191" s="100"/>
      <c r="C191" s="55"/>
      <c r="D191" s="101"/>
      <c r="E191" s="101"/>
      <c r="F191" s="102"/>
      <c r="G191" s="103"/>
      <c r="H191" s="150"/>
      <c r="I191" s="55"/>
      <c r="J191" s="105"/>
      <c r="K191" s="55"/>
      <c r="L191" s="65"/>
      <c r="M191" s="55"/>
      <c r="N191" s="55"/>
      <c r="O191" s="55"/>
      <c r="P191" s="55"/>
      <c r="Q191" s="55"/>
      <c r="R191" s="55"/>
      <c r="S191" s="55"/>
      <c r="T191" s="55"/>
    </row>
    <row x14ac:dyDescent="0.25" r="192" customHeight="1" ht="17.25">
      <c r="A192" s="55"/>
      <c r="B192" s="100"/>
      <c r="C192" s="55"/>
      <c r="D192" s="101"/>
      <c r="E192" s="101"/>
      <c r="F192" s="102"/>
      <c r="G192" s="103"/>
      <c r="H192" s="150"/>
      <c r="I192" s="55"/>
      <c r="J192" s="105"/>
      <c r="K192" s="55"/>
      <c r="L192" s="65"/>
      <c r="M192" s="55"/>
      <c r="N192" s="55"/>
      <c r="O192" s="55"/>
      <c r="P192" s="55"/>
      <c r="Q192" s="55"/>
      <c r="R192" s="55"/>
      <c r="S192" s="55"/>
      <c r="T192" s="55"/>
    </row>
    <row x14ac:dyDescent="0.25" r="193" customHeight="1" ht="17.25">
      <c r="A193" s="55"/>
      <c r="B193" s="100"/>
      <c r="C193" s="55"/>
      <c r="D193" s="101"/>
      <c r="E193" s="101"/>
      <c r="F193" s="102"/>
      <c r="G193" s="103"/>
      <c r="H193" s="150"/>
      <c r="I193" s="55"/>
      <c r="J193" s="105"/>
      <c r="K193" s="55"/>
      <c r="L193" s="65"/>
      <c r="M193" s="55"/>
      <c r="N193" s="55"/>
      <c r="O193" s="55"/>
      <c r="P193" s="55"/>
      <c r="Q193" s="55"/>
      <c r="R193" s="55"/>
      <c r="S193" s="55"/>
      <c r="T193" s="55"/>
    </row>
    <row x14ac:dyDescent="0.25" r="194" customHeight="1" ht="17.25">
      <c r="A194" s="55"/>
      <c r="B194" s="100"/>
      <c r="C194" s="55"/>
      <c r="D194" s="101"/>
      <c r="E194" s="101"/>
      <c r="F194" s="102"/>
      <c r="G194" s="103"/>
      <c r="H194" s="150"/>
      <c r="I194" s="55"/>
      <c r="J194" s="105"/>
      <c r="K194" s="55"/>
      <c r="L194" s="65"/>
      <c r="M194" s="55"/>
      <c r="N194" s="55"/>
      <c r="O194" s="55"/>
      <c r="P194" s="55"/>
      <c r="Q194" s="55"/>
      <c r="R194" s="55"/>
      <c r="S194" s="55"/>
      <c r="T194" s="55"/>
    </row>
    <row x14ac:dyDescent="0.25" r="195" customHeight="1" ht="17.25">
      <c r="A195" s="55"/>
      <c r="B195" s="100"/>
      <c r="C195" s="55"/>
      <c r="D195" s="101"/>
      <c r="E195" s="101"/>
      <c r="F195" s="102"/>
      <c r="G195" s="103"/>
      <c r="H195" s="150"/>
      <c r="I195" s="55"/>
      <c r="J195" s="105"/>
      <c r="K195" s="55"/>
      <c r="L195" s="65"/>
      <c r="M195" s="55"/>
      <c r="N195" s="55"/>
      <c r="O195" s="55"/>
      <c r="P195" s="55"/>
      <c r="Q195" s="55"/>
      <c r="R195" s="55"/>
      <c r="S195" s="55"/>
      <c r="T195" s="55"/>
    </row>
    <row x14ac:dyDescent="0.25" r="196" customHeight="1" ht="17.25">
      <c r="A196" s="55"/>
      <c r="B196" s="100"/>
      <c r="C196" s="55"/>
      <c r="D196" s="101"/>
      <c r="E196" s="101"/>
      <c r="F196" s="102"/>
      <c r="G196" s="103"/>
      <c r="H196" s="150"/>
      <c r="I196" s="55"/>
      <c r="J196" s="105"/>
      <c r="K196" s="55"/>
      <c r="L196" s="65"/>
      <c r="M196" s="55"/>
      <c r="N196" s="55"/>
      <c r="O196" s="55"/>
      <c r="P196" s="55"/>
      <c r="Q196" s="55"/>
      <c r="R196" s="55"/>
      <c r="S196" s="55"/>
      <c r="T196" s="55"/>
    </row>
    <row x14ac:dyDescent="0.25" r="197" customHeight="1" ht="17.25">
      <c r="A197" s="55"/>
      <c r="B197" s="100"/>
      <c r="C197" s="55"/>
      <c r="D197" s="101"/>
      <c r="E197" s="101"/>
      <c r="F197" s="102"/>
      <c r="G197" s="103"/>
      <c r="H197" s="150"/>
      <c r="I197" s="55"/>
      <c r="J197" s="105"/>
      <c r="K197" s="55"/>
      <c r="L197" s="65"/>
      <c r="M197" s="55"/>
      <c r="N197" s="55"/>
      <c r="O197" s="55"/>
      <c r="P197" s="55"/>
      <c r="Q197" s="55"/>
      <c r="R197" s="55"/>
      <c r="S197" s="55"/>
      <c r="T197" s="55"/>
    </row>
    <row x14ac:dyDescent="0.25" r="198" customHeight="1" ht="17.25">
      <c r="A198" s="55"/>
      <c r="B198" s="100"/>
      <c r="C198" s="55"/>
      <c r="D198" s="101"/>
      <c r="E198" s="101"/>
      <c r="F198" s="102"/>
      <c r="G198" s="103"/>
      <c r="H198" s="150"/>
      <c r="I198" s="55"/>
      <c r="J198" s="105"/>
      <c r="K198" s="55"/>
      <c r="L198" s="65"/>
      <c r="M198" s="55"/>
      <c r="N198" s="55"/>
      <c r="O198" s="55"/>
      <c r="P198" s="55"/>
      <c r="Q198" s="55"/>
      <c r="R198" s="55"/>
      <c r="S198" s="55"/>
      <c r="T198" s="55"/>
    </row>
    <row x14ac:dyDescent="0.25" r="199" customHeight="1" ht="17.25">
      <c r="A199" s="55"/>
      <c r="B199" s="100"/>
      <c r="C199" s="55"/>
      <c r="D199" s="101"/>
      <c r="E199" s="101"/>
      <c r="F199" s="102"/>
      <c r="G199" s="103"/>
      <c r="H199" s="150"/>
      <c r="I199" s="55"/>
      <c r="J199" s="105"/>
      <c r="K199" s="55"/>
      <c r="L199" s="65"/>
      <c r="M199" s="55"/>
      <c r="N199" s="55"/>
      <c r="O199" s="55"/>
      <c r="P199" s="55"/>
      <c r="Q199" s="55"/>
      <c r="R199" s="55"/>
      <c r="S199" s="55"/>
      <c r="T199" s="55"/>
    </row>
    <row x14ac:dyDescent="0.25" r="200" customHeight="1" ht="17.25">
      <c r="A200" s="55"/>
      <c r="B200" s="100"/>
      <c r="C200" s="55"/>
      <c r="D200" s="101"/>
      <c r="E200" s="101"/>
      <c r="F200" s="102"/>
      <c r="G200" s="103"/>
      <c r="H200" s="150"/>
      <c r="I200" s="55"/>
      <c r="J200" s="105"/>
      <c r="K200" s="55"/>
      <c r="L200" s="65"/>
      <c r="M200" s="55"/>
      <c r="N200" s="55"/>
      <c r="O200" s="55"/>
      <c r="P200" s="55"/>
      <c r="Q200" s="55"/>
      <c r="R200" s="55"/>
      <c r="S200" s="55"/>
      <c r="T200" s="55"/>
    </row>
    <row x14ac:dyDescent="0.25" r="201" customHeight="1" ht="17.25">
      <c r="A201" s="55"/>
      <c r="B201" s="100"/>
      <c r="C201" s="55"/>
      <c r="D201" s="101"/>
      <c r="E201" s="101"/>
      <c r="F201" s="102"/>
      <c r="G201" s="103"/>
      <c r="H201" s="150"/>
      <c r="I201" s="55"/>
      <c r="J201" s="105"/>
      <c r="K201" s="55"/>
      <c r="L201" s="65"/>
      <c r="M201" s="55"/>
      <c r="N201" s="55"/>
      <c r="O201" s="55"/>
      <c r="P201" s="55"/>
      <c r="Q201" s="55"/>
      <c r="R201" s="55"/>
      <c r="S201" s="55"/>
      <c r="T201" s="55"/>
    </row>
    <row x14ac:dyDescent="0.25" r="202" customHeight="1" ht="17.25">
      <c r="A202" s="55"/>
      <c r="B202" s="100"/>
      <c r="C202" s="55"/>
      <c r="D202" s="101"/>
      <c r="E202" s="101"/>
      <c r="F202" s="102"/>
      <c r="G202" s="103"/>
      <c r="H202" s="150"/>
      <c r="I202" s="55"/>
      <c r="J202" s="105"/>
      <c r="K202" s="55"/>
      <c r="L202" s="65"/>
      <c r="M202" s="55"/>
      <c r="N202" s="55"/>
      <c r="O202" s="55"/>
      <c r="P202" s="55"/>
      <c r="Q202" s="55"/>
      <c r="R202" s="55"/>
      <c r="S202" s="55"/>
      <c r="T202" s="55"/>
    </row>
    <row x14ac:dyDescent="0.25" r="203" customHeight="1" ht="17.25">
      <c r="A203" s="55"/>
      <c r="B203" s="100"/>
      <c r="C203" s="55"/>
      <c r="D203" s="101"/>
      <c r="E203" s="101"/>
      <c r="F203" s="102"/>
      <c r="G203" s="103"/>
      <c r="H203" s="150"/>
      <c r="I203" s="55"/>
      <c r="J203" s="105"/>
      <c r="K203" s="55"/>
      <c r="L203" s="65"/>
      <c r="M203" s="55"/>
      <c r="N203" s="55"/>
      <c r="O203" s="55"/>
      <c r="P203" s="55"/>
      <c r="Q203" s="55"/>
      <c r="R203" s="55"/>
      <c r="S203" s="55"/>
      <c r="T203" s="55"/>
    </row>
    <row x14ac:dyDescent="0.25" r="204" customHeight="1" ht="17.25">
      <c r="A204" s="55"/>
      <c r="B204" s="100"/>
      <c r="C204" s="55"/>
      <c r="D204" s="101"/>
      <c r="E204" s="101"/>
      <c r="F204" s="102"/>
      <c r="G204" s="103"/>
      <c r="H204" s="150"/>
      <c r="I204" s="55"/>
      <c r="J204" s="105"/>
      <c r="K204" s="55"/>
      <c r="L204" s="65"/>
      <c r="M204" s="55"/>
      <c r="N204" s="55"/>
      <c r="O204" s="55"/>
      <c r="P204" s="55"/>
      <c r="Q204" s="55"/>
      <c r="R204" s="55"/>
      <c r="S204" s="55"/>
      <c r="T204" s="55"/>
    </row>
    <row x14ac:dyDescent="0.25" r="205" customHeight="1" ht="17.25">
      <c r="A205" s="55"/>
      <c r="B205" s="100"/>
      <c r="C205" s="55"/>
      <c r="D205" s="101"/>
      <c r="E205" s="101"/>
      <c r="F205" s="102"/>
      <c r="G205" s="103"/>
      <c r="H205" s="150"/>
      <c r="I205" s="55"/>
      <c r="J205" s="105"/>
      <c r="K205" s="55"/>
      <c r="L205" s="65"/>
      <c r="M205" s="55"/>
      <c r="N205" s="55"/>
      <c r="O205" s="55"/>
      <c r="P205" s="55"/>
      <c r="Q205" s="55"/>
      <c r="R205" s="55"/>
      <c r="S205" s="55"/>
      <c r="T205" s="55"/>
    </row>
    <row x14ac:dyDescent="0.25" r="206" customHeight="1" ht="17.25">
      <c r="A206" s="55"/>
      <c r="B206" s="100"/>
      <c r="C206" s="55"/>
      <c r="D206" s="101"/>
      <c r="E206" s="101"/>
      <c r="F206" s="102"/>
      <c r="G206" s="103"/>
      <c r="H206" s="150"/>
      <c r="I206" s="55"/>
      <c r="J206" s="105"/>
      <c r="K206" s="55"/>
      <c r="L206" s="65"/>
      <c r="M206" s="55"/>
      <c r="N206" s="55"/>
      <c r="O206" s="55"/>
      <c r="P206" s="55"/>
      <c r="Q206" s="55"/>
      <c r="R206" s="55"/>
      <c r="S206" s="55"/>
      <c r="T206" s="55"/>
    </row>
    <row x14ac:dyDescent="0.25" r="207" customHeight="1" ht="17.25">
      <c r="A207" s="55"/>
      <c r="B207" s="100"/>
      <c r="C207" s="55"/>
      <c r="D207" s="101"/>
      <c r="E207" s="101"/>
      <c r="F207" s="102"/>
      <c r="G207" s="103"/>
      <c r="H207" s="150"/>
      <c r="I207" s="55"/>
      <c r="J207" s="105"/>
      <c r="K207" s="55"/>
      <c r="L207" s="65"/>
      <c r="M207" s="55"/>
      <c r="N207" s="55"/>
      <c r="O207" s="55"/>
      <c r="P207" s="55"/>
      <c r="Q207" s="55"/>
      <c r="R207" s="55"/>
      <c r="S207" s="55"/>
      <c r="T207" s="55"/>
    </row>
    <row x14ac:dyDescent="0.25" r="208" customHeight="1" ht="17.25">
      <c r="A208" s="55"/>
      <c r="B208" s="100"/>
      <c r="C208" s="55"/>
      <c r="D208" s="101"/>
      <c r="E208" s="101"/>
      <c r="F208" s="102"/>
      <c r="G208" s="103"/>
      <c r="H208" s="150"/>
      <c r="I208" s="55"/>
      <c r="J208" s="105"/>
      <c r="K208" s="55"/>
      <c r="L208" s="65"/>
      <c r="M208" s="55"/>
      <c r="N208" s="55"/>
      <c r="O208" s="55"/>
      <c r="P208" s="55"/>
      <c r="Q208" s="55"/>
      <c r="R208" s="55"/>
      <c r="S208" s="55"/>
      <c r="T208" s="55"/>
    </row>
    <row x14ac:dyDescent="0.25" r="209" customHeight="1" ht="17.25">
      <c r="A209" s="55"/>
      <c r="B209" s="100"/>
      <c r="C209" s="55"/>
      <c r="D209" s="101"/>
      <c r="E209" s="101"/>
      <c r="F209" s="102"/>
      <c r="G209" s="103"/>
      <c r="H209" s="150"/>
      <c r="I209" s="55"/>
      <c r="J209" s="105"/>
      <c r="K209" s="55"/>
      <c r="L209" s="65"/>
      <c r="M209" s="55"/>
      <c r="N209" s="55"/>
      <c r="O209" s="55"/>
      <c r="P209" s="55"/>
      <c r="Q209" s="55"/>
      <c r="R209" s="55"/>
      <c r="S209" s="55"/>
      <c r="T209" s="55"/>
    </row>
    <row x14ac:dyDescent="0.25" r="210" customHeight="1" ht="17.25">
      <c r="A210" s="55"/>
      <c r="B210" s="100"/>
      <c r="C210" s="55"/>
      <c r="D210" s="101"/>
      <c r="E210" s="101"/>
      <c r="F210" s="102"/>
      <c r="G210" s="103"/>
      <c r="H210" s="150"/>
      <c r="I210" s="55"/>
      <c r="J210" s="105"/>
      <c r="K210" s="55"/>
      <c r="L210" s="65"/>
      <c r="M210" s="55"/>
      <c r="N210" s="55"/>
      <c r="O210" s="55"/>
      <c r="P210" s="55"/>
      <c r="Q210" s="55"/>
      <c r="R210" s="55"/>
      <c r="S210" s="55"/>
      <c r="T210" s="55"/>
    </row>
    <row x14ac:dyDescent="0.25" r="211" customHeight="1" ht="17.25">
      <c r="A211" s="55"/>
      <c r="B211" s="100"/>
      <c r="C211" s="55"/>
      <c r="D211" s="101"/>
      <c r="E211" s="101"/>
      <c r="F211" s="102"/>
      <c r="G211" s="103"/>
      <c r="H211" s="150"/>
      <c r="I211" s="55"/>
      <c r="J211" s="105"/>
      <c r="K211" s="55"/>
      <c r="L211" s="65"/>
      <c r="M211" s="55"/>
      <c r="N211" s="55"/>
      <c r="O211" s="55"/>
      <c r="P211" s="55"/>
      <c r="Q211" s="55"/>
      <c r="R211" s="55"/>
      <c r="S211" s="55"/>
      <c r="T211" s="55"/>
    </row>
    <row x14ac:dyDescent="0.25" r="212" customHeight="1" ht="17.25">
      <c r="A212" s="55"/>
      <c r="B212" s="100"/>
      <c r="C212" s="55"/>
      <c r="D212" s="101"/>
      <c r="E212" s="101"/>
      <c r="F212" s="102"/>
      <c r="G212" s="103"/>
      <c r="H212" s="150"/>
      <c r="I212" s="55"/>
      <c r="J212" s="105"/>
      <c r="K212" s="55"/>
      <c r="L212" s="65"/>
      <c r="M212" s="55"/>
      <c r="N212" s="55"/>
      <c r="O212" s="55"/>
      <c r="P212" s="55"/>
      <c r="Q212" s="55"/>
      <c r="R212" s="55"/>
      <c r="S212" s="55"/>
      <c r="T212" s="55"/>
    </row>
    <row x14ac:dyDescent="0.25" r="213" customHeight="1" ht="17.25">
      <c r="A213" s="55"/>
      <c r="B213" s="100"/>
      <c r="C213" s="55"/>
      <c r="D213" s="101"/>
      <c r="E213" s="101"/>
      <c r="F213" s="102"/>
      <c r="G213" s="103"/>
      <c r="H213" s="150"/>
      <c r="I213" s="55"/>
      <c r="J213" s="105"/>
      <c r="K213" s="55"/>
      <c r="L213" s="65"/>
      <c r="M213" s="55"/>
      <c r="N213" s="55"/>
      <c r="O213" s="55"/>
      <c r="P213" s="55"/>
      <c r="Q213" s="55"/>
      <c r="R213" s="55"/>
      <c r="S213" s="55"/>
      <c r="T213" s="55"/>
    </row>
    <row x14ac:dyDescent="0.25" r="214" customHeight="1" ht="17.25">
      <c r="A214" s="55"/>
      <c r="B214" s="100"/>
      <c r="C214" s="55"/>
      <c r="D214" s="101"/>
      <c r="E214" s="101"/>
      <c r="F214" s="102"/>
      <c r="G214" s="103"/>
      <c r="H214" s="150"/>
      <c r="I214" s="55"/>
      <c r="J214" s="105"/>
      <c r="K214" s="55"/>
      <c r="L214" s="65"/>
      <c r="M214" s="55"/>
      <c r="N214" s="55"/>
      <c r="O214" s="55"/>
      <c r="P214" s="55"/>
      <c r="Q214" s="55"/>
      <c r="R214" s="55"/>
      <c r="S214" s="55"/>
      <c r="T214" s="55"/>
    </row>
    <row x14ac:dyDescent="0.25" r="215" customHeight="1" ht="17.25">
      <c r="A215" s="55"/>
      <c r="B215" s="100"/>
      <c r="C215" s="55"/>
      <c r="D215" s="101"/>
      <c r="E215" s="101"/>
      <c r="F215" s="102"/>
      <c r="G215" s="103"/>
      <c r="H215" s="150"/>
      <c r="I215" s="55"/>
      <c r="J215" s="105"/>
      <c r="K215" s="55"/>
      <c r="L215" s="65"/>
      <c r="M215" s="55"/>
      <c r="N215" s="55"/>
      <c r="O215" s="55"/>
      <c r="P215" s="55"/>
      <c r="Q215" s="55"/>
      <c r="R215" s="55"/>
      <c r="S215" s="55"/>
      <c r="T215" s="55"/>
    </row>
    <row x14ac:dyDescent="0.25" r="216" customHeight="1" ht="17.25">
      <c r="A216" s="55"/>
      <c r="B216" s="100"/>
      <c r="C216" s="55"/>
      <c r="D216" s="101"/>
      <c r="E216" s="101"/>
      <c r="F216" s="102"/>
      <c r="G216" s="103"/>
      <c r="H216" s="150"/>
      <c r="I216" s="55"/>
      <c r="J216" s="105"/>
      <c r="K216" s="55"/>
      <c r="L216" s="65"/>
      <c r="M216" s="55"/>
      <c r="N216" s="55"/>
      <c r="O216" s="55"/>
      <c r="P216" s="55"/>
      <c r="Q216" s="55"/>
      <c r="R216" s="55"/>
      <c r="S216" s="55"/>
      <c r="T216" s="55"/>
    </row>
    <row x14ac:dyDescent="0.25" r="217" customHeight="1" ht="17.25">
      <c r="A217" s="55"/>
      <c r="B217" s="100"/>
      <c r="C217" s="55"/>
      <c r="D217" s="101"/>
      <c r="E217" s="101"/>
      <c r="F217" s="102"/>
      <c r="G217" s="103"/>
      <c r="H217" s="150"/>
      <c r="I217" s="55"/>
      <c r="J217" s="105"/>
      <c r="K217" s="55"/>
      <c r="L217" s="65"/>
      <c r="M217" s="55"/>
      <c r="N217" s="55"/>
      <c r="O217" s="55"/>
      <c r="P217" s="55"/>
      <c r="Q217" s="55"/>
      <c r="R217" s="55"/>
      <c r="S217" s="55"/>
      <c r="T217" s="55"/>
    </row>
    <row x14ac:dyDescent="0.25" r="218" customHeight="1" ht="17.25">
      <c r="A218" s="55"/>
      <c r="B218" s="100"/>
      <c r="C218" s="55"/>
      <c r="D218" s="101"/>
      <c r="E218" s="101"/>
      <c r="F218" s="102"/>
      <c r="G218" s="103"/>
      <c r="H218" s="150"/>
      <c r="I218" s="55"/>
      <c r="J218" s="105"/>
      <c r="K218" s="55"/>
      <c r="L218" s="65"/>
      <c r="M218" s="55"/>
      <c r="N218" s="55"/>
      <c r="O218" s="55"/>
      <c r="P218" s="55"/>
      <c r="Q218" s="55"/>
      <c r="R218" s="55"/>
      <c r="S218" s="55"/>
      <c r="T218" s="55"/>
    </row>
    <row x14ac:dyDescent="0.25" r="219" customHeight="1" ht="17.25">
      <c r="A219" s="55"/>
      <c r="B219" s="100"/>
      <c r="C219" s="55"/>
      <c r="D219" s="101"/>
      <c r="E219" s="101"/>
      <c r="F219" s="102"/>
      <c r="G219" s="103"/>
      <c r="H219" s="150"/>
      <c r="I219" s="55"/>
      <c r="J219" s="105"/>
      <c r="K219" s="55"/>
      <c r="L219" s="65"/>
      <c r="M219" s="55"/>
      <c r="N219" s="55"/>
      <c r="O219" s="55"/>
      <c r="P219" s="55"/>
      <c r="Q219" s="55"/>
      <c r="R219" s="55"/>
      <c r="S219" s="55"/>
      <c r="T219" s="55"/>
    </row>
    <row x14ac:dyDescent="0.25" r="220" customHeight="1" ht="17.25">
      <c r="A220" s="55"/>
      <c r="B220" s="100"/>
      <c r="C220" s="55"/>
      <c r="D220" s="101"/>
      <c r="E220" s="101"/>
      <c r="F220" s="102"/>
      <c r="G220" s="103"/>
      <c r="H220" s="150"/>
      <c r="I220" s="55"/>
      <c r="J220" s="105"/>
      <c r="K220" s="55"/>
      <c r="L220" s="65"/>
      <c r="M220" s="55"/>
      <c r="N220" s="55"/>
      <c r="O220" s="55"/>
      <c r="P220" s="55"/>
      <c r="Q220" s="55"/>
      <c r="R220" s="55"/>
      <c r="S220" s="55"/>
      <c r="T220" s="55"/>
    </row>
    <row x14ac:dyDescent="0.25" r="221" customHeight="1" ht="17.25">
      <c r="A221" s="55"/>
      <c r="B221" s="100"/>
      <c r="C221" s="55"/>
      <c r="D221" s="101"/>
      <c r="E221" s="101"/>
      <c r="F221" s="102"/>
      <c r="G221" s="103"/>
      <c r="H221" s="150"/>
      <c r="I221" s="55"/>
      <c r="J221" s="105"/>
      <c r="K221" s="55"/>
      <c r="L221" s="65"/>
      <c r="M221" s="55"/>
      <c r="N221" s="55"/>
      <c r="O221" s="55"/>
      <c r="P221" s="55"/>
      <c r="Q221" s="55"/>
      <c r="R221" s="55"/>
      <c r="S221" s="55"/>
      <c r="T221" s="55"/>
    </row>
    <row x14ac:dyDescent="0.25" r="222" customHeight="1" ht="17.25">
      <c r="A222" s="55"/>
      <c r="B222" s="100"/>
      <c r="C222" s="55"/>
      <c r="D222" s="101"/>
      <c r="E222" s="101"/>
      <c r="F222" s="102"/>
      <c r="G222" s="103"/>
      <c r="H222" s="150"/>
      <c r="I222" s="55"/>
      <c r="J222" s="105"/>
      <c r="K222" s="55"/>
      <c r="L222" s="65"/>
      <c r="M222" s="55"/>
      <c r="N222" s="55"/>
      <c r="O222" s="55"/>
      <c r="P222" s="55"/>
      <c r="Q222" s="55"/>
      <c r="R222" s="55"/>
      <c r="S222" s="55"/>
      <c r="T222" s="55"/>
    </row>
    <row x14ac:dyDescent="0.25" r="223" customHeight="1" ht="17.25">
      <c r="A223" s="55"/>
      <c r="B223" s="100"/>
      <c r="C223" s="55"/>
      <c r="D223" s="101"/>
      <c r="E223" s="101"/>
      <c r="F223" s="102"/>
      <c r="G223" s="103"/>
      <c r="H223" s="150"/>
      <c r="I223" s="55"/>
      <c r="J223" s="105"/>
      <c r="K223" s="55"/>
      <c r="L223" s="65"/>
      <c r="M223" s="55"/>
      <c r="N223" s="55"/>
      <c r="O223" s="55"/>
      <c r="P223" s="55"/>
      <c r="Q223" s="55"/>
      <c r="R223" s="55"/>
      <c r="S223" s="55"/>
      <c r="T223" s="55"/>
    </row>
    <row x14ac:dyDescent="0.25" r="224" customHeight="1" ht="17.25">
      <c r="A224" s="55"/>
      <c r="B224" s="100"/>
      <c r="C224" s="55"/>
      <c r="D224" s="101"/>
      <c r="E224" s="101"/>
      <c r="F224" s="102"/>
      <c r="G224" s="103"/>
      <c r="H224" s="150"/>
      <c r="I224" s="55"/>
      <c r="J224" s="105"/>
      <c r="K224" s="55"/>
      <c r="L224" s="65"/>
      <c r="M224" s="55"/>
      <c r="N224" s="55"/>
      <c r="O224" s="55"/>
      <c r="P224" s="55"/>
      <c r="Q224" s="55"/>
      <c r="R224" s="55"/>
      <c r="S224" s="55"/>
      <c r="T224" s="55"/>
    </row>
    <row x14ac:dyDescent="0.25" r="225" customHeight="1" ht="17.25">
      <c r="A225" s="55"/>
      <c r="B225" s="100"/>
      <c r="C225" s="55"/>
      <c r="D225" s="101"/>
      <c r="E225" s="101"/>
      <c r="F225" s="102"/>
      <c r="G225" s="103"/>
      <c r="H225" s="150"/>
      <c r="I225" s="55"/>
      <c r="J225" s="105"/>
      <c r="K225" s="55"/>
      <c r="L225" s="65"/>
      <c r="M225" s="55"/>
      <c r="N225" s="55"/>
      <c r="O225" s="55"/>
      <c r="P225" s="55"/>
      <c r="Q225" s="55"/>
      <c r="R225" s="55"/>
      <c r="S225" s="55"/>
      <c r="T225" s="55"/>
    </row>
    <row x14ac:dyDescent="0.25" r="226" customHeight="1" ht="17.25">
      <c r="A226" s="55"/>
      <c r="B226" s="100"/>
      <c r="C226" s="55"/>
      <c r="D226" s="101"/>
      <c r="E226" s="101"/>
      <c r="F226" s="102"/>
      <c r="G226" s="103"/>
      <c r="H226" s="150"/>
      <c r="I226" s="55"/>
      <c r="J226" s="105"/>
      <c r="K226" s="55"/>
      <c r="L226" s="65"/>
      <c r="M226" s="55"/>
      <c r="N226" s="55"/>
      <c r="O226" s="55"/>
      <c r="P226" s="55"/>
      <c r="Q226" s="55"/>
      <c r="R226" s="55"/>
      <c r="S226" s="55"/>
      <c r="T226" s="55"/>
    </row>
    <row x14ac:dyDescent="0.25" r="227" customHeight="1" ht="17.25">
      <c r="A227" s="55"/>
      <c r="B227" s="100"/>
      <c r="C227" s="55"/>
      <c r="D227" s="101"/>
      <c r="E227" s="101"/>
      <c r="F227" s="102"/>
      <c r="G227" s="103"/>
      <c r="H227" s="150"/>
      <c r="I227" s="55"/>
      <c r="J227" s="105"/>
      <c r="K227" s="55"/>
      <c r="L227" s="65"/>
      <c r="M227" s="55"/>
      <c r="N227" s="55"/>
      <c r="O227" s="55"/>
      <c r="P227" s="55"/>
      <c r="Q227" s="55"/>
      <c r="R227" s="55"/>
      <c r="S227" s="55"/>
      <c r="T227" s="55"/>
    </row>
    <row x14ac:dyDescent="0.25" r="228" customHeight="1" ht="17.25">
      <c r="A228" s="55"/>
      <c r="B228" s="100"/>
      <c r="C228" s="55"/>
      <c r="D228" s="101"/>
      <c r="E228" s="101"/>
      <c r="F228" s="102"/>
      <c r="G228" s="103"/>
      <c r="H228" s="150"/>
      <c r="I228" s="55"/>
      <c r="J228" s="105"/>
      <c r="K228" s="55"/>
      <c r="L228" s="65"/>
      <c r="M228" s="55"/>
      <c r="N228" s="55"/>
      <c r="O228" s="55"/>
      <c r="P228" s="55"/>
      <c r="Q228" s="55"/>
      <c r="R228" s="55"/>
      <c r="S228" s="55"/>
      <c r="T228" s="55"/>
    </row>
    <row x14ac:dyDescent="0.25" r="229" customHeight="1" ht="17.25">
      <c r="A229" s="55"/>
      <c r="B229" s="100"/>
      <c r="C229" s="55"/>
      <c r="D229" s="101"/>
      <c r="E229" s="101"/>
      <c r="F229" s="102"/>
      <c r="G229" s="103"/>
      <c r="H229" s="150"/>
      <c r="I229" s="55"/>
      <c r="J229" s="105"/>
      <c r="K229" s="55"/>
      <c r="L229" s="65"/>
      <c r="M229" s="55"/>
      <c r="N229" s="55"/>
      <c r="O229" s="55"/>
      <c r="P229" s="55"/>
      <c r="Q229" s="55"/>
      <c r="R229" s="55"/>
      <c r="S229" s="55"/>
      <c r="T229" s="55"/>
    </row>
    <row x14ac:dyDescent="0.25" r="230" customHeight="1" ht="17.25">
      <c r="A230" s="55"/>
      <c r="B230" s="100"/>
      <c r="C230" s="55"/>
      <c r="D230" s="101"/>
      <c r="E230" s="101"/>
      <c r="F230" s="102"/>
      <c r="G230" s="103"/>
      <c r="H230" s="150"/>
      <c r="I230" s="55"/>
      <c r="J230" s="105"/>
      <c r="K230" s="55"/>
      <c r="L230" s="65"/>
      <c r="M230" s="55"/>
      <c r="N230" s="55"/>
      <c r="O230" s="55"/>
      <c r="P230" s="55"/>
      <c r="Q230" s="55"/>
      <c r="R230" s="55"/>
      <c r="S230" s="55"/>
      <c r="T230" s="55"/>
    </row>
    <row x14ac:dyDescent="0.25" r="231" customHeight="1" ht="17.25">
      <c r="A231" s="55"/>
      <c r="B231" s="100"/>
      <c r="C231" s="55"/>
      <c r="D231" s="101"/>
      <c r="E231" s="101"/>
      <c r="F231" s="102"/>
      <c r="G231" s="103"/>
      <c r="H231" s="150"/>
      <c r="I231" s="55"/>
      <c r="J231" s="105"/>
      <c r="K231" s="55"/>
      <c r="L231" s="65"/>
      <c r="M231" s="55"/>
      <c r="N231" s="55"/>
      <c r="O231" s="55"/>
      <c r="P231" s="55"/>
      <c r="Q231" s="55"/>
      <c r="R231" s="55"/>
      <c r="S231" s="55"/>
      <c r="T231" s="55"/>
    </row>
    <row x14ac:dyDescent="0.25" r="232" customHeight="1" ht="17.25">
      <c r="A232" s="55"/>
      <c r="B232" s="100"/>
      <c r="C232" s="55"/>
      <c r="D232" s="101"/>
      <c r="E232" s="101"/>
      <c r="F232" s="102"/>
      <c r="G232" s="103"/>
      <c r="H232" s="150"/>
      <c r="I232" s="55"/>
      <c r="J232" s="105"/>
      <c r="K232" s="55"/>
      <c r="L232" s="65"/>
      <c r="M232" s="55"/>
      <c r="N232" s="55"/>
      <c r="O232" s="55"/>
      <c r="P232" s="55"/>
      <c r="Q232" s="55"/>
      <c r="R232" s="55"/>
      <c r="S232" s="55"/>
      <c r="T232" s="55"/>
    </row>
    <row x14ac:dyDescent="0.25" r="233" customHeight="1" ht="17.25">
      <c r="A233" s="55"/>
      <c r="B233" s="100"/>
      <c r="C233" s="55"/>
      <c r="D233" s="101"/>
      <c r="E233" s="101"/>
      <c r="F233" s="102"/>
      <c r="G233" s="103"/>
      <c r="H233" s="150"/>
      <c r="I233" s="55"/>
      <c r="J233" s="105"/>
      <c r="K233" s="55"/>
      <c r="L233" s="65"/>
      <c r="M233" s="55"/>
      <c r="N233" s="55"/>
      <c r="O233" s="55"/>
      <c r="P233" s="55"/>
      <c r="Q233" s="55"/>
      <c r="R233" s="55"/>
      <c r="S233" s="55"/>
      <c r="T233" s="55"/>
    </row>
    <row x14ac:dyDescent="0.25" r="234" customHeight="1" ht="17.25">
      <c r="A234" s="55"/>
      <c r="B234" s="100"/>
      <c r="C234" s="55"/>
      <c r="D234" s="101"/>
      <c r="E234" s="101"/>
      <c r="F234" s="102"/>
      <c r="G234" s="103"/>
      <c r="H234" s="150"/>
      <c r="I234" s="55"/>
      <c r="J234" s="105"/>
      <c r="K234" s="55"/>
      <c r="L234" s="65"/>
      <c r="M234" s="55"/>
      <c r="N234" s="55"/>
      <c r="O234" s="55"/>
      <c r="P234" s="55"/>
      <c r="Q234" s="55"/>
      <c r="R234" s="55"/>
      <c r="S234" s="55"/>
      <c r="T234" s="55"/>
    </row>
    <row x14ac:dyDescent="0.25" r="235" customHeight="1" ht="17.25">
      <c r="A235" s="55"/>
      <c r="B235" s="100"/>
      <c r="C235" s="55"/>
      <c r="D235" s="101"/>
      <c r="E235" s="101"/>
      <c r="F235" s="102"/>
      <c r="G235" s="103"/>
      <c r="H235" s="150"/>
      <c r="I235" s="55"/>
      <c r="J235" s="105"/>
      <c r="K235" s="55"/>
      <c r="L235" s="65"/>
      <c r="M235" s="55"/>
      <c r="N235" s="55"/>
      <c r="O235" s="55"/>
      <c r="P235" s="55"/>
      <c r="Q235" s="55"/>
      <c r="R235" s="55"/>
      <c r="S235" s="55"/>
      <c r="T235" s="55"/>
    </row>
    <row x14ac:dyDescent="0.25" r="236" customHeight="1" ht="17.25">
      <c r="A236" s="55"/>
      <c r="B236" s="100"/>
      <c r="C236" s="55"/>
      <c r="D236" s="101"/>
      <c r="E236" s="101"/>
      <c r="F236" s="102"/>
      <c r="G236" s="103"/>
      <c r="H236" s="150"/>
      <c r="I236" s="55"/>
      <c r="J236" s="105"/>
      <c r="K236" s="55"/>
      <c r="L236" s="65"/>
      <c r="M236" s="55"/>
      <c r="N236" s="55"/>
      <c r="O236" s="55"/>
      <c r="P236" s="55"/>
      <c r="Q236" s="55"/>
      <c r="R236" s="55"/>
      <c r="S236" s="55"/>
      <c r="T236" s="55"/>
    </row>
    <row x14ac:dyDescent="0.25" r="237" customHeight="1" ht="17.25">
      <c r="A237" s="55"/>
      <c r="B237" s="100"/>
      <c r="C237" s="55"/>
      <c r="D237" s="101"/>
      <c r="E237" s="101"/>
      <c r="F237" s="102"/>
      <c r="G237" s="103"/>
      <c r="H237" s="150"/>
      <c r="I237" s="55"/>
      <c r="J237" s="105"/>
      <c r="K237" s="55"/>
      <c r="L237" s="65"/>
      <c r="M237" s="55"/>
      <c r="N237" s="55"/>
      <c r="O237" s="55"/>
      <c r="P237" s="55"/>
      <c r="Q237" s="55"/>
      <c r="R237" s="55"/>
      <c r="S237" s="55"/>
      <c r="T237" s="55"/>
    </row>
    <row x14ac:dyDescent="0.25" r="238" customHeight="1" ht="17.25">
      <c r="A238" s="55"/>
      <c r="B238" s="100"/>
      <c r="C238" s="55"/>
      <c r="D238" s="101"/>
      <c r="E238" s="101"/>
      <c r="F238" s="102"/>
      <c r="G238" s="103"/>
      <c r="H238" s="150"/>
      <c r="I238" s="55"/>
      <c r="J238" s="105"/>
      <c r="K238" s="55"/>
      <c r="L238" s="65"/>
      <c r="M238" s="55"/>
      <c r="N238" s="55"/>
      <c r="O238" s="55"/>
      <c r="P238" s="55"/>
      <c r="Q238" s="55"/>
      <c r="R238" s="55"/>
      <c r="S238" s="55"/>
      <c r="T238" s="55"/>
    </row>
    <row x14ac:dyDescent="0.25" r="239" customHeight="1" ht="17.25">
      <c r="A239" s="55"/>
      <c r="B239" s="100"/>
      <c r="C239" s="55"/>
      <c r="D239" s="101"/>
      <c r="E239" s="101"/>
      <c r="F239" s="102"/>
      <c r="G239" s="103"/>
      <c r="H239" s="150"/>
      <c r="I239" s="55"/>
      <c r="J239" s="105"/>
      <c r="K239" s="55"/>
      <c r="L239" s="65"/>
      <c r="M239" s="55"/>
      <c r="N239" s="55"/>
      <c r="O239" s="55"/>
      <c r="P239" s="55"/>
      <c r="Q239" s="55"/>
      <c r="R239" s="55"/>
      <c r="S239" s="55"/>
      <c r="T239" s="55"/>
    </row>
    <row x14ac:dyDescent="0.25" r="240" customHeight="1" ht="17.25">
      <c r="A240" s="55"/>
      <c r="B240" s="100"/>
      <c r="C240" s="55"/>
      <c r="D240" s="101"/>
      <c r="E240" s="101"/>
      <c r="F240" s="102"/>
      <c r="G240" s="103"/>
      <c r="H240" s="150"/>
      <c r="I240" s="55"/>
      <c r="J240" s="105"/>
      <c r="K240" s="55"/>
      <c r="L240" s="65"/>
      <c r="M240" s="55"/>
      <c r="N240" s="55"/>
      <c r="O240" s="55"/>
      <c r="P240" s="55"/>
      <c r="Q240" s="55"/>
      <c r="R240" s="55"/>
      <c r="S240" s="55"/>
      <c r="T240" s="55"/>
    </row>
    <row x14ac:dyDescent="0.25" r="241" customHeight="1" ht="17.25">
      <c r="A241" s="55"/>
      <c r="B241" s="100"/>
      <c r="C241" s="55"/>
      <c r="D241" s="101"/>
      <c r="E241" s="101"/>
      <c r="F241" s="102"/>
      <c r="G241" s="103"/>
      <c r="H241" s="150"/>
      <c r="I241" s="55"/>
      <c r="J241" s="105"/>
      <c r="K241" s="55"/>
      <c r="L241" s="65"/>
      <c r="M241" s="55"/>
      <c r="N241" s="55"/>
      <c r="O241" s="55"/>
      <c r="P241" s="55"/>
      <c r="Q241" s="55"/>
      <c r="R241" s="55"/>
      <c r="S241" s="55"/>
      <c r="T241" s="55"/>
    </row>
    <row x14ac:dyDescent="0.25" r="242" customHeight="1" ht="17.25">
      <c r="A242" s="55"/>
      <c r="B242" s="100"/>
      <c r="C242" s="55"/>
      <c r="D242" s="101"/>
      <c r="E242" s="101"/>
      <c r="F242" s="102"/>
      <c r="G242" s="103"/>
      <c r="H242" s="150"/>
      <c r="I242" s="55"/>
      <c r="J242" s="105"/>
      <c r="K242" s="55"/>
      <c r="L242" s="65"/>
      <c r="M242" s="55"/>
      <c r="N242" s="55"/>
      <c r="O242" s="55"/>
      <c r="P242" s="55"/>
      <c r="Q242" s="55"/>
      <c r="R242" s="55"/>
      <c r="S242" s="55"/>
      <c r="T242" s="55"/>
    </row>
    <row x14ac:dyDescent="0.25" r="243" customHeight="1" ht="17.25">
      <c r="A243" s="55"/>
      <c r="B243" s="100"/>
      <c r="C243" s="55"/>
      <c r="D243" s="101"/>
      <c r="E243" s="101"/>
      <c r="F243" s="102"/>
      <c r="G243" s="103"/>
      <c r="H243" s="150"/>
      <c r="I243" s="55"/>
      <c r="J243" s="105"/>
      <c r="K243" s="55"/>
      <c r="L243" s="65"/>
      <c r="M243" s="55"/>
      <c r="N243" s="55"/>
      <c r="O243" s="55"/>
      <c r="P243" s="55"/>
      <c r="Q243" s="55"/>
      <c r="R243" s="55"/>
      <c r="S243" s="55"/>
      <c r="T243" s="55"/>
    </row>
    <row x14ac:dyDescent="0.25" r="244" customHeight="1" ht="17.25">
      <c r="A244" s="55"/>
      <c r="B244" s="100"/>
      <c r="C244" s="55"/>
      <c r="D244" s="101"/>
      <c r="E244" s="101"/>
      <c r="F244" s="102"/>
      <c r="G244" s="103"/>
      <c r="H244" s="150"/>
      <c r="I244" s="55"/>
      <c r="J244" s="105"/>
      <c r="K244" s="55"/>
      <c r="L244" s="65"/>
      <c r="M244" s="55"/>
      <c r="N244" s="55"/>
      <c r="O244" s="55"/>
      <c r="P244" s="55"/>
      <c r="Q244" s="55"/>
      <c r="R244" s="55"/>
      <c r="S244" s="55"/>
      <c r="T244" s="55"/>
    </row>
    <row x14ac:dyDescent="0.25" r="245" customHeight="1" ht="17.25">
      <c r="A245" s="55"/>
      <c r="B245" s="100"/>
      <c r="C245" s="55"/>
      <c r="D245" s="101"/>
      <c r="E245" s="101"/>
      <c r="F245" s="102"/>
      <c r="G245" s="103"/>
      <c r="H245" s="150"/>
      <c r="I245" s="55"/>
      <c r="J245" s="105"/>
      <c r="K245" s="55"/>
      <c r="L245" s="65"/>
      <c r="M245" s="55"/>
      <c r="N245" s="55"/>
      <c r="O245" s="55"/>
      <c r="P245" s="55"/>
      <c r="Q245" s="55"/>
      <c r="R245" s="55"/>
      <c r="S245" s="55"/>
      <c r="T245" s="55"/>
    </row>
    <row x14ac:dyDescent="0.25" r="246" customHeight="1" ht="17.25">
      <c r="A246" s="55"/>
      <c r="B246" s="100"/>
      <c r="C246" s="55"/>
      <c r="D246" s="101"/>
      <c r="E246" s="101"/>
      <c r="F246" s="102"/>
      <c r="G246" s="103"/>
      <c r="H246" s="150"/>
      <c r="I246" s="55"/>
      <c r="J246" s="105"/>
      <c r="K246" s="55"/>
      <c r="L246" s="65"/>
      <c r="M246" s="55"/>
      <c r="N246" s="55"/>
      <c r="O246" s="55"/>
      <c r="P246" s="55"/>
      <c r="Q246" s="55"/>
      <c r="R246" s="55"/>
      <c r="S246" s="55"/>
      <c r="T246" s="55"/>
    </row>
    <row x14ac:dyDescent="0.25" r="247" customHeight="1" ht="17.25">
      <c r="A247" s="55"/>
      <c r="B247" s="100"/>
      <c r="C247" s="55"/>
      <c r="D247" s="101"/>
      <c r="E247" s="101"/>
      <c r="F247" s="102"/>
      <c r="G247" s="103"/>
      <c r="H247" s="150"/>
      <c r="I247" s="55"/>
      <c r="J247" s="105"/>
      <c r="K247" s="55"/>
      <c r="L247" s="65"/>
      <c r="M247" s="55"/>
      <c r="N247" s="55"/>
      <c r="O247" s="55"/>
      <c r="P247" s="55"/>
      <c r="Q247" s="55"/>
      <c r="R247" s="55"/>
      <c r="S247" s="55"/>
      <c r="T247" s="55"/>
    </row>
    <row x14ac:dyDescent="0.25" r="248" customHeight="1" ht="17.25">
      <c r="A248" s="55"/>
      <c r="B248" s="100"/>
      <c r="C248" s="55"/>
      <c r="D248" s="101"/>
      <c r="E248" s="101"/>
      <c r="F248" s="102"/>
      <c r="G248" s="103"/>
      <c r="H248" s="150"/>
      <c r="I248" s="55"/>
      <c r="J248" s="105"/>
      <c r="K248" s="55"/>
      <c r="L248" s="65"/>
      <c r="M248" s="55"/>
      <c r="N248" s="55"/>
      <c r="O248" s="55"/>
      <c r="P248" s="55"/>
      <c r="Q248" s="55"/>
      <c r="R248" s="55"/>
      <c r="S248" s="55"/>
      <c r="T248" s="55"/>
    </row>
    <row x14ac:dyDescent="0.25" r="249" customHeight="1" ht="17.25">
      <c r="A249" s="55"/>
      <c r="B249" s="100"/>
      <c r="C249" s="55"/>
      <c r="D249" s="101"/>
      <c r="E249" s="101"/>
      <c r="F249" s="102"/>
      <c r="G249" s="103"/>
      <c r="H249" s="150"/>
      <c r="I249" s="55"/>
      <c r="J249" s="105"/>
      <c r="K249" s="55"/>
      <c r="L249" s="65"/>
      <c r="M249" s="55"/>
      <c r="N249" s="55"/>
      <c r="O249" s="55"/>
      <c r="P249" s="55"/>
      <c r="Q249" s="55"/>
      <c r="R249" s="55"/>
      <c r="S249" s="55"/>
      <c r="T249" s="55"/>
    </row>
    <row x14ac:dyDescent="0.25" r="250" customHeight="1" ht="17.25">
      <c r="A250" s="55"/>
      <c r="B250" s="100"/>
      <c r="C250" s="55"/>
      <c r="D250" s="101"/>
      <c r="E250" s="101"/>
      <c r="F250" s="102"/>
      <c r="G250" s="103"/>
      <c r="H250" s="150"/>
      <c r="I250" s="55"/>
      <c r="J250" s="105"/>
      <c r="K250" s="55"/>
      <c r="L250" s="65"/>
      <c r="M250" s="55"/>
      <c r="N250" s="55"/>
      <c r="O250" s="55"/>
      <c r="P250" s="55"/>
      <c r="Q250" s="55"/>
      <c r="R250" s="55"/>
      <c r="S250" s="55"/>
      <c r="T250" s="55"/>
    </row>
    <row x14ac:dyDescent="0.25" r="251" customHeight="1" ht="17.25">
      <c r="A251" s="55"/>
      <c r="B251" s="100"/>
      <c r="C251" s="55"/>
      <c r="D251" s="101"/>
      <c r="E251" s="101"/>
      <c r="F251" s="102"/>
      <c r="G251" s="103"/>
      <c r="H251" s="150"/>
      <c r="I251" s="55"/>
      <c r="J251" s="105"/>
      <c r="K251" s="55"/>
      <c r="L251" s="65"/>
      <c r="M251" s="55"/>
      <c r="N251" s="55"/>
      <c r="O251" s="55"/>
      <c r="P251" s="55"/>
      <c r="Q251" s="55"/>
      <c r="R251" s="55"/>
      <c r="S251" s="55"/>
      <c r="T251" s="55"/>
    </row>
    <row x14ac:dyDescent="0.25" r="252" customHeight="1" ht="17.25">
      <c r="A252" s="55"/>
      <c r="B252" s="100"/>
      <c r="C252" s="55"/>
      <c r="D252" s="101"/>
      <c r="E252" s="101"/>
      <c r="F252" s="102"/>
      <c r="G252" s="103"/>
      <c r="H252" s="150"/>
      <c r="I252" s="55"/>
      <c r="J252" s="105"/>
      <c r="K252" s="55"/>
      <c r="L252" s="65"/>
      <c r="M252" s="55"/>
      <c r="N252" s="55"/>
      <c r="O252" s="55"/>
      <c r="P252" s="55"/>
      <c r="Q252" s="55"/>
      <c r="R252" s="55"/>
      <c r="S252" s="55"/>
      <c r="T252" s="55"/>
    </row>
    <row x14ac:dyDescent="0.25" r="253" customHeight="1" ht="17.25">
      <c r="A253" s="55"/>
      <c r="B253" s="100"/>
      <c r="C253" s="55"/>
      <c r="D253" s="101"/>
      <c r="E253" s="101"/>
      <c r="F253" s="102"/>
      <c r="G253" s="103"/>
      <c r="H253" s="150"/>
      <c r="I253" s="55"/>
      <c r="J253" s="105"/>
      <c r="K253" s="55"/>
      <c r="L253" s="65"/>
      <c r="M253" s="55"/>
      <c r="N253" s="55"/>
      <c r="O253" s="55"/>
      <c r="P253" s="55"/>
      <c r="Q253" s="55"/>
      <c r="R253" s="55"/>
      <c r="S253" s="55"/>
      <c r="T253" s="55"/>
    </row>
    <row x14ac:dyDescent="0.25" r="254" customHeight="1" ht="17.25">
      <c r="A254" s="55"/>
      <c r="B254" s="100"/>
      <c r="C254" s="55"/>
      <c r="D254" s="101"/>
      <c r="E254" s="101"/>
      <c r="F254" s="102"/>
      <c r="G254" s="103"/>
      <c r="H254" s="150"/>
      <c r="I254" s="55"/>
      <c r="J254" s="105"/>
      <c r="K254" s="55"/>
      <c r="L254" s="65"/>
      <c r="M254" s="55"/>
      <c r="N254" s="55"/>
      <c r="O254" s="55"/>
      <c r="P254" s="55"/>
      <c r="Q254" s="55"/>
      <c r="R254" s="55"/>
      <c r="S254" s="55"/>
      <c r="T254" s="55"/>
    </row>
    <row x14ac:dyDescent="0.25" r="255" customHeight="1" ht="17.25">
      <c r="A255" s="55"/>
      <c r="B255" s="100"/>
      <c r="C255" s="55"/>
      <c r="D255" s="101"/>
      <c r="E255" s="101"/>
      <c r="F255" s="102"/>
      <c r="G255" s="103"/>
      <c r="H255" s="150"/>
      <c r="I255" s="55"/>
      <c r="J255" s="105"/>
      <c r="K255" s="55"/>
      <c r="L255" s="65"/>
      <c r="M255" s="55"/>
      <c r="N255" s="55"/>
      <c r="O255" s="55"/>
      <c r="P255" s="55"/>
      <c r="Q255" s="55"/>
      <c r="R255" s="55"/>
      <c r="S255" s="55"/>
      <c r="T255" s="55"/>
    </row>
    <row x14ac:dyDescent="0.25" r="256" customHeight="1" ht="17.25">
      <c r="A256" s="55"/>
      <c r="B256" s="100"/>
      <c r="C256" s="55"/>
      <c r="D256" s="101"/>
      <c r="E256" s="101"/>
      <c r="F256" s="102"/>
      <c r="G256" s="103"/>
      <c r="H256" s="150"/>
      <c r="I256" s="55"/>
      <c r="J256" s="105"/>
      <c r="K256" s="55"/>
      <c r="L256" s="65"/>
      <c r="M256" s="55"/>
      <c r="N256" s="55"/>
      <c r="O256" s="55"/>
      <c r="P256" s="55"/>
      <c r="Q256" s="55"/>
      <c r="R256" s="55"/>
      <c r="S256" s="55"/>
      <c r="T256" s="55"/>
    </row>
    <row x14ac:dyDescent="0.25" r="257" customHeight="1" ht="17.25">
      <c r="A257" s="55"/>
      <c r="B257" s="100"/>
      <c r="C257" s="55"/>
      <c r="D257" s="101"/>
      <c r="E257" s="101"/>
      <c r="F257" s="102"/>
      <c r="G257" s="103"/>
      <c r="H257" s="150"/>
      <c r="I257" s="55"/>
      <c r="J257" s="105"/>
      <c r="K257" s="55"/>
      <c r="L257" s="65"/>
      <c r="M257" s="55"/>
      <c r="N257" s="55"/>
      <c r="O257" s="55"/>
      <c r="P257" s="55"/>
      <c r="Q257" s="55"/>
      <c r="R257" s="55"/>
      <c r="S257" s="55"/>
      <c r="T257" s="55"/>
    </row>
    <row x14ac:dyDescent="0.25" r="258" customHeight="1" ht="17.25">
      <c r="A258" s="55"/>
      <c r="B258" s="100"/>
      <c r="C258" s="55"/>
      <c r="D258" s="101"/>
      <c r="E258" s="101"/>
      <c r="F258" s="102"/>
      <c r="G258" s="103"/>
      <c r="H258" s="150"/>
      <c r="I258" s="55"/>
      <c r="J258" s="105"/>
      <c r="K258" s="55"/>
      <c r="L258" s="65"/>
      <c r="M258" s="55"/>
      <c r="N258" s="55"/>
      <c r="O258" s="55"/>
      <c r="P258" s="55"/>
      <c r="Q258" s="55"/>
      <c r="R258" s="55"/>
      <c r="S258" s="55"/>
      <c r="T258" s="55"/>
    </row>
    <row x14ac:dyDescent="0.25" r="259" customHeight="1" ht="17.25">
      <c r="A259" s="55"/>
      <c r="B259" s="100"/>
      <c r="C259" s="55"/>
      <c r="D259" s="101"/>
      <c r="E259" s="101"/>
      <c r="F259" s="102"/>
      <c r="G259" s="103"/>
      <c r="H259" s="150"/>
      <c r="I259" s="55"/>
      <c r="J259" s="105"/>
      <c r="K259" s="55"/>
      <c r="L259" s="65"/>
      <c r="M259" s="55"/>
      <c r="N259" s="55"/>
      <c r="O259" s="55"/>
      <c r="P259" s="55"/>
      <c r="Q259" s="55"/>
      <c r="R259" s="55"/>
      <c r="S259" s="55"/>
      <c r="T259" s="55"/>
    </row>
    <row x14ac:dyDescent="0.25" r="260" customHeight="1" ht="17.25">
      <c r="A260" s="55"/>
      <c r="B260" s="100"/>
      <c r="C260" s="55"/>
      <c r="D260" s="101"/>
      <c r="E260" s="101"/>
      <c r="F260" s="102"/>
      <c r="G260" s="103"/>
      <c r="H260" s="150"/>
      <c r="I260" s="55"/>
      <c r="J260" s="105"/>
      <c r="K260" s="55"/>
      <c r="L260" s="65"/>
      <c r="M260" s="55"/>
      <c r="N260" s="55"/>
      <c r="O260" s="55"/>
      <c r="P260" s="55"/>
      <c r="Q260" s="55"/>
      <c r="R260" s="55"/>
      <c r="S260" s="55"/>
      <c r="T260" s="55"/>
    </row>
    <row x14ac:dyDescent="0.25" r="261" customHeight="1" ht="17.25">
      <c r="A261" s="55"/>
      <c r="B261" s="100"/>
      <c r="C261" s="55"/>
      <c r="D261" s="101"/>
      <c r="E261" s="101"/>
      <c r="F261" s="102"/>
      <c r="G261" s="103"/>
      <c r="H261" s="150"/>
      <c r="I261" s="55"/>
      <c r="J261" s="105"/>
      <c r="K261" s="55"/>
      <c r="L261" s="65"/>
      <c r="M261" s="55"/>
      <c r="N261" s="55"/>
      <c r="O261" s="55"/>
      <c r="P261" s="55"/>
      <c r="Q261" s="55"/>
      <c r="R261" s="55"/>
      <c r="S261" s="55"/>
      <c r="T261" s="55"/>
    </row>
    <row x14ac:dyDescent="0.25" r="262" customHeight="1" ht="17.25">
      <c r="A262" s="55"/>
      <c r="B262" s="100"/>
      <c r="C262" s="55"/>
      <c r="D262" s="101"/>
      <c r="E262" s="101"/>
      <c r="F262" s="102"/>
      <c r="G262" s="103"/>
      <c r="H262" s="150"/>
      <c r="I262" s="55"/>
      <c r="J262" s="105"/>
      <c r="K262" s="55"/>
      <c r="L262" s="65"/>
      <c r="M262" s="55"/>
      <c r="N262" s="55"/>
      <c r="O262" s="55"/>
      <c r="P262" s="55"/>
      <c r="Q262" s="55"/>
      <c r="R262" s="55"/>
      <c r="S262" s="55"/>
      <c r="T262" s="55"/>
    </row>
    <row x14ac:dyDescent="0.25" r="263" customHeight="1" ht="17.25">
      <c r="A263" s="55"/>
      <c r="B263" s="100"/>
      <c r="C263" s="55"/>
      <c r="D263" s="101"/>
      <c r="E263" s="101"/>
      <c r="F263" s="102"/>
      <c r="G263" s="103"/>
      <c r="H263" s="150"/>
      <c r="I263" s="55"/>
      <c r="J263" s="105"/>
      <c r="K263" s="55"/>
      <c r="L263" s="65"/>
      <c r="M263" s="55"/>
      <c r="N263" s="55"/>
      <c r="O263" s="55"/>
      <c r="P263" s="55"/>
      <c r="Q263" s="55"/>
      <c r="R263" s="55"/>
      <c r="S263" s="55"/>
      <c r="T263" s="55"/>
    </row>
    <row x14ac:dyDescent="0.25" r="264" customHeight="1" ht="17.25">
      <c r="A264" s="55"/>
      <c r="B264" s="100"/>
      <c r="C264" s="55"/>
      <c r="D264" s="101"/>
      <c r="E264" s="101"/>
      <c r="F264" s="102"/>
      <c r="G264" s="103"/>
      <c r="H264" s="150"/>
      <c r="I264" s="55"/>
      <c r="J264" s="105"/>
      <c r="K264" s="55"/>
      <c r="L264" s="65"/>
      <c r="M264" s="55"/>
      <c r="N264" s="55"/>
      <c r="O264" s="55"/>
      <c r="P264" s="55"/>
      <c r="Q264" s="55"/>
      <c r="R264" s="55"/>
      <c r="S264" s="55"/>
      <c r="T264" s="55"/>
    </row>
    <row x14ac:dyDescent="0.25" r="265" customHeight="1" ht="17.25">
      <c r="A265" s="55"/>
      <c r="B265" s="100"/>
      <c r="C265" s="55"/>
      <c r="D265" s="101"/>
      <c r="E265" s="101"/>
      <c r="F265" s="102"/>
      <c r="G265" s="103"/>
      <c r="H265" s="150"/>
      <c r="I265" s="55"/>
      <c r="J265" s="105"/>
      <c r="K265" s="55"/>
      <c r="L265" s="65"/>
      <c r="M265" s="55"/>
      <c r="N265" s="55"/>
      <c r="O265" s="55"/>
      <c r="P265" s="55"/>
      <c r="Q265" s="55"/>
      <c r="R265" s="55"/>
      <c r="S265" s="55"/>
      <c r="T265" s="55"/>
    </row>
    <row x14ac:dyDescent="0.25" r="266" customHeight="1" ht="17.25">
      <c r="A266" s="55"/>
      <c r="B266" s="100"/>
      <c r="C266" s="55"/>
      <c r="D266" s="101"/>
      <c r="E266" s="101"/>
      <c r="F266" s="102"/>
      <c r="G266" s="103"/>
      <c r="H266" s="150"/>
      <c r="I266" s="55"/>
      <c r="J266" s="105"/>
      <c r="K266" s="55"/>
      <c r="L266" s="65"/>
      <c r="M266" s="55"/>
      <c r="N266" s="55"/>
      <c r="O266" s="55"/>
      <c r="P266" s="55"/>
      <c r="Q266" s="55"/>
      <c r="R266" s="55"/>
      <c r="S266" s="55"/>
      <c r="T266" s="55"/>
    </row>
    <row x14ac:dyDescent="0.25" r="267" customHeight="1" ht="17.25">
      <c r="A267" s="55"/>
      <c r="B267" s="100"/>
      <c r="C267" s="55"/>
      <c r="D267" s="101"/>
      <c r="E267" s="101"/>
      <c r="F267" s="102"/>
      <c r="G267" s="103"/>
      <c r="H267" s="150"/>
      <c r="I267" s="55"/>
      <c r="J267" s="105"/>
      <c r="K267" s="55"/>
      <c r="L267" s="65"/>
      <c r="M267" s="55"/>
      <c r="N267" s="55"/>
      <c r="O267" s="55"/>
      <c r="P267" s="55"/>
      <c r="Q267" s="55"/>
      <c r="R267" s="55"/>
      <c r="S267" s="55"/>
      <c r="T267" s="55"/>
    </row>
    <row x14ac:dyDescent="0.25" r="268" customHeight="1" ht="17.25">
      <c r="A268" s="55"/>
      <c r="B268" s="100"/>
      <c r="C268" s="55"/>
      <c r="D268" s="101"/>
      <c r="E268" s="101"/>
      <c r="F268" s="102"/>
      <c r="G268" s="103"/>
      <c r="H268" s="150"/>
      <c r="I268" s="55"/>
      <c r="J268" s="105"/>
      <c r="K268" s="55"/>
      <c r="L268" s="65"/>
      <c r="M268" s="55"/>
      <c r="N268" s="55"/>
      <c r="O268" s="55"/>
      <c r="P268" s="55"/>
      <c r="Q268" s="55"/>
      <c r="R268" s="55"/>
      <c r="S268" s="55"/>
      <c r="T268" s="55"/>
    </row>
    <row x14ac:dyDescent="0.25" r="269" customHeight="1" ht="17.25">
      <c r="A269" s="55"/>
      <c r="B269" s="100"/>
      <c r="C269" s="55"/>
      <c r="D269" s="101"/>
      <c r="E269" s="101"/>
      <c r="F269" s="102"/>
      <c r="G269" s="103"/>
      <c r="H269" s="150"/>
      <c r="I269" s="55"/>
      <c r="J269" s="105"/>
      <c r="K269" s="55"/>
      <c r="L269" s="65"/>
      <c r="M269" s="55"/>
      <c r="N269" s="55"/>
      <c r="O269" s="55"/>
      <c r="P269" s="55"/>
      <c r="Q269" s="55"/>
      <c r="R269" s="55"/>
      <c r="S269" s="55"/>
      <c r="T269" s="55"/>
    </row>
    <row x14ac:dyDescent="0.25" r="270" customHeight="1" ht="17.25">
      <c r="A270" s="55"/>
      <c r="B270" s="100"/>
      <c r="C270" s="55"/>
      <c r="D270" s="101"/>
      <c r="E270" s="101"/>
      <c r="F270" s="102"/>
      <c r="G270" s="103"/>
      <c r="H270" s="150"/>
      <c r="I270" s="55"/>
      <c r="J270" s="105"/>
      <c r="K270" s="55"/>
      <c r="L270" s="65"/>
      <c r="M270" s="55"/>
      <c r="N270" s="55"/>
      <c r="O270" s="55"/>
      <c r="P270" s="55"/>
      <c r="Q270" s="55"/>
      <c r="R270" s="55"/>
      <c r="S270" s="55"/>
      <c r="T270" s="55"/>
    </row>
    <row x14ac:dyDescent="0.25" r="271" customHeight="1" ht="17.25">
      <c r="A271" s="55"/>
      <c r="B271" s="100"/>
      <c r="C271" s="55"/>
      <c r="D271" s="101"/>
      <c r="E271" s="101"/>
      <c r="F271" s="102"/>
      <c r="G271" s="103"/>
      <c r="H271" s="150"/>
      <c r="I271" s="55"/>
      <c r="J271" s="105"/>
      <c r="K271" s="55"/>
      <c r="L271" s="65"/>
      <c r="M271" s="55"/>
      <c r="N271" s="55"/>
      <c r="O271" s="55"/>
      <c r="P271" s="55"/>
      <c r="Q271" s="55"/>
      <c r="R271" s="55"/>
      <c r="S271" s="55"/>
      <c r="T271" s="55"/>
    </row>
    <row x14ac:dyDescent="0.25" r="272" customHeight="1" ht="17.25">
      <c r="A272" s="55"/>
      <c r="B272" s="100"/>
      <c r="C272" s="55"/>
      <c r="D272" s="101"/>
      <c r="E272" s="101"/>
      <c r="F272" s="102"/>
      <c r="G272" s="103"/>
      <c r="H272" s="150"/>
      <c r="I272" s="55"/>
      <c r="J272" s="105"/>
      <c r="K272" s="55"/>
      <c r="L272" s="65"/>
      <c r="M272" s="55"/>
      <c r="N272" s="55"/>
      <c r="O272" s="55"/>
      <c r="P272" s="55"/>
      <c r="Q272" s="55"/>
      <c r="R272" s="55"/>
      <c r="S272" s="55"/>
      <c r="T272" s="55"/>
    </row>
    <row x14ac:dyDescent="0.25" r="273" customHeight="1" ht="17.25">
      <c r="A273" s="55"/>
      <c r="B273" s="100"/>
      <c r="C273" s="55"/>
      <c r="D273" s="101"/>
      <c r="E273" s="101"/>
      <c r="F273" s="102"/>
      <c r="G273" s="103"/>
      <c r="H273" s="150"/>
      <c r="I273" s="55"/>
      <c r="J273" s="105"/>
      <c r="K273" s="55"/>
      <c r="L273" s="65"/>
      <c r="M273" s="55"/>
      <c r="N273" s="55"/>
      <c r="O273" s="55"/>
      <c r="P273" s="55"/>
      <c r="Q273" s="55"/>
      <c r="R273" s="55"/>
      <c r="S273" s="55"/>
      <c r="T273" s="55"/>
    </row>
    <row x14ac:dyDescent="0.25" r="274" customHeight="1" ht="17.25">
      <c r="A274" s="55"/>
      <c r="B274" s="100"/>
      <c r="C274" s="55"/>
      <c r="D274" s="101"/>
      <c r="E274" s="101"/>
      <c r="F274" s="102"/>
      <c r="G274" s="103"/>
      <c r="H274" s="150"/>
      <c r="I274" s="55"/>
      <c r="J274" s="105"/>
      <c r="K274" s="55"/>
      <c r="L274" s="65"/>
      <c r="M274" s="55"/>
      <c r="N274" s="55"/>
      <c r="O274" s="55"/>
      <c r="P274" s="55"/>
      <c r="Q274" s="55"/>
      <c r="R274" s="55"/>
      <c r="S274" s="55"/>
      <c r="T274" s="55"/>
    </row>
    <row x14ac:dyDescent="0.25" r="275" customHeight="1" ht="17.25">
      <c r="A275" s="55"/>
      <c r="B275" s="100"/>
      <c r="C275" s="55"/>
      <c r="D275" s="101"/>
      <c r="E275" s="101"/>
      <c r="F275" s="102"/>
      <c r="G275" s="103"/>
      <c r="H275" s="150"/>
      <c r="I275" s="55"/>
      <c r="J275" s="105"/>
      <c r="K275" s="55"/>
      <c r="L275" s="65"/>
      <c r="M275" s="55"/>
      <c r="N275" s="55"/>
      <c r="O275" s="55"/>
      <c r="P275" s="55"/>
      <c r="Q275" s="55"/>
      <c r="R275" s="55"/>
      <c r="S275" s="55"/>
      <c r="T275" s="55"/>
    </row>
    <row x14ac:dyDescent="0.25" r="276" customHeight="1" ht="17.25">
      <c r="A276" s="55"/>
      <c r="B276" s="100"/>
      <c r="C276" s="55"/>
      <c r="D276" s="101"/>
      <c r="E276" s="101"/>
      <c r="F276" s="102"/>
      <c r="G276" s="103"/>
      <c r="H276" s="150"/>
      <c r="I276" s="55"/>
      <c r="J276" s="105"/>
      <c r="K276" s="55"/>
      <c r="L276" s="65"/>
      <c r="M276" s="55"/>
      <c r="N276" s="55"/>
      <c r="O276" s="55"/>
      <c r="P276" s="55"/>
      <c r="Q276" s="55"/>
      <c r="R276" s="55"/>
      <c r="S276" s="55"/>
      <c r="T276" s="55"/>
    </row>
    <row x14ac:dyDescent="0.25" r="277" customHeight="1" ht="17.25">
      <c r="A277" s="55"/>
      <c r="B277" s="100"/>
      <c r="C277" s="55"/>
      <c r="D277" s="101"/>
      <c r="E277" s="101"/>
      <c r="F277" s="102"/>
      <c r="G277" s="103"/>
      <c r="H277" s="150"/>
      <c r="I277" s="55"/>
      <c r="J277" s="105"/>
      <c r="K277" s="55"/>
      <c r="L277" s="65"/>
      <c r="M277" s="55"/>
      <c r="N277" s="55"/>
      <c r="O277" s="55"/>
      <c r="P277" s="55"/>
      <c r="Q277" s="55"/>
      <c r="R277" s="55"/>
      <c r="S277" s="55"/>
      <c r="T277" s="55"/>
    </row>
    <row x14ac:dyDescent="0.25" r="278" customHeight="1" ht="17.25">
      <c r="A278" s="55"/>
      <c r="B278" s="100"/>
      <c r="C278" s="55"/>
      <c r="D278" s="101"/>
      <c r="E278" s="101"/>
      <c r="F278" s="102"/>
      <c r="G278" s="103"/>
      <c r="H278" s="150"/>
      <c r="I278" s="55"/>
      <c r="J278" s="105"/>
      <c r="K278" s="55"/>
      <c r="L278" s="65"/>
      <c r="M278" s="55"/>
      <c r="N278" s="55"/>
      <c r="O278" s="55"/>
      <c r="P278" s="55"/>
      <c r="Q278" s="55"/>
      <c r="R278" s="55"/>
      <c r="S278" s="55"/>
      <c r="T278" s="55"/>
    </row>
    <row x14ac:dyDescent="0.25" r="279" customHeight="1" ht="17.25">
      <c r="A279" s="55"/>
      <c r="B279" s="100"/>
      <c r="C279" s="55"/>
      <c r="D279" s="101"/>
      <c r="E279" s="101"/>
      <c r="F279" s="102"/>
      <c r="G279" s="103"/>
      <c r="H279" s="150"/>
      <c r="I279" s="55"/>
      <c r="J279" s="105"/>
      <c r="K279" s="55"/>
      <c r="L279" s="65"/>
      <c r="M279" s="55"/>
      <c r="N279" s="55"/>
      <c r="O279" s="55"/>
      <c r="P279" s="55"/>
      <c r="Q279" s="55"/>
      <c r="R279" s="55"/>
      <c r="S279" s="55"/>
      <c r="T279" s="55"/>
    </row>
    <row x14ac:dyDescent="0.25" r="280" customHeight="1" ht="17.25">
      <c r="A280" s="55"/>
      <c r="B280" s="100"/>
      <c r="C280" s="55"/>
      <c r="D280" s="101"/>
      <c r="E280" s="101"/>
      <c r="F280" s="102"/>
      <c r="G280" s="103"/>
      <c r="H280" s="150"/>
      <c r="I280" s="55"/>
      <c r="J280" s="105"/>
      <c r="K280" s="55"/>
      <c r="L280" s="65"/>
      <c r="M280" s="55"/>
      <c r="N280" s="55"/>
      <c r="O280" s="55"/>
      <c r="P280" s="55"/>
      <c r="Q280" s="55"/>
      <c r="R280" s="55"/>
      <c r="S280" s="55"/>
      <c r="T280" s="55"/>
    </row>
    <row x14ac:dyDescent="0.25" r="281" customHeight="1" ht="17.25">
      <c r="A281" s="55"/>
      <c r="B281" s="100"/>
      <c r="C281" s="55"/>
      <c r="D281" s="101"/>
      <c r="E281" s="101"/>
      <c r="F281" s="102"/>
      <c r="G281" s="103"/>
      <c r="H281" s="150"/>
      <c r="I281" s="55"/>
      <c r="J281" s="105"/>
      <c r="K281" s="55"/>
      <c r="L281" s="65"/>
      <c r="M281" s="55"/>
      <c r="N281" s="55"/>
      <c r="O281" s="55"/>
      <c r="P281" s="55"/>
      <c r="Q281" s="55"/>
      <c r="R281" s="55"/>
      <c r="S281" s="55"/>
      <c r="T281" s="55"/>
    </row>
    <row x14ac:dyDescent="0.25" r="282" customHeight="1" ht="17.25">
      <c r="A282" s="55"/>
      <c r="B282" s="100"/>
      <c r="C282" s="55"/>
      <c r="D282" s="101"/>
      <c r="E282" s="101"/>
      <c r="F282" s="102"/>
      <c r="G282" s="103"/>
      <c r="H282" s="150"/>
      <c r="I282" s="55"/>
      <c r="J282" s="105"/>
      <c r="K282" s="55"/>
      <c r="L282" s="65"/>
      <c r="M282" s="55"/>
      <c r="N282" s="55"/>
      <c r="O282" s="55"/>
      <c r="P282" s="55"/>
      <c r="Q282" s="55"/>
      <c r="R282" s="55"/>
      <c r="S282" s="55"/>
      <c r="T282" s="55"/>
    </row>
    <row x14ac:dyDescent="0.25" r="283" customHeight="1" ht="17.25">
      <c r="A283" s="55"/>
      <c r="B283" s="100"/>
      <c r="C283" s="55"/>
      <c r="D283" s="101"/>
      <c r="E283" s="101"/>
      <c r="F283" s="102"/>
      <c r="G283" s="103"/>
      <c r="H283" s="150"/>
      <c r="I283" s="55"/>
      <c r="J283" s="105"/>
      <c r="K283" s="55"/>
      <c r="L283" s="65"/>
      <c r="M283" s="55"/>
      <c r="N283" s="55"/>
      <c r="O283" s="55"/>
      <c r="P283" s="55"/>
      <c r="Q283" s="55"/>
      <c r="R283" s="55"/>
      <c r="S283" s="55"/>
      <c r="T283" s="55"/>
    </row>
    <row x14ac:dyDescent="0.25" r="284" customHeight="1" ht="17.25">
      <c r="A284" s="55"/>
      <c r="B284" s="100"/>
      <c r="C284" s="55"/>
      <c r="D284" s="101"/>
      <c r="E284" s="101"/>
      <c r="F284" s="102"/>
      <c r="G284" s="103"/>
      <c r="H284" s="150"/>
      <c r="I284" s="55"/>
      <c r="J284" s="105"/>
      <c r="K284" s="55"/>
      <c r="L284" s="65"/>
      <c r="M284" s="55"/>
      <c r="N284" s="55"/>
      <c r="O284" s="55"/>
      <c r="P284" s="55"/>
      <c r="Q284" s="55"/>
      <c r="R284" s="55"/>
      <c r="S284" s="55"/>
      <c r="T284" s="55"/>
    </row>
    <row x14ac:dyDescent="0.25" r="285" customHeight="1" ht="17.25">
      <c r="A285" s="55"/>
      <c r="B285" s="100"/>
      <c r="C285" s="55"/>
      <c r="D285" s="101"/>
      <c r="E285" s="101"/>
      <c r="F285" s="102"/>
      <c r="G285" s="103"/>
      <c r="H285" s="150"/>
      <c r="I285" s="55"/>
      <c r="J285" s="105"/>
      <c r="K285" s="55"/>
      <c r="L285" s="65"/>
      <c r="M285" s="55"/>
      <c r="N285" s="55"/>
      <c r="O285" s="55"/>
      <c r="P285" s="55"/>
      <c r="Q285" s="55"/>
      <c r="R285" s="55"/>
      <c r="S285" s="55"/>
      <c r="T285" s="55"/>
    </row>
    <row x14ac:dyDescent="0.25" r="286" customHeight="1" ht="17.25">
      <c r="A286" s="55"/>
      <c r="B286" s="100"/>
      <c r="C286" s="55"/>
      <c r="D286" s="101"/>
      <c r="E286" s="101"/>
      <c r="F286" s="102"/>
      <c r="G286" s="103"/>
      <c r="H286" s="150"/>
      <c r="I286" s="55"/>
      <c r="J286" s="105"/>
      <c r="K286" s="55"/>
      <c r="L286" s="65"/>
      <c r="M286" s="55"/>
      <c r="N286" s="55"/>
      <c r="O286" s="55"/>
      <c r="P286" s="55"/>
      <c r="Q286" s="55"/>
      <c r="R286" s="55"/>
      <c r="S286" s="55"/>
      <c r="T286" s="55"/>
    </row>
    <row x14ac:dyDescent="0.25" r="287" customHeight="1" ht="17.25">
      <c r="A287" s="55"/>
      <c r="B287" s="100"/>
      <c r="C287" s="55"/>
      <c r="D287" s="101"/>
      <c r="E287" s="101"/>
      <c r="F287" s="102"/>
      <c r="G287" s="103"/>
      <c r="H287" s="150"/>
      <c r="I287" s="55"/>
      <c r="J287" s="105"/>
      <c r="K287" s="55"/>
      <c r="L287" s="65"/>
      <c r="M287" s="55"/>
      <c r="N287" s="55"/>
      <c r="O287" s="55"/>
      <c r="P287" s="55"/>
      <c r="Q287" s="55"/>
      <c r="R287" s="55"/>
      <c r="S287" s="55"/>
      <c r="T287" s="55"/>
    </row>
    <row x14ac:dyDescent="0.25" r="288" customHeight="1" ht="17.25">
      <c r="A288" s="55"/>
      <c r="B288" s="100"/>
      <c r="C288" s="55"/>
      <c r="D288" s="101"/>
      <c r="E288" s="101"/>
      <c r="F288" s="102"/>
      <c r="G288" s="103"/>
      <c r="H288" s="150"/>
      <c r="I288" s="55"/>
      <c r="J288" s="105"/>
      <c r="K288" s="55"/>
      <c r="L288" s="65"/>
      <c r="M288" s="55"/>
      <c r="N288" s="55"/>
      <c r="O288" s="55"/>
      <c r="P288" s="55"/>
      <c r="Q288" s="55"/>
      <c r="R288" s="55"/>
      <c r="S288" s="55"/>
      <c r="T288" s="55"/>
    </row>
    <row x14ac:dyDescent="0.25" r="289" customHeight="1" ht="17.25">
      <c r="A289" s="55"/>
      <c r="B289" s="100"/>
      <c r="C289" s="55"/>
      <c r="D289" s="101"/>
      <c r="E289" s="101"/>
      <c r="F289" s="102"/>
      <c r="G289" s="103"/>
      <c r="H289" s="150"/>
      <c r="I289" s="55"/>
      <c r="J289" s="105"/>
      <c r="K289" s="55"/>
      <c r="L289" s="65"/>
      <c r="M289" s="55"/>
      <c r="N289" s="55"/>
      <c r="O289" s="55"/>
      <c r="P289" s="55"/>
      <c r="Q289" s="55"/>
      <c r="R289" s="55"/>
      <c r="S289" s="55"/>
      <c r="T289" s="55"/>
    </row>
    <row x14ac:dyDescent="0.25" r="290" customHeight="1" ht="17.25">
      <c r="A290" s="55"/>
      <c r="B290" s="100"/>
      <c r="C290" s="55"/>
      <c r="D290" s="101"/>
      <c r="E290" s="101"/>
      <c r="F290" s="102"/>
      <c r="G290" s="103"/>
      <c r="H290" s="150"/>
      <c r="I290" s="55"/>
      <c r="J290" s="105"/>
      <c r="K290" s="55"/>
      <c r="L290" s="65"/>
      <c r="M290" s="55"/>
      <c r="N290" s="55"/>
      <c r="O290" s="55"/>
      <c r="P290" s="55"/>
      <c r="Q290" s="55"/>
      <c r="R290" s="55"/>
      <c r="S290" s="55"/>
      <c r="T290" s="55"/>
    </row>
    <row x14ac:dyDescent="0.25" r="291" customHeight="1" ht="17.25">
      <c r="A291" s="55"/>
      <c r="B291" s="100"/>
      <c r="C291" s="55"/>
      <c r="D291" s="101"/>
      <c r="E291" s="101"/>
      <c r="F291" s="102"/>
      <c r="G291" s="103"/>
      <c r="H291" s="150"/>
      <c r="I291" s="55"/>
      <c r="J291" s="105"/>
      <c r="K291" s="55"/>
      <c r="L291" s="65"/>
      <c r="M291" s="55"/>
      <c r="N291" s="55"/>
      <c r="O291" s="55"/>
      <c r="P291" s="55"/>
      <c r="Q291" s="55"/>
      <c r="R291" s="55"/>
      <c r="S291" s="55"/>
      <c r="T291" s="55"/>
    </row>
    <row x14ac:dyDescent="0.25" r="292" customHeight="1" ht="17.25">
      <c r="A292" s="55"/>
      <c r="B292" s="100"/>
      <c r="C292" s="55"/>
      <c r="D292" s="101"/>
      <c r="E292" s="101"/>
      <c r="F292" s="102"/>
      <c r="G292" s="103"/>
      <c r="H292" s="150"/>
      <c r="I292" s="55"/>
      <c r="J292" s="105"/>
      <c r="K292" s="55"/>
      <c r="L292" s="65"/>
      <c r="M292" s="55"/>
      <c r="N292" s="55"/>
      <c r="O292" s="55"/>
      <c r="P292" s="55"/>
      <c r="Q292" s="55"/>
      <c r="R292" s="55"/>
      <c r="S292" s="55"/>
      <c r="T292" s="55"/>
    </row>
    <row x14ac:dyDescent="0.25" r="293" customHeight="1" ht="17.25">
      <c r="A293" s="55"/>
      <c r="B293" s="100"/>
      <c r="C293" s="55"/>
      <c r="D293" s="101"/>
      <c r="E293" s="101"/>
      <c r="F293" s="102"/>
      <c r="G293" s="103"/>
      <c r="H293" s="150"/>
      <c r="I293" s="55"/>
      <c r="J293" s="105"/>
      <c r="K293" s="55"/>
      <c r="L293" s="65"/>
      <c r="M293" s="55"/>
      <c r="N293" s="55"/>
      <c r="O293" s="55"/>
      <c r="P293" s="55"/>
      <c r="Q293" s="55"/>
      <c r="R293" s="55"/>
      <c r="S293" s="55"/>
      <c r="T293" s="55"/>
    </row>
    <row x14ac:dyDescent="0.25" r="294" customHeight="1" ht="17.25">
      <c r="A294" s="55"/>
      <c r="B294" s="100"/>
      <c r="C294" s="55"/>
      <c r="D294" s="101"/>
      <c r="E294" s="101"/>
      <c r="F294" s="102"/>
      <c r="G294" s="103"/>
      <c r="H294" s="150"/>
      <c r="I294" s="55"/>
      <c r="J294" s="105"/>
      <c r="K294" s="55"/>
      <c r="L294" s="65"/>
      <c r="M294" s="55"/>
      <c r="N294" s="55"/>
      <c r="O294" s="55"/>
      <c r="P294" s="55"/>
      <c r="Q294" s="55"/>
      <c r="R294" s="55"/>
      <c r="S294" s="55"/>
      <c r="T294" s="55"/>
    </row>
    <row x14ac:dyDescent="0.25" r="295" customHeight="1" ht="17.25">
      <c r="A295" s="55"/>
      <c r="B295" s="100"/>
      <c r="C295" s="55"/>
      <c r="D295" s="101"/>
      <c r="E295" s="101"/>
      <c r="F295" s="102"/>
      <c r="G295" s="103"/>
      <c r="H295" s="150"/>
      <c r="I295" s="55"/>
      <c r="J295" s="105"/>
      <c r="K295" s="55"/>
      <c r="L295" s="65"/>
      <c r="M295" s="55"/>
      <c r="N295" s="55"/>
      <c r="O295" s="55"/>
      <c r="P295" s="55"/>
      <c r="Q295" s="55"/>
      <c r="R295" s="55"/>
      <c r="S295" s="55"/>
      <c r="T295" s="55"/>
    </row>
    <row x14ac:dyDescent="0.25" r="296" customHeight="1" ht="17.25">
      <c r="A296" s="55"/>
      <c r="B296" s="100"/>
      <c r="C296" s="55"/>
      <c r="D296" s="101"/>
      <c r="E296" s="101"/>
      <c r="F296" s="102"/>
      <c r="G296" s="103"/>
      <c r="H296" s="150"/>
      <c r="I296" s="55"/>
      <c r="J296" s="105"/>
      <c r="K296" s="55"/>
      <c r="L296" s="65"/>
      <c r="M296" s="55"/>
      <c r="N296" s="55"/>
      <c r="O296" s="55"/>
      <c r="P296" s="55"/>
      <c r="Q296" s="55"/>
      <c r="R296" s="55"/>
      <c r="S296" s="55"/>
      <c r="T296" s="55"/>
    </row>
    <row x14ac:dyDescent="0.25" r="297" customHeight="1" ht="17.25">
      <c r="A297" s="55"/>
      <c r="B297" s="100"/>
      <c r="C297" s="55"/>
      <c r="D297" s="101"/>
      <c r="E297" s="101"/>
      <c r="F297" s="102"/>
      <c r="G297" s="103"/>
      <c r="H297" s="150"/>
      <c r="I297" s="55"/>
      <c r="J297" s="105"/>
      <c r="K297" s="55"/>
      <c r="L297" s="65"/>
      <c r="M297" s="55"/>
      <c r="N297" s="55"/>
      <c r="O297" s="55"/>
      <c r="P297" s="55"/>
      <c r="Q297" s="55"/>
      <c r="R297" s="55"/>
      <c r="S297" s="55"/>
      <c r="T297" s="55"/>
    </row>
    <row x14ac:dyDescent="0.25" r="298" customHeight="1" ht="17.25">
      <c r="A298" s="55"/>
      <c r="B298" s="100"/>
      <c r="C298" s="55"/>
      <c r="D298" s="101"/>
      <c r="E298" s="101"/>
      <c r="F298" s="102"/>
      <c r="G298" s="103"/>
      <c r="H298" s="150"/>
      <c r="I298" s="55"/>
      <c r="J298" s="105"/>
      <c r="K298" s="55"/>
      <c r="L298" s="65"/>
      <c r="M298" s="55"/>
      <c r="N298" s="55"/>
      <c r="O298" s="55"/>
      <c r="P298" s="55"/>
      <c r="Q298" s="55"/>
      <c r="R298" s="55"/>
      <c r="S298" s="55"/>
      <c r="T298" s="55"/>
    </row>
    <row x14ac:dyDescent="0.25" r="299" customHeight="1" ht="17.25">
      <c r="A299" s="55"/>
      <c r="B299" s="100"/>
      <c r="C299" s="55"/>
      <c r="D299" s="101"/>
      <c r="E299" s="101"/>
      <c r="F299" s="102"/>
      <c r="G299" s="103"/>
      <c r="H299" s="150"/>
      <c r="I299" s="55"/>
      <c r="J299" s="105"/>
      <c r="K299" s="55"/>
      <c r="L299" s="65"/>
      <c r="M299" s="55"/>
      <c r="N299" s="55"/>
      <c r="O299" s="55"/>
      <c r="P299" s="55"/>
      <c r="Q299" s="55"/>
      <c r="R299" s="55"/>
      <c r="S299" s="55"/>
      <c r="T299" s="55"/>
    </row>
    <row x14ac:dyDescent="0.25" r="300" customHeight="1" ht="17.25">
      <c r="A300" s="55"/>
      <c r="B300" s="100"/>
      <c r="C300" s="55"/>
      <c r="D300" s="101"/>
      <c r="E300" s="101"/>
      <c r="F300" s="102"/>
      <c r="G300" s="103"/>
      <c r="H300" s="150"/>
      <c r="I300" s="55"/>
      <c r="J300" s="105"/>
      <c r="K300" s="55"/>
      <c r="L300" s="65"/>
      <c r="M300" s="55"/>
      <c r="N300" s="55"/>
      <c r="O300" s="55"/>
      <c r="P300" s="55"/>
      <c r="Q300" s="55"/>
      <c r="R300" s="55"/>
      <c r="S300" s="55"/>
      <c r="T300" s="55"/>
    </row>
    <row x14ac:dyDescent="0.25" r="301" customHeight="1" ht="17.25">
      <c r="A301" s="55"/>
      <c r="B301" s="100"/>
      <c r="C301" s="55"/>
      <c r="D301" s="101"/>
      <c r="E301" s="101"/>
      <c r="F301" s="102"/>
      <c r="G301" s="103"/>
      <c r="H301" s="150"/>
      <c r="I301" s="55"/>
      <c r="J301" s="105"/>
      <c r="K301" s="55"/>
      <c r="L301" s="65"/>
      <c r="M301" s="55"/>
      <c r="N301" s="55"/>
      <c r="O301" s="55"/>
      <c r="P301" s="55"/>
      <c r="Q301" s="55"/>
      <c r="R301" s="55"/>
      <c r="S301" s="55"/>
      <c r="T301" s="55"/>
    </row>
    <row x14ac:dyDescent="0.25" r="302" customHeight="1" ht="17.25">
      <c r="A302" s="55"/>
      <c r="B302" s="100"/>
      <c r="C302" s="55"/>
      <c r="D302" s="101"/>
      <c r="E302" s="101"/>
      <c r="F302" s="102"/>
      <c r="G302" s="103"/>
      <c r="H302" s="150"/>
      <c r="I302" s="55"/>
      <c r="J302" s="105"/>
      <c r="K302" s="55"/>
      <c r="L302" s="65"/>
      <c r="M302" s="55"/>
      <c r="N302" s="55"/>
      <c r="O302" s="55"/>
      <c r="P302" s="55"/>
      <c r="Q302" s="55"/>
      <c r="R302" s="55"/>
      <c r="S302" s="55"/>
      <c r="T302" s="55"/>
    </row>
    <row x14ac:dyDescent="0.25" r="303" customHeight="1" ht="17.25">
      <c r="A303" s="55"/>
      <c r="B303" s="100"/>
      <c r="C303" s="55"/>
      <c r="D303" s="101"/>
      <c r="E303" s="101"/>
      <c r="F303" s="102"/>
      <c r="G303" s="103"/>
      <c r="H303" s="150"/>
      <c r="I303" s="55"/>
      <c r="J303" s="105"/>
      <c r="K303" s="55"/>
      <c r="L303" s="65"/>
      <c r="M303" s="55"/>
      <c r="N303" s="55"/>
      <c r="O303" s="55"/>
      <c r="P303" s="55"/>
      <c r="Q303" s="55"/>
      <c r="R303" s="55"/>
      <c r="S303" s="55"/>
      <c r="T303" s="55"/>
    </row>
    <row x14ac:dyDescent="0.25" r="304" customHeight="1" ht="17.25">
      <c r="A304" s="55"/>
      <c r="B304" s="100"/>
      <c r="C304" s="55"/>
      <c r="D304" s="101"/>
      <c r="E304" s="101"/>
      <c r="F304" s="102"/>
      <c r="G304" s="103"/>
      <c r="H304" s="150"/>
      <c r="I304" s="55"/>
      <c r="J304" s="105"/>
      <c r="K304" s="55"/>
      <c r="L304" s="65"/>
      <c r="M304" s="55"/>
      <c r="N304" s="55"/>
      <c r="O304" s="55"/>
      <c r="P304" s="55"/>
      <c r="Q304" s="55"/>
      <c r="R304" s="55"/>
      <c r="S304" s="55"/>
      <c r="T304" s="55"/>
    </row>
    <row x14ac:dyDescent="0.25" r="305" customHeight="1" ht="17.25">
      <c r="A305" s="55"/>
      <c r="B305" s="100"/>
      <c r="C305" s="55"/>
      <c r="D305" s="101"/>
      <c r="E305" s="101"/>
      <c r="F305" s="102"/>
      <c r="G305" s="103"/>
      <c r="H305" s="150"/>
      <c r="I305" s="55"/>
      <c r="J305" s="105"/>
      <c r="K305" s="55"/>
      <c r="L305" s="65"/>
      <c r="M305" s="55"/>
      <c r="N305" s="55"/>
      <c r="O305" s="55"/>
      <c r="P305" s="55"/>
      <c r="Q305" s="55"/>
      <c r="R305" s="55"/>
      <c r="S305" s="55"/>
      <c r="T305" s="55"/>
    </row>
    <row x14ac:dyDescent="0.25" r="306" customHeight="1" ht="17.25">
      <c r="A306" s="55"/>
      <c r="B306" s="100"/>
      <c r="C306" s="55"/>
      <c r="D306" s="101"/>
      <c r="E306" s="101"/>
      <c r="F306" s="102"/>
      <c r="G306" s="103"/>
      <c r="H306" s="150"/>
      <c r="I306" s="55"/>
      <c r="J306" s="105"/>
      <c r="K306" s="55"/>
      <c r="L306" s="65"/>
      <c r="M306" s="55"/>
      <c r="N306" s="55"/>
      <c r="O306" s="55"/>
      <c r="P306" s="55"/>
      <c r="Q306" s="55"/>
      <c r="R306" s="55"/>
      <c r="S306" s="55"/>
      <c r="T306" s="55"/>
    </row>
    <row x14ac:dyDescent="0.25" r="307" customHeight="1" ht="17.25">
      <c r="A307" s="55"/>
      <c r="B307" s="100"/>
      <c r="C307" s="55"/>
      <c r="D307" s="101"/>
      <c r="E307" s="101"/>
      <c r="F307" s="102"/>
      <c r="G307" s="103"/>
      <c r="H307" s="150"/>
      <c r="I307" s="55"/>
      <c r="J307" s="105"/>
      <c r="K307" s="55"/>
      <c r="L307" s="65"/>
      <c r="M307" s="55"/>
      <c r="N307" s="55"/>
      <c r="O307" s="55"/>
      <c r="P307" s="55"/>
      <c r="Q307" s="55"/>
      <c r="R307" s="55"/>
      <c r="S307" s="55"/>
      <c r="T307" s="55"/>
    </row>
    <row x14ac:dyDescent="0.25" r="308" customHeight="1" ht="17.25">
      <c r="A308" s="55"/>
      <c r="B308" s="100"/>
      <c r="C308" s="55"/>
      <c r="D308" s="101"/>
      <c r="E308" s="101"/>
      <c r="F308" s="102"/>
      <c r="G308" s="103"/>
      <c r="H308" s="150"/>
      <c r="I308" s="55"/>
      <c r="J308" s="105"/>
      <c r="K308" s="55"/>
      <c r="L308" s="65"/>
      <c r="M308" s="55"/>
      <c r="N308" s="55"/>
      <c r="O308" s="55"/>
      <c r="P308" s="55"/>
      <c r="Q308" s="55"/>
      <c r="R308" s="55"/>
      <c r="S308" s="55"/>
      <c r="T308" s="55"/>
    </row>
    <row x14ac:dyDescent="0.25" r="309" customHeight="1" ht="17.25">
      <c r="A309" s="55"/>
      <c r="B309" s="100"/>
      <c r="C309" s="55"/>
      <c r="D309" s="101"/>
      <c r="E309" s="101"/>
      <c r="F309" s="102"/>
      <c r="G309" s="103"/>
      <c r="H309" s="150"/>
      <c r="I309" s="55"/>
      <c r="J309" s="105"/>
      <c r="K309" s="55"/>
      <c r="L309" s="65"/>
      <c r="M309" s="55"/>
      <c r="N309" s="55"/>
      <c r="O309" s="55"/>
      <c r="P309" s="55"/>
      <c r="Q309" s="55"/>
      <c r="R309" s="55"/>
      <c r="S309" s="55"/>
      <c r="T309" s="55"/>
    </row>
    <row x14ac:dyDescent="0.25" r="310" customHeight="1" ht="17.25">
      <c r="A310" s="55"/>
      <c r="B310" s="100"/>
      <c r="C310" s="55"/>
      <c r="D310" s="101"/>
      <c r="E310" s="101"/>
      <c r="F310" s="102"/>
      <c r="G310" s="103"/>
      <c r="H310" s="150"/>
      <c r="I310" s="55"/>
      <c r="J310" s="105"/>
      <c r="K310" s="55"/>
      <c r="L310" s="65"/>
      <c r="M310" s="55"/>
      <c r="N310" s="55"/>
      <c r="O310" s="55"/>
      <c r="P310" s="55"/>
      <c r="Q310" s="55"/>
      <c r="R310" s="55"/>
      <c r="S310" s="55"/>
      <c r="T310" s="55"/>
    </row>
    <row x14ac:dyDescent="0.25" r="311" customHeight="1" ht="17.25">
      <c r="A311" s="55"/>
      <c r="B311" s="100"/>
      <c r="C311" s="55"/>
      <c r="D311" s="101"/>
      <c r="E311" s="101"/>
      <c r="F311" s="102"/>
      <c r="G311" s="103"/>
      <c r="H311" s="150"/>
      <c r="I311" s="55"/>
      <c r="J311" s="105"/>
      <c r="K311" s="55"/>
      <c r="L311" s="65"/>
      <c r="M311" s="55"/>
      <c r="N311" s="55"/>
      <c r="O311" s="55"/>
      <c r="P311" s="55"/>
      <c r="Q311" s="55"/>
      <c r="R311" s="55"/>
      <c r="S311" s="55"/>
      <c r="T311" s="55"/>
    </row>
    <row x14ac:dyDescent="0.25" r="312" customHeight="1" ht="17.25">
      <c r="A312" s="55"/>
      <c r="B312" s="100"/>
      <c r="C312" s="55"/>
      <c r="D312" s="101"/>
      <c r="E312" s="101"/>
      <c r="F312" s="102"/>
      <c r="G312" s="103"/>
      <c r="H312" s="150"/>
      <c r="I312" s="55"/>
      <c r="J312" s="105"/>
      <c r="K312" s="55"/>
      <c r="L312" s="65"/>
      <c r="M312" s="55"/>
      <c r="N312" s="55"/>
      <c r="O312" s="55"/>
      <c r="P312" s="55"/>
      <c r="Q312" s="55"/>
      <c r="R312" s="55"/>
      <c r="S312" s="55"/>
      <c r="T312" s="55"/>
    </row>
    <row x14ac:dyDescent="0.25" r="313" customHeight="1" ht="17.25">
      <c r="A313" s="55"/>
      <c r="B313" s="100"/>
      <c r="C313" s="55"/>
      <c r="D313" s="101"/>
      <c r="E313" s="101"/>
      <c r="F313" s="102"/>
      <c r="G313" s="103"/>
      <c r="H313" s="150"/>
      <c r="I313" s="55"/>
      <c r="J313" s="105"/>
      <c r="K313" s="55"/>
      <c r="L313" s="65"/>
      <c r="M313" s="55"/>
      <c r="N313" s="55"/>
      <c r="O313" s="55"/>
      <c r="P313" s="55"/>
      <c r="Q313" s="55"/>
      <c r="R313" s="55"/>
      <c r="S313" s="55"/>
      <c r="T313" s="55"/>
    </row>
    <row x14ac:dyDescent="0.25" r="314" customHeight="1" ht="17.25">
      <c r="A314" s="55"/>
      <c r="B314" s="100"/>
      <c r="C314" s="55"/>
      <c r="D314" s="101"/>
      <c r="E314" s="101"/>
      <c r="F314" s="102"/>
      <c r="G314" s="103"/>
      <c r="H314" s="150"/>
      <c r="I314" s="55"/>
      <c r="J314" s="105"/>
      <c r="K314" s="55"/>
      <c r="L314" s="65"/>
      <c r="M314" s="55"/>
      <c r="N314" s="55"/>
      <c r="O314" s="55"/>
      <c r="P314" s="55"/>
      <c r="Q314" s="55"/>
      <c r="R314" s="55"/>
      <c r="S314" s="55"/>
      <c r="T314" s="55"/>
    </row>
    <row x14ac:dyDescent="0.25" r="315" customHeight="1" ht="17.25">
      <c r="A315" s="55"/>
      <c r="B315" s="100"/>
      <c r="C315" s="55"/>
      <c r="D315" s="101"/>
      <c r="E315" s="101"/>
      <c r="F315" s="102"/>
      <c r="G315" s="103"/>
      <c r="H315" s="150"/>
      <c r="I315" s="55"/>
      <c r="J315" s="105"/>
      <c r="K315" s="55"/>
      <c r="L315" s="65"/>
      <c r="M315" s="55"/>
      <c r="N315" s="55"/>
      <c r="O315" s="55"/>
      <c r="P315" s="55"/>
      <c r="Q315" s="55"/>
      <c r="R315" s="55"/>
      <c r="S315" s="55"/>
      <c r="T315" s="55"/>
    </row>
    <row x14ac:dyDescent="0.25" r="316" customHeight="1" ht="17.25">
      <c r="A316" s="55"/>
      <c r="B316" s="100"/>
      <c r="C316" s="55"/>
      <c r="D316" s="101"/>
      <c r="E316" s="101"/>
      <c r="F316" s="102"/>
      <c r="G316" s="103"/>
      <c r="H316" s="150"/>
      <c r="I316" s="55"/>
      <c r="J316" s="105"/>
      <c r="K316" s="55"/>
      <c r="L316" s="65"/>
      <c r="M316" s="55"/>
      <c r="N316" s="55"/>
      <c r="O316" s="55"/>
      <c r="P316" s="55"/>
      <c r="Q316" s="55"/>
      <c r="R316" s="55"/>
      <c r="S316" s="55"/>
      <c r="T316" s="55"/>
    </row>
    <row x14ac:dyDescent="0.25" r="317" customHeight="1" ht="17.25">
      <c r="A317" s="55"/>
      <c r="B317" s="100"/>
      <c r="C317" s="55"/>
      <c r="D317" s="101"/>
      <c r="E317" s="101"/>
      <c r="F317" s="102"/>
      <c r="G317" s="103"/>
      <c r="H317" s="150"/>
      <c r="I317" s="55"/>
      <c r="J317" s="105"/>
      <c r="K317" s="55"/>
      <c r="L317" s="65"/>
      <c r="M317" s="55"/>
      <c r="N317" s="55"/>
      <c r="O317" s="55"/>
      <c r="P317" s="55"/>
      <c r="Q317" s="55"/>
      <c r="R317" s="55"/>
      <c r="S317" s="55"/>
      <c r="T317" s="55"/>
    </row>
    <row x14ac:dyDescent="0.25" r="318" customHeight="1" ht="17.25">
      <c r="A318" s="55"/>
      <c r="B318" s="100"/>
      <c r="C318" s="55"/>
      <c r="D318" s="101"/>
      <c r="E318" s="101"/>
      <c r="F318" s="102"/>
      <c r="G318" s="103"/>
      <c r="H318" s="150"/>
      <c r="I318" s="55"/>
      <c r="J318" s="105"/>
      <c r="K318" s="55"/>
      <c r="L318" s="65"/>
      <c r="M318" s="55"/>
      <c r="N318" s="55"/>
      <c r="O318" s="55"/>
      <c r="P318" s="55"/>
      <c r="Q318" s="55"/>
      <c r="R318" s="55"/>
      <c r="S318" s="55"/>
      <c r="T318" s="55"/>
    </row>
    <row x14ac:dyDescent="0.25" r="319" customHeight="1" ht="17.25">
      <c r="A319" s="55"/>
      <c r="B319" s="100"/>
      <c r="C319" s="55"/>
      <c r="D319" s="101"/>
      <c r="E319" s="101"/>
      <c r="F319" s="102"/>
      <c r="G319" s="103"/>
      <c r="H319" s="150"/>
      <c r="I319" s="55"/>
      <c r="J319" s="105"/>
      <c r="K319" s="55"/>
      <c r="L319" s="65"/>
      <c r="M319" s="55"/>
      <c r="N319" s="55"/>
      <c r="O319" s="55"/>
      <c r="P319" s="55"/>
      <c r="Q319" s="55"/>
      <c r="R319" s="55"/>
      <c r="S319" s="55"/>
      <c r="T319" s="55"/>
    </row>
    <row x14ac:dyDescent="0.25" r="320" customHeight="1" ht="17.25">
      <c r="A320" s="55"/>
      <c r="B320" s="100"/>
      <c r="C320" s="55"/>
      <c r="D320" s="101"/>
      <c r="E320" s="101"/>
      <c r="F320" s="102"/>
      <c r="G320" s="103"/>
      <c r="H320" s="150"/>
      <c r="I320" s="55"/>
      <c r="J320" s="105"/>
      <c r="K320" s="55"/>
      <c r="L320" s="65"/>
      <c r="M320" s="55"/>
      <c r="N320" s="55"/>
      <c r="O320" s="55"/>
      <c r="P320" s="55"/>
      <c r="Q320" s="55"/>
      <c r="R320" s="55"/>
      <c r="S320" s="55"/>
      <c r="T320" s="55"/>
    </row>
    <row x14ac:dyDescent="0.25" r="321" customHeight="1" ht="17.25">
      <c r="A321" s="55"/>
      <c r="B321" s="100"/>
      <c r="C321" s="55"/>
      <c r="D321" s="101"/>
      <c r="E321" s="101"/>
      <c r="F321" s="102"/>
      <c r="G321" s="103"/>
      <c r="H321" s="150"/>
      <c r="I321" s="55"/>
      <c r="J321" s="105"/>
      <c r="K321" s="55"/>
      <c r="L321" s="65"/>
      <c r="M321" s="55"/>
      <c r="N321" s="55"/>
      <c r="O321" s="55"/>
      <c r="P321" s="55"/>
      <c r="Q321" s="55"/>
      <c r="R321" s="55"/>
      <c r="S321" s="55"/>
      <c r="T321" s="55"/>
    </row>
    <row x14ac:dyDescent="0.25" r="322" customHeight="1" ht="17.25">
      <c r="A322" s="55"/>
      <c r="B322" s="100"/>
      <c r="C322" s="55"/>
      <c r="D322" s="101"/>
      <c r="E322" s="101"/>
      <c r="F322" s="102"/>
      <c r="G322" s="103"/>
      <c r="H322" s="150"/>
      <c r="I322" s="55"/>
      <c r="J322" s="105"/>
      <c r="K322" s="55"/>
      <c r="L322" s="65"/>
      <c r="M322" s="55"/>
      <c r="N322" s="55"/>
      <c r="O322" s="55"/>
      <c r="P322" s="55"/>
      <c r="Q322" s="55"/>
      <c r="R322" s="55"/>
      <c r="S322" s="55"/>
      <c r="T322" s="55"/>
    </row>
    <row x14ac:dyDescent="0.25" r="323" customHeight="1" ht="17.25">
      <c r="A323" s="55"/>
      <c r="B323" s="100"/>
      <c r="C323" s="55"/>
      <c r="D323" s="101"/>
      <c r="E323" s="101"/>
      <c r="F323" s="102"/>
      <c r="G323" s="103"/>
      <c r="H323" s="150"/>
      <c r="I323" s="55"/>
      <c r="J323" s="105"/>
      <c r="K323" s="55"/>
      <c r="L323" s="65"/>
      <c r="M323" s="55"/>
      <c r="N323" s="55"/>
      <c r="O323" s="55"/>
      <c r="P323" s="55"/>
      <c r="Q323" s="55"/>
      <c r="R323" s="55"/>
      <c r="S323" s="55"/>
      <c r="T323" s="55"/>
    </row>
    <row x14ac:dyDescent="0.25" r="324" customHeight="1" ht="17.25">
      <c r="A324" s="55"/>
      <c r="B324" s="100"/>
      <c r="C324" s="55"/>
      <c r="D324" s="101"/>
      <c r="E324" s="101"/>
      <c r="F324" s="102"/>
      <c r="G324" s="103"/>
      <c r="H324" s="150"/>
      <c r="I324" s="55"/>
      <c r="J324" s="105"/>
      <c r="K324" s="55"/>
      <c r="L324" s="65"/>
      <c r="M324" s="55"/>
      <c r="N324" s="55"/>
      <c r="O324" s="55"/>
      <c r="P324" s="55"/>
      <c r="Q324" s="55"/>
      <c r="R324" s="55"/>
      <c r="S324" s="55"/>
      <c r="T324" s="55"/>
    </row>
    <row x14ac:dyDescent="0.25" r="325" customHeight="1" ht="17.25">
      <c r="A325" s="55"/>
      <c r="B325" s="100"/>
      <c r="C325" s="55"/>
      <c r="D325" s="101"/>
      <c r="E325" s="101"/>
      <c r="F325" s="102"/>
      <c r="G325" s="103"/>
      <c r="H325" s="150"/>
      <c r="I325" s="55"/>
      <c r="J325" s="105"/>
      <c r="K325" s="55"/>
      <c r="L325" s="65"/>
      <c r="M325" s="55"/>
      <c r="N325" s="55"/>
      <c r="O325" s="55"/>
      <c r="P325" s="55"/>
      <c r="Q325" s="55"/>
      <c r="R325" s="55"/>
      <c r="S325" s="55"/>
      <c r="T325" s="55"/>
    </row>
    <row x14ac:dyDescent="0.25" r="326" customHeight="1" ht="17.25">
      <c r="A326" s="55"/>
      <c r="B326" s="100"/>
      <c r="C326" s="55"/>
      <c r="D326" s="101"/>
      <c r="E326" s="101"/>
      <c r="F326" s="102"/>
      <c r="G326" s="103"/>
      <c r="H326" s="150"/>
      <c r="I326" s="55"/>
      <c r="J326" s="105"/>
      <c r="K326" s="55"/>
      <c r="L326" s="65"/>
      <c r="M326" s="55"/>
      <c r="N326" s="55"/>
      <c r="O326" s="55"/>
      <c r="P326" s="55"/>
      <c r="Q326" s="55"/>
      <c r="R326" s="55"/>
      <c r="S326" s="55"/>
      <c r="T326" s="55"/>
    </row>
    <row x14ac:dyDescent="0.25" r="327" customHeight="1" ht="17.25">
      <c r="A327" s="55"/>
      <c r="B327" s="100"/>
      <c r="C327" s="55"/>
      <c r="D327" s="101"/>
      <c r="E327" s="101"/>
      <c r="F327" s="102"/>
      <c r="G327" s="103"/>
      <c r="H327" s="150"/>
      <c r="I327" s="55"/>
      <c r="J327" s="105"/>
      <c r="K327" s="55"/>
      <c r="L327" s="65"/>
      <c r="M327" s="55"/>
      <c r="N327" s="55"/>
      <c r="O327" s="55"/>
      <c r="P327" s="55"/>
      <c r="Q327" s="55"/>
      <c r="R327" s="55"/>
      <c r="S327" s="55"/>
      <c r="T327" s="55"/>
    </row>
    <row x14ac:dyDescent="0.25" r="328" customHeight="1" ht="17.25">
      <c r="A328" s="55"/>
      <c r="B328" s="100"/>
      <c r="C328" s="55"/>
      <c r="D328" s="101"/>
      <c r="E328" s="101"/>
      <c r="F328" s="102"/>
      <c r="G328" s="103"/>
      <c r="H328" s="150"/>
      <c r="I328" s="55"/>
      <c r="J328" s="105"/>
      <c r="K328" s="55"/>
      <c r="L328" s="65"/>
      <c r="M328" s="55"/>
      <c r="N328" s="55"/>
      <c r="O328" s="55"/>
      <c r="P328" s="55"/>
      <c r="Q328" s="55"/>
      <c r="R328" s="55"/>
      <c r="S328" s="55"/>
      <c r="T328" s="55"/>
    </row>
    <row x14ac:dyDescent="0.25" r="329" customHeight="1" ht="17.25">
      <c r="A329" s="55"/>
      <c r="B329" s="100"/>
      <c r="C329" s="55"/>
      <c r="D329" s="101"/>
      <c r="E329" s="101"/>
      <c r="F329" s="102"/>
      <c r="G329" s="103"/>
      <c r="H329" s="150"/>
      <c r="I329" s="55"/>
      <c r="J329" s="105"/>
      <c r="K329" s="55"/>
      <c r="L329" s="65"/>
      <c r="M329" s="55"/>
      <c r="N329" s="55"/>
      <c r="O329" s="55"/>
      <c r="P329" s="55"/>
      <c r="Q329" s="55"/>
      <c r="R329" s="55"/>
      <c r="S329" s="55"/>
      <c r="T329" s="55"/>
    </row>
    <row x14ac:dyDescent="0.25" r="330" customHeight="1" ht="17.25">
      <c r="A330" s="55"/>
      <c r="B330" s="100"/>
      <c r="C330" s="55"/>
      <c r="D330" s="101"/>
      <c r="E330" s="101"/>
      <c r="F330" s="102"/>
      <c r="G330" s="103"/>
      <c r="H330" s="150"/>
      <c r="I330" s="55"/>
      <c r="J330" s="105"/>
      <c r="K330" s="55"/>
      <c r="L330" s="65"/>
      <c r="M330" s="55"/>
      <c r="N330" s="55"/>
      <c r="O330" s="55"/>
      <c r="P330" s="55"/>
      <c r="Q330" s="55"/>
      <c r="R330" s="55"/>
      <c r="S330" s="55"/>
      <c r="T330" s="55"/>
    </row>
    <row x14ac:dyDescent="0.25" r="331" customHeight="1" ht="17.25">
      <c r="A331" s="55"/>
      <c r="B331" s="100"/>
      <c r="C331" s="55"/>
      <c r="D331" s="101"/>
      <c r="E331" s="101"/>
      <c r="F331" s="102"/>
      <c r="G331" s="103"/>
      <c r="H331" s="150"/>
      <c r="I331" s="55"/>
      <c r="J331" s="105"/>
      <c r="K331" s="55"/>
      <c r="L331" s="65"/>
      <c r="M331" s="55"/>
      <c r="N331" s="55"/>
      <c r="O331" s="55"/>
      <c r="P331" s="55"/>
      <c r="Q331" s="55"/>
      <c r="R331" s="55"/>
      <c r="S331" s="55"/>
      <c r="T331" s="55"/>
    </row>
    <row x14ac:dyDescent="0.25" r="332" customHeight="1" ht="17.25">
      <c r="A332" s="55"/>
      <c r="B332" s="100"/>
      <c r="C332" s="55"/>
      <c r="D332" s="101"/>
      <c r="E332" s="101"/>
      <c r="F332" s="102"/>
      <c r="G332" s="103"/>
      <c r="H332" s="150"/>
      <c r="I332" s="55"/>
      <c r="J332" s="105"/>
      <c r="K332" s="55"/>
      <c r="L332" s="65"/>
      <c r="M332" s="55"/>
      <c r="N332" s="55"/>
      <c r="O332" s="55"/>
      <c r="P332" s="55"/>
      <c r="Q332" s="55"/>
      <c r="R332" s="55"/>
      <c r="S332" s="55"/>
      <c r="T332" s="55"/>
    </row>
    <row x14ac:dyDescent="0.25" r="333" customHeight="1" ht="17.25">
      <c r="A333" s="55"/>
      <c r="B333" s="100"/>
      <c r="C333" s="55"/>
      <c r="D333" s="101"/>
      <c r="E333" s="101"/>
      <c r="F333" s="102"/>
      <c r="G333" s="103"/>
      <c r="H333" s="150"/>
      <c r="I333" s="55"/>
      <c r="J333" s="105"/>
      <c r="K333" s="55"/>
      <c r="L333" s="65"/>
      <c r="M333" s="55"/>
      <c r="N333" s="55"/>
      <c r="O333" s="55"/>
      <c r="P333" s="55"/>
      <c r="Q333" s="55"/>
      <c r="R333" s="55"/>
      <c r="S333" s="55"/>
      <c r="T333" s="55"/>
    </row>
    <row x14ac:dyDescent="0.25" r="334" customHeight="1" ht="17.25">
      <c r="A334" s="55"/>
      <c r="B334" s="100"/>
      <c r="C334" s="55"/>
      <c r="D334" s="101"/>
      <c r="E334" s="101"/>
      <c r="F334" s="102"/>
      <c r="G334" s="103"/>
      <c r="H334" s="150"/>
      <c r="I334" s="55"/>
      <c r="J334" s="105"/>
      <c r="K334" s="55"/>
      <c r="L334" s="65"/>
      <c r="M334" s="55"/>
      <c r="N334" s="55"/>
      <c r="O334" s="55"/>
      <c r="P334" s="55"/>
      <c r="Q334" s="55"/>
      <c r="R334" s="55"/>
      <c r="S334" s="55"/>
      <c r="T334" s="55"/>
    </row>
    <row x14ac:dyDescent="0.25" r="335" customHeight="1" ht="17.25">
      <c r="A335" s="55"/>
      <c r="B335" s="100"/>
      <c r="C335" s="55"/>
      <c r="D335" s="101"/>
      <c r="E335" s="101"/>
      <c r="F335" s="102"/>
      <c r="G335" s="103"/>
      <c r="H335" s="150"/>
      <c r="I335" s="55"/>
      <c r="J335" s="105"/>
      <c r="K335" s="55"/>
      <c r="L335" s="65"/>
      <c r="M335" s="55"/>
      <c r="N335" s="55"/>
      <c r="O335" s="55"/>
      <c r="P335" s="55"/>
      <c r="Q335" s="55"/>
      <c r="R335" s="55"/>
      <c r="S335" s="55"/>
      <c r="T335" s="55"/>
    </row>
    <row x14ac:dyDescent="0.25" r="336" customHeight="1" ht="17.25">
      <c r="A336" s="55"/>
      <c r="B336" s="100"/>
      <c r="C336" s="55"/>
      <c r="D336" s="101"/>
      <c r="E336" s="101"/>
      <c r="F336" s="102"/>
      <c r="G336" s="103"/>
      <c r="H336" s="150"/>
      <c r="I336" s="55"/>
      <c r="J336" s="105"/>
      <c r="K336" s="55"/>
      <c r="L336" s="65"/>
      <c r="M336" s="55"/>
      <c r="N336" s="55"/>
      <c r="O336" s="55"/>
      <c r="P336" s="55"/>
      <c r="Q336" s="55"/>
      <c r="R336" s="55"/>
      <c r="S336" s="55"/>
      <c r="T336" s="55"/>
    </row>
    <row x14ac:dyDescent="0.25" r="337" customHeight="1" ht="17.25">
      <c r="A337" s="55"/>
      <c r="B337" s="100"/>
      <c r="C337" s="55"/>
      <c r="D337" s="101"/>
      <c r="E337" s="101"/>
      <c r="F337" s="102"/>
      <c r="G337" s="103"/>
      <c r="H337" s="150"/>
      <c r="I337" s="55"/>
      <c r="J337" s="105"/>
      <c r="K337" s="55"/>
      <c r="L337" s="65"/>
      <c r="M337" s="55"/>
      <c r="N337" s="55"/>
      <c r="O337" s="55"/>
      <c r="P337" s="55"/>
      <c r="Q337" s="55"/>
      <c r="R337" s="55"/>
      <c r="S337" s="55"/>
      <c r="T337" s="55"/>
    </row>
    <row x14ac:dyDescent="0.25" r="338" customHeight="1" ht="17.25">
      <c r="A338" s="55"/>
      <c r="B338" s="100"/>
      <c r="C338" s="55"/>
      <c r="D338" s="101"/>
      <c r="E338" s="101"/>
      <c r="F338" s="102"/>
      <c r="G338" s="103"/>
      <c r="H338" s="150"/>
      <c r="I338" s="55"/>
      <c r="J338" s="105"/>
      <c r="K338" s="55"/>
      <c r="L338" s="65"/>
      <c r="M338" s="55"/>
      <c r="N338" s="55"/>
      <c r="O338" s="55"/>
      <c r="P338" s="55"/>
      <c r="Q338" s="55"/>
      <c r="R338" s="55"/>
      <c r="S338" s="55"/>
      <c r="T338" s="55"/>
    </row>
    <row x14ac:dyDescent="0.25" r="339" customHeight="1" ht="17.25">
      <c r="A339" s="55"/>
      <c r="B339" s="100"/>
      <c r="C339" s="55"/>
      <c r="D339" s="101"/>
      <c r="E339" s="101"/>
      <c r="F339" s="102"/>
      <c r="G339" s="103"/>
      <c r="H339" s="150"/>
      <c r="I339" s="55"/>
      <c r="J339" s="105"/>
      <c r="K339" s="55"/>
      <c r="L339" s="65"/>
      <c r="M339" s="55"/>
      <c r="N339" s="55"/>
      <c r="O339" s="55"/>
      <c r="P339" s="55"/>
      <c r="Q339" s="55"/>
      <c r="R339" s="55"/>
      <c r="S339" s="55"/>
      <c r="T339" s="55"/>
    </row>
    <row x14ac:dyDescent="0.25" r="340" customHeight="1" ht="17.25">
      <c r="A340" s="55"/>
      <c r="B340" s="100"/>
      <c r="C340" s="55"/>
      <c r="D340" s="101"/>
      <c r="E340" s="101"/>
      <c r="F340" s="102"/>
      <c r="G340" s="103"/>
      <c r="H340" s="150"/>
      <c r="I340" s="55"/>
      <c r="J340" s="105"/>
      <c r="K340" s="55"/>
      <c r="L340" s="65"/>
      <c r="M340" s="55"/>
      <c r="N340" s="55"/>
      <c r="O340" s="55"/>
      <c r="P340" s="55"/>
      <c r="Q340" s="55"/>
      <c r="R340" s="55"/>
      <c r="S340" s="55"/>
      <c r="T340" s="55"/>
    </row>
    <row x14ac:dyDescent="0.25" r="341" customHeight="1" ht="17.25">
      <c r="A341" s="55"/>
      <c r="B341" s="100"/>
      <c r="C341" s="55"/>
      <c r="D341" s="101"/>
      <c r="E341" s="101"/>
      <c r="F341" s="102"/>
      <c r="G341" s="103"/>
      <c r="H341" s="150"/>
      <c r="I341" s="55"/>
      <c r="J341" s="105"/>
      <c r="K341" s="55"/>
      <c r="L341" s="65"/>
      <c r="M341" s="55"/>
      <c r="N341" s="55"/>
      <c r="O341" s="55"/>
      <c r="P341" s="55"/>
      <c r="Q341" s="55"/>
      <c r="R341" s="55"/>
      <c r="S341" s="55"/>
      <c r="T341" s="55"/>
    </row>
    <row x14ac:dyDescent="0.25" r="342" customHeight="1" ht="17.25">
      <c r="A342" s="55"/>
      <c r="B342" s="100"/>
      <c r="C342" s="55"/>
      <c r="D342" s="101"/>
      <c r="E342" s="101"/>
      <c r="F342" s="102"/>
      <c r="G342" s="103"/>
      <c r="H342" s="150"/>
      <c r="I342" s="55"/>
      <c r="J342" s="105"/>
      <c r="K342" s="55"/>
      <c r="L342" s="65"/>
      <c r="M342" s="55"/>
      <c r="N342" s="55"/>
      <c r="O342" s="55"/>
      <c r="P342" s="55"/>
      <c r="Q342" s="55"/>
      <c r="R342" s="55"/>
      <c r="S342" s="55"/>
      <c r="T342" s="55"/>
    </row>
    <row x14ac:dyDescent="0.25" r="343" customHeight="1" ht="17.25">
      <c r="A343" s="55"/>
      <c r="B343" s="100"/>
      <c r="C343" s="55"/>
      <c r="D343" s="101"/>
      <c r="E343" s="101"/>
      <c r="F343" s="102"/>
      <c r="G343" s="103"/>
      <c r="H343" s="150"/>
      <c r="I343" s="55"/>
      <c r="J343" s="105"/>
      <c r="K343" s="55"/>
      <c r="L343" s="65"/>
      <c r="M343" s="55"/>
      <c r="N343" s="55"/>
      <c r="O343" s="55"/>
      <c r="P343" s="55"/>
      <c r="Q343" s="55"/>
      <c r="R343" s="55"/>
      <c r="S343" s="55"/>
      <c r="T343" s="55"/>
    </row>
    <row x14ac:dyDescent="0.25" r="344" customHeight="1" ht="17.25">
      <c r="A344" s="55"/>
      <c r="B344" s="100"/>
      <c r="C344" s="55"/>
      <c r="D344" s="101"/>
      <c r="E344" s="101"/>
      <c r="F344" s="102"/>
      <c r="G344" s="103"/>
      <c r="H344" s="150"/>
      <c r="I344" s="55"/>
      <c r="J344" s="105"/>
      <c r="K344" s="55"/>
      <c r="L344" s="65"/>
      <c r="M344" s="55"/>
      <c r="N344" s="55"/>
      <c r="O344" s="55"/>
      <c r="P344" s="55"/>
      <c r="Q344" s="55"/>
      <c r="R344" s="55"/>
      <c r="S344" s="55"/>
      <c r="T344" s="55"/>
    </row>
    <row x14ac:dyDescent="0.25" r="345" customHeight="1" ht="17.25">
      <c r="A345" s="55"/>
      <c r="B345" s="100"/>
      <c r="C345" s="55"/>
      <c r="D345" s="101"/>
      <c r="E345" s="101"/>
      <c r="F345" s="102"/>
      <c r="G345" s="103"/>
      <c r="H345" s="150"/>
      <c r="I345" s="55"/>
      <c r="J345" s="105"/>
      <c r="K345" s="55"/>
      <c r="L345" s="65"/>
      <c r="M345" s="55"/>
      <c r="N345" s="55"/>
      <c r="O345" s="55"/>
      <c r="P345" s="55"/>
      <c r="Q345" s="55"/>
      <c r="R345" s="55"/>
      <c r="S345" s="55"/>
      <c r="T345" s="55"/>
    </row>
    <row x14ac:dyDescent="0.25" r="346" customHeight="1" ht="17.25">
      <c r="A346" s="55"/>
      <c r="B346" s="100"/>
      <c r="C346" s="55"/>
      <c r="D346" s="101"/>
      <c r="E346" s="101"/>
      <c r="F346" s="102"/>
      <c r="G346" s="103"/>
      <c r="H346" s="150"/>
      <c r="I346" s="55"/>
      <c r="J346" s="105"/>
      <c r="K346" s="55"/>
      <c r="L346" s="65"/>
      <c r="M346" s="55"/>
      <c r="N346" s="55"/>
      <c r="O346" s="55"/>
      <c r="P346" s="55"/>
      <c r="Q346" s="55"/>
      <c r="R346" s="55"/>
      <c r="S346" s="55"/>
      <c r="T346" s="55"/>
    </row>
    <row x14ac:dyDescent="0.25" r="347" customHeight="1" ht="17.25">
      <c r="A347" s="55"/>
      <c r="B347" s="100"/>
      <c r="C347" s="55"/>
      <c r="D347" s="101"/>
      <c r="E347" s="101"/>
      <c r="F347" s="102"/>
      <c r="G347" s="103"/>
      <c r="H347" s="150"/>
      <c r="I347" s="55"/>
      <c r="J347" s="105"/>
      <c r="K347" s="55"/>
      <c r="L347" s="65"/>
      <c r="M347" s="55"/>
      <c r="N347" s="55"/>
      <c r="O347" s="55"/>
      <c r="P347" s="55"/>
      <c r="Q347" s="55"/>
      <c r="R347" s="55"/>
      <c r="S347" s="55"/>
      <c r="T347" s="55"/>
    </row>
    <row x14ac:dyDescent="0.25" r="348" customHeight="1" ht="17.25">
      <c r="A348" s="55"/>
      <c r="B348" s="100"/>
      <c r="C348" s="55"/>
      <c r="D348" s="101"/>
      <c r="E348" s="101"/>
      <c r="F348" s="102"/>
      <c r="G348" s="103"/>
      <c r="H348" s="150"/>
      <c r="I348" s="55"/>
      <c r="J348" s="105"/>
      <c r="K348" s="55"/>
      <c r="L348" s="65"/>
      <c r="M348" s="55"/>
      <c r="N348" s="55"/>
      <c r="O348" s="55"/>
      <c r="P348" s="55"/>
      <c r="Q348" s="55"/>
      <c r="R348" s="55"/>
      <c r="S348" s="55"/>
      <c r="T348" s="55"/>
    </row>
    <row x14ac:dyDescent="0.25" r="349" customHeight="1" ht="17.25">
      <c r="A349" s="55"/>
      <c r="B349" s="100"/>
      <c r="C349" s="55"/>
      <c r="D349" s="101"/>
      <c r="E349" s="101"/>
      <c r="F349" s="102"/>
      <c r="G349" s="103"/>
      <c r="H349" s="150"/>
      <c r="I349" s="55"/>
      <c r="J349" s="105"/>
      <c r="K349" s="55"/>
      <c r="L349" s="65"/>
      <c r="M349" s="55"/>
      <c r="N349" s="55"/>
      <c r="O349" s="55"/>
      <c r="P349" s="55"/>
      <c r="Q349" s="55"/>
      <c r="R349" s="55"/>
      <c r="S349" s="55"/>
      <c r="T349" s="55"/>
    </row>
    <row x14ac:dyDescent="0.25" r="350" customHeight="1" ht="17.25">
      <c r="A350" s="55"/>
      <c r="B350" s="100"/>
      <c r="C350" s="55"/>
      <c r="D350" s="101"/>
      <c r="E350" s="101"/>
      <c r="F350" s="102"/>
      <c r="G350" s="103"/>
      <c r="H350" s="150"/>
      <c r="I350" s="55"/>
      <c r="J350" s="105"/>
      <c r="K350" s="55"/>
      <c r="L350" s="65"/>
      <c r="M350" s="55"/>
      <c r="N350" s="55"/>
      <c r="O350" s="55"/>
      <c r="P350" s="55"/>
      <c r="Q350" s="55"/>
      <c r="R350" s="55"/>
      <c r="S350" s="55"/>
      <c r="T350" s="55"/>
    </row>
    <row x14ac:dyDescent="0.25" r="351" customHeight="1" ht="17.25">
      <c r="A351" s="55"/>
      <c r="B351" s="100"/>
      <c r="C351" s="55"/>
      <c r="D351" s="101"/>
      <c r="E351" s="101"/>
      <c r="F351" s="102"/>
      <c r="G351" s="103"/>
      <c r="H351" s="150"/>
      <c r="I351" s="55"/>
      <c r="J351" s="105"/>
      <c r="K351" s="55"/>
      <c r="L351" s="65"/>
      <c r="M351" s="55"/>
      <c r="N351" s="55"/>
      <c r="O351" s="55"/>
      <c r="P351" s="55"/>
      <c r="Q351" s="55"/>
      <c r="R351" s="55"/>
      <c r="S351" s="55"/>
      <c r="T351" s="55"/>
    </row>
    <row x14ac:dyDescent="0.25" r="352" customHeight="1" ht="17.25">
      <c r="A352" s="55"/>
      <c r="B352" s="100"/>
      <c r="C352" s="55"/>
      <c r="D352" s="101"/>
      <c r="E352" s="101"/>
      <c r="F352" s="102"/>
      <c r="G352" s="103"/>
      <c r="H352" s="150"/>
      <c r="I352" s="55"/>
      <c r="J352" s="105"/>
      <c r="K352" s="55"/>
      <c r="L352" s="65"/>
      <c r="M352" s="55"/>
      <c r="N352" s="55"/>
      <c r="O352" s="55"/>
      <c r="P352" s="55"/>
      <c r="Q352" s="55"/>
      <c r="R352" s="55"/>
      <c r="S352" s="55"/>
      <c r="T352" s="55"/>
    </row>
    <row x14ac:dyDescent="0.25" r="353" customHeight="1" ht="17.25">
      <c r="A353" s="55"/>
      <c r="B353" s="100"/>
      <c r="C353" s="55"/>
      <c r="D353" s="101"/>
      <c r="E353" s="101"/>
      <c r="F353" s="102"/>
      <c r="G353" s="103"/>
      <c r="H353" s="150"/>
      <c r="I353" s="55"/>
      <c r="J353" s="105"/>
      <c r="K353" s="55"/>
      <c r="L353" s="65"/>
      <c r="M353" s="55"/>
      <c r="N353" s="55"/>
      <c r="O353" s="55"/>
      <c r="P353" s="55"/>
      <c r="Q353" s="55"/>
      <c r="R353" s="55"/>
      <c r="S353" s="55"/>
      <c r="T353" s="55"/>
    </row>
    <row x14ac:dyDescent="0.25" r="354" customHeight="1" ht="17.25">
      <c r="A354" s="55"/>
      <c r="B354" s="100"/>
      <c r="C354" s="55"/>
      <c r="D354" s="101"/>
      <c r="E354" s="101"/>
      <c r="F354" s="102"/>
      <c r="G354" s="103"/>
      <c r="H354" s="150"/>
      <c r="I354" s="55"/>
      <c r="J354" s="105"/>
      <c r="K354" s="55"/>
      <c r="L354" s="65"/>
      <c r="M354" s="55"/>
      <c r="N354" s="55"/>
      <c r="O354" s="55"/>
      <c r="P354" s="55"/>
      <c r="Q354" s="55"/>
      <c r="R354" s="55"/>
      <c r="S354" s="55"/>
      <c r="T354" s="55"/>
    </row>
    <row x14ac:dyDescent="0.25" r="355" customHeight="1" ht="17.25">
      <c r="A355" s="55"/>
      <c r="B355" s="100"/>
      <c r="C355" s="55"/>
      <c r="D355" s="101"/>
      <c r="E355" s="101"/>
      <c r="F355" s="102"/>
      <c r="G355" s="103"/>
      <c r="H355" s="150"/>
      <c r="I355" s="55"/>
      <c r="J355" s="105"/>
      <c r="K355" s="55"/>
      <c r="L355" s="65"/>
      <c r="M355" s="55"/>
      <c r="N355" s="55"/>
      <c r="O355" s="55"/>
      <c r="P355" s="55"/>
      <c r="Q355" s="55"/>
      <c r="R355" s="55"/>
      <c r="S355" s="55"/>
      <c r="T355" s="55"/>
    </row>
    <row x14ac:dyDescent="0.25" r="356" customHeight="1" ht="17.25">
      <c r="A356" s="55"/>
      <c r="B356" s="100"/>
      <c r="C356" s="55"/>
      <c r="D356" s="101"/>
      <c r="E356" s="101"/>
      <c r="F356" s="102"/>
      <c r="G356" s="103"/>
      <c r="H356" s="150"/>
      <c r="I356" s="55"/>
      <c r="J356" s="105"/>
      <c r="K356" s="55"/>
      <c r="L356" s="65"/>
      <c r="M356" s="55"/>
      <c r="N356" s="55"/>
      <c r="O356" s="55"/>
      <c r="P356" s="55"/>
      <c r="Q356" s="55"/>
      <c r="R356" s="55"/>
      <c r="S356" s="55"/>
      <c r="T356" s="55"/>
    </row>
    <row x14ac:dyDescent="0.25" r="357" customHeight="1" ht="17.25">
      <c r="A357" s="55"/>
      <c r="B357" s="100"/>
      <c r="C357" s="55"/>
      <c r="D357" s="101"/>
      <c r="E357" s="101"/>
      <c r="F357" s="102"/>
      <c r="G357" s="103"/>
      <c r="H357" s="150"/>
      <c r="I357" s="55"/>
      <c r="J357" s="105"/>
      <c r="K357" s="55"/>
      <c r="L357" s="65"/>
      <c r="M357" s="55"/>
      <c r="N357" s="55"/>
      <c r="O357" s="55"/>
      <c r="P357" s="55"/>
      <c r="Q357" s="55"/>
      <c r="R357" s="55"/>
      <c r="S357" s="55"/>
      <c r="T357" s="55"/>
    </row>
    <row x14ac:dyDescent="0.25" r="358" customHeight="1" ht="17.25">
      <c r="A358" s="55"/>
      <c r="B358" s="100"/>
      <c r="C358" s="55"/>
      <c r="D358" s="101"/>
      <c r="E358" s="101"/>
      <c r="F358" s="102"/>
      <c r="G358" s="103"/>
      <c r="H358" s="150"/>
      <c r="I358" s="55"/>
      <c r="J358" s="105"/>
      <c r="K358" s="55"/>
      <c r="L358" s="65"/>
      <c r="M358" s="55"/>
      <c r="N358" s="55"/>
      <c r="O358" s="55"/>
      <c r="P358" s="55"/>
      <c r="Q358" s="55"/>
      <c r="R358" s="55"/>
      <c r="S358" s="55"/>
      <c r="T358" s="55"/>
    </row>
    <row x14ac:dyDescent="0.25" r="359" customHeight="1" ht="17.25">
      <c r="A359" s="55"/>
      <c r="B359" s="100"/>
      <c r="C359" s="55"/>
      <c r="D359" s="101"/>
      <c r="E359" s="101"/>
      <c r="F359" s="102"/>
      <c r="G359" s="103"/>
      <c r="H359" s="150"/>
      <c r="I359" s="55"/>
      <c r="J359" s="105"/>
      <c r="K359" s="55"/>
      <c r="L359" s="65"/>
      <c r="M359" s="55"/>
      <c r="N359" s="55"/>
      <c r="O359" s="55"/>
      <c r="P359" s="55"/>
      <c r="Q359" s="55"/>
      <c r="R359" s="55"/>
      <c r="S359" s="55"/>
      <c r="T359" s="55"/>
    </row>
    <row x14ac:dyDescent="0.25" r="360" customHeight="1" ht="17.25">
      <c r="A360" s="55"/>
      <c r="B360" s="100"/>
      <c r="C360" s="55"/>
      <c r="D360" s="101"/>
      <c r="E360" s="101"/>
      <c r="F360" s="102"/>
      <c r="G360" s="103"/>
      <c r="H360" s="150"/>
      <c r="I360" s="55"/>
      <c r="J360" s="105"/>
      <c r="K360" s="55"/>
      <c r="L360" s="65"/>
      <c r="M360" s="55"/>
      <c r="N360" s="55"/>
      <c r="O360" s="55"/>
      <c r="P360" s="55"/>
      <c r="Q360" s="55"/>
      <c r="R360" s="55"/>
      <c r="S360" s="55"/>
      <c r="T360" s="55"/>
    </row>
    <row x14ac:dyDescent="0.25" r="361" customHeight="1" ht="17.25">
      <c r="A361" s="55"/>
      <c r="B361" s="100"/>
      <c r="C361" s="55"/>
      <c r="D361" s="101"/>
      <c r="E361" s="101"/>
      <c r="F361" s="102"/>
      <c r="G361" s="103"/>
      <c r="H361" s="150"/>
      <c r="I361" s="55"/>
      <c r="J361" s="105"/>
      <c r="K361" s="55"/>
      <c r="L361" s="65"/>
      <c r="M361" s="55"/>
      <c r="N361" s="55"/>
      <c r="O361" s="55"/>
      <c r="P361" s="55"/>
      <c r="Q361" s="55"/>
      <c r="R361" s="55"/>
      <c r="S361" s="55"/>
      <c r="T361" s="55"/>
    </row>
    <row x14ac:dyDescent="0.25" r="362" customHeight="1" ht="17.25">
      <c r="A362" s="55"/>
      <c r="B362" s="100"/>
      <c r="C362" s="55"/>
      <c r="D362" s="101"/>
      <c r="E362" s="101"/>
      <c r="F362" s="102"/>
      <c r="G362" s="103"/>
      <c r="H362" s="150"/>
      <c r="I362" s="55"/>
      <c r="J362" s="105"/>
      <c r="K362" s="55"/>
      <c r="L362" s="65"/>
      <c r="M362" s="55"/>
      <c r="N362" s="55"/>
      <c r="O362" s="55"/>
      <c r="P362" s="55"/>
      <c r="Q362" s="55"/>
      <c r="R362" s="55"/>
      <c r="S362" s="55"/>
      <c r="T362" s="55"/>
    </row>
    <row x14ac:dyDescent="0.25" r="363" customHeight="1" ht="17.25">
      <c r="A363" s="55"/>
      <c r="B363" s="100"/>
      <c r="C363" s="55"/>
      <c r="D363" s="101"/>
      <c r="E363" s="101"/>
      <c r="F363" s="102"/>
      <c r="G363" s="103"/>
      <c r="H363" s="150"/>
      <c r="I363" s="55"/>
      <c r="J363" s="105"/>
      <c r="K363" s="55"/>
      <c r="L363" s="65"/>
      <c r="M363" s="55"/>
      <c r="N363" s="55"/>
      <c r="O363" s="55"/>
      <c r="P363" s="55"/>
      <c r="Q363" s="55"/>
      <c r="R363" s="55"/>
      <c r="S363" s="55"/>
      <c r="T363" s="55"/>
    </row>
    <row x14ac:dyDescent="0.25" r="364" customHeight="1" ht="17.25">
      <c r="A364" s="55"/>
      <c r="B364" s="100"/>
      <c r="C364" s="55"/>
      <c r="D364" s="101"/>
      <c r="E364" s="101"/>
      <c r="F364" s="102"/>
      <c r="G364" s="103"/>
      <c r="H364" s="150"/>
      <c r="I364" s="55"/>
      <c r="J364" s="105"/>
      <c r="K364" s="55"/>
      <c r="L364" s="65"/>
      <c r="M364" s="55"/>
      <c r="N364" s="55"/>
      <c r="O364" s="55"/>
      <c r="P364" s="55"/>
      <c r="Q364" s="55"/>
      <c r="R364" s="55"/>
      <c r="S364" s="55"/>
      <c r="T364" s="55"/>
    </row>
    <row x14ac:dyDescent="0.25" r="365" customHeight="1" ht="17.25">
      <c r="A365" s="55"/>
      <c r="B365" s="100"/>
      <c r="C365" s="55"/>
      <c r="D365" s="101"/>
      <c r="E365" s="101"/>
      <c r="F365" s="102"/>
      <c r="G365" s="103"/>
      <c r="H365" s="150"/>
      <c r="I365" s="55"/>
      <c r="J365" s="105"/>
      <c r="K365" s="55"/>
      <c r="L365" s="65"/>
      <c r="M365" s="55"/>
      <c r="N365" s="55"/>
      <c r="O365" s="55"/>
      <c r="P365" s="55"/>
      <c r="Q365" s="55"/>
      <c r="R365" s="55"/>
      <c r="S365" s="55"/>
      <c r="T365" s="55"/>
    </row>
    <row x14ac:dyDescent="0.25" r="366" customHeight="1" ht="17.25">
      <c r="A366" s="55"/>
      <c r="B366" s="100"/>
      <c r="C366" s="55"/>
      <c r="D366" s="101"/>
      <c r="E366" s="101"/>
      <c r="F366" s="102"/>
      <c r="G366" s="103"/>
      <c r="H366" s="150"/>
      <c r="I366" s="55"/>
      <c r="J366" s="105"/>
      <c r="K366" s="55"/>
      <c r="L366" s="65"/>
      <c r="M366" s="55"/>
      <c r="N366" s="55"/>
      <c r="O366" s="55"/>
      <c r="P366" s="55"/>
      <c r="Q366" s="55"/>
      <c r="R366" s="55"/>
      <c r="S366" s="55"/>
      <c r="T366" s="55"/>
    </row>
    <row x14ac:dyDescent="0.25" r="367" customHeight="1" ht="17.25">
      <c r="A367" s="55"/>
      <c r="B367" s="100"/>
      <c r="C367" s="55"/>
      <c r="D367" s="101"/>
      <c r="E367" s="101"/>
      <c r="F367" s="102"/>
      <c r="G367" s="103"/>
      <c r="H367" s="150"/>
      <c r="I367" s="55"/>
      <c r="J367" s="105"/>
      <c r="K367" s="55"/>
      <c r="L367" s="65"/>
      <c r="M367" s="55"/>
      <c r="N367" s="55"/>
      <c r="O367" s="55"/>
      <c r="P367" s="55"/>
      <c r="Q367" s="55"/>
      <c r="R367" s="55"/>
      <c r="S367" s="55"/>
      <c r="T367" s="55"/>
    </row>
    <row x14ac:dyDescent="0.25" r="368" customHeight="1" ht="17.25">
      <c r="A368" s="55"/>
      <c r="B368" s="100"/>
      <c r="C368" s="55"/>
      <c r="D368" s="101"/>
      <c r="E368" s="101"/>
      <c r="F368" s="102"/>
      <c r="G368" s="103"/>
      <c r="H368" s="150"/>
      <c r="I368" s="55"/>
      <c r="J368" s="105"/>
      <c r="K368" s="55"/>
      <c r="L368" s="65"/>
      <c r="M368" s="55"/>
      <c r="N368" s="55"/>
      <c r="O368" s="55"/>
      <c r="P368" s="55"/>
      <c r="Q368" s="55"/>
      <c r="R368" s="55"/>
      <c r="S368" s="55"/>
      <c r="T368" s="55"/>
    </row>
    <row x14ac:dyDescent="0.25" r="369" customHeight="1" ht="17.25">
      <c r="A369" s="55"/>
      <c r="B369" s="100"/>
      <c r="C369" s="55"/>
      <c r="D369" s="101"/>
      <c r="E369" s="101"/>
      <c r="F369" s="102"/>
      <c r="G369" s="103"/>
      <c r="H369" s="150"/>
      <c r="I369" s="55"/>
      <c r="J369" s="105"/>
      <c r="K369" s="55"/>
      <c r="L369" s="65"/>
      <c r="M369" s="55"/>
      <c r="N369" s="55"/>
      <c r="O369" s="55"/>
      <c r="P369" s="55"/>
      <c r="Q369" s="55"/>
      <c r="R369" s="55"/>
      <c r="S369" s="55"/>
      <c r="T369" s="55"/>
    </row>
    <row x14ac:dyDescent="0.25" r="370" customHeight="1" ht="17.25">
      <c r="A370" s="55"/>
      <c r="B370" s="100"/>
      <c r="C370" s="55"/>
      <c r="D370" s="101"/>
      <c r="E370" s="101"/>
      <c r="F370" s="102"/>
      <c r="G370" s="103"/>
      <c r="H370" s="150"/>
      <c r="I370" s="55"/>
      <c r="J370" s="105"/>
      <c r="K370" s="55"/>
      <c r="L370" s="65"/>
      <c r="M370" s="55"/>
      <c r="N370" s="55"/>
      <c r="O370" s="55"/>
      <c r="P370" s="55"/>
      <c r="Q370" s="55"/>
      <c r="R370" s="55"/>
      <c r="S370" s="55"/>
      <c r="T370" s="55"/>
    </row>
    <row x14ac:dyDescent="0.25" r="371" customHeight="1" ht="17.25">
      <c r="A371" s="55"/>
      <c r="B371" s="100"/>
      <c r="C371" s="55"/>
      <c r="D371" s="101"/>
      <c r="E371" s="101"/>
      <c r="F371" s="102"/>
      <c r="G371" s="103"/>
      <c r="H371" s="150"/>
      <c r="I371" s="55"/>
      <c r="J371" s="105"/>
      <c r="K371" s="55"/>
      <c r="L371" s="65"/>
      <c r="M371" s="55"/>
      <c r="N371" s="55"/>
      <c r="O371" s="55"/>
      <c r="P371" s="55"/>
      <c r="Q371" s="55"/>
      <c r="R371" s="55"/>
      <c r="S371" s="55"/>
      <c r="T371" s="55"/>
    </row>
    <row x14ac:dyDescent="0.25" r="372" customHeight="1" ht="17.25">
      <c r="A372" s="55"/>
      <c r="B372" s="100"/>
      <c r="C372" s="55"/>
      <c r="D372" s="101"/>
      <c r="E372" s="101"/>
      <c r="F372" s="102"/>
      <c r="G372" s="103"/>
      <c r="H372" s="150"/>
      <c r="I372" s="55"/>
      <c r="J372" s="105"/>
      <c r="K372" s="55"/>
      <c r="L372" s="65"/>
      <c r="M372" s="55"/>
      <c r="N372" s="55"/>
      <c r="O372" s="55"/>
      <c r="P372" s="55"/>
      <c r="Q372" s="55"/>
      <c r="R372" s="55"/>
      <c r="S372" s="55"/>
      <c r="T372" s="55"/>
    </row>
    <row x14ac:dyDescent="0.25" r="373" customHeight="1" ht="17.25">
      <c r="A373" s="55"/>
      <c r="B373" s="100"/>
      <c r="C373" s="55"/>
      <c r="D373" s="101"/>
      <c r="E373" s="101"/>
      <c r="F373" s="102"/>
      <c r="G373" s="103"/>
      <c r="H373" s="150"/>
      <c r="I373" s="55"/>
      <c r="J373" s="105"/>
      <c r="K373" s="55"/>
      <c r="L373" s="65"/>
      <c r="M373" s="55"/>
      <c r="N373" s="55"/>
      <c r="O373" s="55"/>
      <c r="P373" s="55"/>
      <c r="Q373" s="55"/>
      <c r="R373" s="55"/>
      <c r="S373" s="55"/>
      <c r="T373" s="55"/>
    </row>
    <row x14ac:dyDescent="0.25" r="374" customHeight="1" ht="17.25">
      <c r="A374" s="55"/>
      <c r="B374" s="100"/>
      <c r="C374" s="55"/>
      <c r="D374" s="101"/>
      <c r="E374" s="101"/>
      <c r="F374" s="102"/>
      <c r="G374" s="103"/>
      <c r="H374" s="150"/>
      <c r="I374" s="55"/>
      <c r="J374" s="105"/>
      <c r="K374" s="55"/>
      <c r="L374" s="65"/>
      <c r="M374" s="55"/>
      <c r="N374" s="55"/>
      <c r="O374" s="55"/>
      <c r="P374" s="55"/>
      <c r="Q374" s="55"/>
      <c r="R374" s="55"/>
      <c r="S374" s="55"/>
      <c r="T374" s="55"/>
    </row>
    <row x14ac:dyDescent="0.25" r="375" customHeight="1" ht="17.25">
      <c r="A375" s="55"/>
      <c r="B375" s="100"/>
      <c r="C375" s="55"/>
      <c r="D375" s="101"/>
      <c r="E375" s="101"/>
      <c r="F375" s="102"/>
      <c r="G375" s="103"/>
      <c r="H375" s="150"/>
      <c r="I375" s="55"/>
      <c r="J375" s="105"/>
      <c r="K375" s="55"/>
      <c r="L375" s="65"/>
      <c r="M375" s="55"/>
      <c r="N375" s="55"/>
      <c r="O375" s="55"/>
      <c r="P375" s="55"/>
      <c r="Q375" s="55"/>
      <c r="R375" s="55"/>
      <c r="S375" s="55"/>
      <c r="T375" s="55"/>
    </row>
    <row x14ac:dyDescent="0.25" r="376" customHeight="1" ht="17.25">
      <c r="A376" s="55"/>
      <c r="B376" s="100"/>
      <c r="C376" s="55"/>
      <c r="D376" s="101"/>
      <c r="E376" s="101"/>
      <c r="F376" s="102"/>
      <c r="G376" s="103"/>
      <c r="H376" s="150"/>
      <c r="I376" s="55"/>
      <c r="J376" s="105"/>
      <c r="K376" s="55"/>
      <c r="L376" s="65"/>
      <c r="M376" s="55"/>
      <c r="N376" s="55"/>
      <c r="O376" s="55"/>
      <c r="P376" s="55"/>
      <c r="Q376" s="55"/>
      <c r="R376" s="55"/>
      <c r="S376" s="55"/>
      <c r="T376" s="55"/>
    </row>
    <row x14ac:dyDescent="0.25" r="377" customHeight="1" ht="17.25">
      <c r="A377" s="55"/>
      <c r="B377" s="100"/>
      <c r="C377" s="55"/>
      <c r="D377" s="101"/>
      <c r="E377" s="101"/>
      <c r="F377" s="102"/>
      <c r="G377" s="103"/>
      <c r="H377" s="150"/>
      <c r="I377" s="55"/>
      <c r="J377" s="105"/>
      <c r="K377" s="55"/>
      <c r="L377" s="65"/>
      <c r="M377" s="55"/>
      <c r="N377" s="55"/>
      <c r="O377" s="55"/>
      <c r="P377" s="55"/>
      <c r="Q377" s="55"/>
      <c r="R377" s="55"/>
      <c r="S377" s="55"/>
      <c r="T377" s="55"/>
    </row>
    <row x14ac:dyDescent="0.25" r="378" customHeight="1" ht="17.25">
      <c r="A378" s="55"/>
      <c r="B378" s="100"/>
      <c r="C378" s="55"/>
      <c r="D378" s="101"/>
      <c r="E378" s="101"/>
      <c r="F378" s="102"/>
      <c r="G378" s="103"/>
      <c r="H378" s="150"/>
      <c r="I378" s="55"/>
      <c r="J378" s="105"/>
      <c r="K378" s="55"/>
      <c r="L378" s="65"/>
      <c r="M378" s="55"/>
      <c r="N378" s="55"/>
      <c r="O378" s="55"/>
      <c r="P378" s="55"/>
      <c r="Q378" s="55"/>
      <c r="R378" s="55"/>
      <c r="S378" s="55"/>
      <c r="T378" s="55"/>
    </row>
    <row x14ac:dyDescent="0.25" r="379" customHeight="1" ht="17.25">
      <c r="A379" s="55"/>
      <c r="B379" s="100"/>
      <c r="C379" s="55"/>
      <c r="D379" s="101"/>
      <c r="E379" s="101"/>
      <c r="F379" s="102"/>
      <c r="G379" s="103"/>
      <c r="H379" s="150"/>
      <c r="I379" s="55"/>
      <c r="J379" s="105"/>
      <c r="K379" s="55"/>
      <c r="L379" s="65"/>
      <c r="M379" s="55"/>
      <c r="N379" s="55"/>
      <c r="O379" s="55"/>
      <c r="P379" s="55"/>
      <c r="Q379" s="55"/>
      <c r="R379" s="55"/>
      <c r="S379" s="55"/>
      <c r="T379" s="55"/>
    </row>
    <row x14ac:dyDescent="0.25" r="380" customHeight="1" ht="17.25">
      <c r="A380" s="55"/>
      <c r="B380" s="100"/>
      <c r="C380" s="55"/>
      <c r="D380" s="101"/>
      <c r="E380" s="101"/>
      <c r="F380" s="102"/>
      <c r="G380" s="103"/>
      <c r="H380" s="150"/>
      <c r="I380" s="55"/>
      <c r="J380" s="105"/>
      <c r="K380" s="55"/>
      <c r="L380" s="65"/>
      <c r="M380" s="55"/>
      <c r="N380" s="55"/>
      <c r="O380" s="55"/>
      <c r="P380" s="55"/>
      <c r="Q380" s="55"/>
      <c r="R380" s="55"/>
      <c r="S380" s="55"/>
      <c r="T380" s="55"/>
    </row>
    <row x14ac:dyDescent="0.25" r="381" customHeight="1" ht="17.25">
      <c r="A381" s="55"/>
      <c r="B381" s="100"/>
      <c r="C381" s="55"/>
      <c r="D381" s="101"/>
      <c r="E381" s="101"/>
      <c r="F381" s="102"/>
      <c r="G381" s="103"/>
      <c r="H381" s="150"/>
      <c r="I381" s="55"/>
      <c r="J381" s="105"/>
      <c r="K381" s="55"/>
      <c r="L381" s="65"/>
      <c r="M381" s="55"/>
      <c r="N381" s="55"/>
      <c r="O381" s="55"/>
      <c r="P381" s="55"/>
      <c r="Q381" s="55"/>
      <c r="R381" s="55"/>
      <c r="S381" s="55"/>
      <c r="T381" s="55"/>
    </row>
    <row x14ac:dyDescent="0.25" r="382" customHeight="1" ht="17.25">
      <c r="A382" s="55"/>
      <c r="B382" s="100"/>
      <c r="C382" s="55"/>
      <c r="D382" s="101"/>
      <c r="E382" s="101"/>
      <c r="F382" s="102"/>
      <c r="G382" s="103"/>
      <c r="H382" s="150"/>
      <c r="I382" s="55"/>
      <c r="J382" s="105"/>
      <c r="K382" s="55"/>
      <c r="L382" s="65"/>
      <c r="M382" s="55"/>
      <c r="N382" s="55"/>
      <c r="O382" s="55"/>
      <c r="P382" s="55"/>
      <c r="Q382" s="55"/>
      <c r="R382" s="55"/>
      <c r="S382" s="55"/>
      <c r="T382" s="55"/>
    </row>
    <row x14ac:dyDescent="0.25" r="383" customHeight="1" ht="17.25">
      <c r="A383" s="55"/>
      <c r="B383" s="100"/>
      <c r="C383" s="55"/>
      <c r="D383" s="101"/>
      <c r="E383" s="101"/>
      <c r="F383" s="102"/>
      <c r="G383" s="103"/>
      <c r="H383" s="150"/>
      <c r="I383" s="55"/>
      <c r="J383" s="105"/>
      <c r="K383" s="55"/>
      <c r="L383" s="65"/>
      <c r="M383" s="55"/>
      <c r="N383" s="55"/>
      <c r="O383" s="55"/>
      <c r="P383" s="55"/>
      <c r="Q383" s="55"/>
      <c r="R383" s="55"/>
      <c r="S383" s="55"/>
      <c r="T383" s="55"/>
    </row>
    <row x14ac:dyDescent="0.25" r="384" customHeight="1" ht="17.25">
      <c r="A384" s="55"/>
      <c r="B384" s="100"/>
      <c r="C384" s="55"/>
      <c r="D384" s="101"/>
      <c r="E384" s="101"/>
      <c r="F384" s="102"/>
      <c r="G384" s="103"/>
      <c r="H384" s="150"/>
      <c r="I384" s="55"/>
      <c r="J384" s="105"/>
      <c r="K384" s="55"/>
      <c r="L384" s="65"/>
      <c r="M384" s="55"/>
      <c r="N384" s="55"/>
      <c r="O384" s="55"/>
      <c r="P384" s="55"/>
      <c r="Q384" s="55"/>
      <c r="R384" s="55"/>
      <c r="S384" s="55"/>
      <c r="T384" s="55"/>
    </row>
    <row x14ac:dyDescent="0.25" r="385" customHeight="1" ht="17.25">
      <c r="A385" s="55"/>
      <c r="B385" s="100"/>
      <c r="C385" s="55"/>
      <c r="D385" s="101"/>
      <c r="E385" s="101"/>
      <c r="F385" s="102"/>
      <c r="G385" s="103"/>
      <c r="H385" s="150"/>
      <c r="I385" s="55"/>
      <c r="J385" s="105"/>
      <c r="K385" s="55"/>
      <c r="L385" s="65"/>
      <c r="M385" s="55"/>
      <c r="N385" s="55"/>
      <c r="O385" s="55"/>
      <c r="P385" s="55"/>
      <c r="Q385" s="55"/>
      <c r="R385" s="55"/>
      <c r="S385" s="55"/>
      <c r="T385" s="55"/>
    </row>
    <row x14ac:dyDescent="0.25" r="386" customHeight="1" ht="17.25">
      <c r="A386" s="55"/>
      <c r="B386" s="100"/>
      <c r="C386" s="55"/>
      <c r="D386" s="101"/>
      <c r="E386" s="101"/>
      <c r="F386" s="102"/>
      <c r="G386" s="103"/>
      <c r="H386" s="150"/>
      <c r="I386" s="55"/>
      <c r="J386" s="105"/>
      <c r="K386" s="55"/>
      <c r="L386" s="65"/>
      <c r="M386" s="55"/>
      <c r="N386" s="55"/>
      <c r="O386" s="55"/>
      <c r="P386" s="55"/>
      <c r="Q386" s="55"/>
      <c r="R386" s="55"/>
      <c r="S386" s="55"/>
      <c r="T386" s="55"/>
    </row>
    <row x14ac:dyDescent="0.25" r="387" customHeight="1" ht="17.25">
      <c r="A387" s="55"/>
      <c r="B387" s="100"/>
      <c r="C387" s="55"/>
      <c r="D387" s="101"/>
      <c r="E387" s="101"/>
      <c r="F387" s="102"/>
      <c r="G387" s="103"/>
      <c r="H387" s="150"/>
      <c r="I387" s="55"/>
      <c r="J387" s="105"/>
      <c r="K387" s="55"/>
      <c r="L387" s="65"/>
      <c r="M387" s="55"/>
      <c r="N387" s="55"/>
      <c r="O387" s="55"/>
      <c r="P387" s="55"/>
      <c r="Q387" s="55"/>
      <c r="R387" s="55"/>
      <c r="S387" s="55"/>
      <c r="T387" s="55"/>
    </row>
    <row x14ac:dyDescent="0.25" r="388" customHeight="1" ht="17.25">
      <c r="A388" s="55"/>
      <c r="B388" s="100"/>
      <c r="C388" s="55"/>
      <c r="D388" s="101"/>
      <c r="E388" s="101"/>
      <c r="F388" s="102"/>
      <c r="G388" s="103"/>
      <c r="H388" s="150"/>
      <c r="I388" s="55"/>
      <c r="J388" s="105"/>
      <c r="K388" s="55"/>
      <c r="L388" s="65"/>
      <c r="M388" s="55"/>
      <c r="N388" s="55"/>
      <c r="O388" s="55"/>
      <c r="P388" s="55"/>
      <c r="Q388" s="55"/>
      <c r="R388" s="55"/>
      <c r="S388" s="55"/>
      <c r="T388" s="55"/>
    </row>
    <row x14ac:dyDescent="0.25" r="389" customHeight="1" ht="17.25">
      <c r="A389" s="55"/>
      <c r="B389" s="100"/>
      <c r="C389" s="55"/>
      <c r="D389" s="101"/>
      <c r="E389" s="101"/>
      <c r="F389" s="102"/>
      <c r="G389" s="103"/>
      <c r="H389" s="150"/>
      <c r="I389" s="55"/>
      <c r="J389" s="105"/>
      <c r="K389" s="55"/>
      <c r="L389" s="65"/>
      <c r="M389" s="55"/>
      <c r="N389" s="55"/>
      <c r="O389" s="55"/>
      <c r="P389" s="55"/>
      <c r="Q389" s="55"/>
      <c r="R389" s="55"/>
      <c r="S389" s="55"/>
      <c r="T389" s="55"/>
    </row>
    <row x14ac:dyDescent="0.25" r="390" customHeight="1" ht="17.25">
      <c r="A390" s="55"/>
      <c r="B390" s="100"/>
      <c r="C390" s="55"/>
      <c r="D390" s="101"/>
      <c r="E390" s="101"/>
      <c r="F390" s="102"/>
      <c r="G390" s="103"/>
      <c r="H390" s="150"/>
      <c r="I390" s="55"/>
      <c r="J390" s="105"/>
      <c r="K390" s="55"/>
      <c r="L390" s="65"/>
      <c r="M390" s="55"/>
      <c r="N390" s="55"/>
      <c r="O390" s="55"/>
      <c r="P390" s="55"/>
      <c r="Q390" s="55"/>
      <c r="R390" s="55"/>
      <c r="S390" s="55"/>
      <c r="T390" s="55"/>
    </row>
    <row x14ac:dyDescent="0.25" r="391" customHeight="1" ht="17.25">
      <c r="A391" s="55"/>
      <c r="B391" s="100"/>
      <c r="C391" s="55"/>
      <c r="D391" s="101"/>
      <c r="E391" s="101"/>
      <c r="F391" s="102"/>
      <c r="G391" s="103"/>
      <c r="H391" s="150"/>
      <c r="I391" s="55"/>
      <c r="J391" s="105"/>
      <c r="K391" s="55"/>
      <c r="L391" s="65"/>
      <c r="M391" s="55"/>
      <c r="N391" s="55"/>
      <c r="O391" s="55"/>
      <c r="P391" s="55"/>
      <c r="Q391" s="55"/>
      <c r="R391" s="55"/>
      <c r="S391" s="55"/>
      <c r="T391" s="55"/>
    </row>
    <row x14ac:dyDescent="0.25" r="392" customHeight="1" ht="17.25">
      <c r="A392" s="55"/>
      <c r="B392" s="100"/>
      <c r="C392" s="55"/>
      <c r="D392" s="101"/>
      <c r="E392" s="101"/>
      <c r="F392" s="102"/>
      <c r="G392" s="103"/>
      <c r="H392" s="150"/>
      <c r="I392" s="55"/>
      <c r="J392" s="105"/>
      <c r="K392" s="55"/>
      <c r="L392" s="65"/>
      <c r="M392" s="55"/>
      <c r="N392" s="55"/>
      <c r="O392" s="55"/>
      <c r="P392" s="55"/>
      <c r="Q392" s="55"/>
      <c r="R392" s="55"/>
      <c r="S392" s="55"/>
      <c r="T392" s="55"/>
    </row>
    <row x14ac:dyDescent="0.25" r="393" customHeight="1" ht="17.25">
      <c r="A393" s="55"/>
      <c r="B393" s="100"/>
      <c r="C393" s="55"/>
      <c r="D393" s="101"/>
      <c r="E393" s="101"/>
      <c r="F393" s="102"/>
      <c r="G393" s="103"/>
      <c r="H393" s="150"/>
      <c r="I393" s="55"/>
      <c r="J393" s="105"/>
      <c r="K393" s="55"/>
      <c r="L393" s="65"/>
      <c r="M393" s="55"/>
      <c r="N393" s="55"/>
      <c r="O393" s="55"/>
      <c r="P393" s="55"/>
      <c r="Q393" s="55"/>
      <c r="R393" s="55"/>
      <c r="S393" s="55"/>
      <c r="T393" s="55"/>
    </row>
    <row x14ac:dyDescent="0.25" r="394" customHeight="1" ht="17.25">
      <c r="A394" s="55"/>
      <c r="B394" s="100"/>
      <c r="C394" s="55"/>
      <c r="D394" s="101"/>
      <c r="E394" s="101"/>
      <c r="F394" s="102"/>
      <c r="G394" s="103"/>
      <c r="H394" s="150"/>
      <c r="I394" s="55"/>
      <c r="J394" s="105"/>
      <c r="K394" s="55"/>
      <c r="L394" s="65"/>
      <c r="M394" s="55"/>
      <c r="N394" s="55"/>
      <c r="O394" s="55"/>
      <c r="P394" s="55"/>
      <c r="Q394" s="55"/>
      <c r="R394" s="55"/>
      <c r="S394" s="55"/>
      <c r="T394" s="55"/>
    </row>
    <row x14ac:dyDescent="0.25" r="395" customHeight="1" ht="17.25">
      <c r="A395" s="55"/>
      <c r="B395" s="100"/>
      <c r="C395" s="55"/>
      <c r="D395" s="101"/>
      <c r="E395" s="101"/>
      <c r="F395" s="102"/>
      <c r="G395" s="103"/>
      <c r="H395" s="150"/>
      <c r="I395" s="55"/>
      <c r="J395" s="105"/>
      <c r="K395" s="55"/>
      <c r="L395" s="65"/>
      <c r="M395" s="55"/>
      <c r="N395" s="55"/>
      <c r="O395" s="55"/>
      <c r="P395" s="55"/>
      <c r="Q395" s="55"/>
      <c r="R395" s="55"/>
      <c r="S395" s="55"/>
      <c r="T395" s="55"/>
    </row>
    <row x14ac:dyDescent="0.25" r="396" customHeight="1" ht="17.25">
      <c r="A396" s="55"/>
      <c r="B396" s="100"/>
      <c r="C396" s="55"/>
      <c r="D396" s="101"/>
      <c r="E396" s="101"/>
      <c r="F396" s="102"/>
      <c r="G396" s="103"/>
      <c r="H396" s="150"/>
      <c r="I396" s="55"/>
      <c r="J396" s="105"/>
      <c r="K396" s="55"/>
      <c r="L396" s="65"/>
      <c r="M396" s="55"/>
      <c r="N396" s="55"/>
      <c r="O396" s="55"/>
      <c r="P396" s="55"/>
      <c r="Q396" s="55"/>
      <c r="R396" s="55"/>
      <c r="S396" s="55"/>
      <c r="T396" s="55"/>
    </row>
    <row x14ac:dyDescent="0.25" r="397" customHeight="1" ht="17.25">
      <c r="A397" s="55"/>
      <c r="B397" s="100"/>
      <c r="C397" s="55"/>
      <c r="D397" s="101"/>
      <c r="E397" s="101"/>
      <c r="F397" s="102"/>
      <c r="G397" s="103"/>
      <c r="H397" s="150"/>
      <c r="I397" s="55"/>
      <c r="J397" s="105"/>
      <c r="K397" s="55"/>
      <c r="L397" s="65"/>
      <c r="M397" s="55"/>
      <c r="N397" s="55"/>
      <c r="O397" s="55"/>
      <c r="P397" s="55"/>
      <c r="Q397" s="55"/>
      <c r="R397" s="55"/>
      <c r="S397" s="55"/>
      <c r="T397" s="55"/>
    </row>
    <row x14ac:dyDescent="0.25" r="398" customHeight="1" ht="17.25">
      <c r="A398" s="55"/>
      <c r="B398" s="100"/>
      <c r="C398" s="55"/>
      <c r="D398" s="101"/>
      <c r="E398" s="101"/>
      <c r="F398" s="102"/>
      <c r="G398" s="103"/>
      <c r="H398" s="150"/>
      <c r="I398" s="55"/>
      <c r="J398" s="105"/>
      <c r="K398" s="55"/>
      <c r="L398" s="65"/>
      <c r="M398" s="55"/>
      <c r="N398" s="55"/>
      <c r="O398" s="55"/>
      <c r="P398" s="55"/>
      <c r="Q398" s="55"/>
      <c r="R398" s="55"/>
      <c r="S398" s="55"/>
      <c r="T398" s="55"/>
    </row>
    <row x14ac:dyDescent="0.25" r="399" customHeight="1" ht="17.25">
      <c r="A399" s="55"/>
      <c r="B399" s="100"/>
      <c r="C399" s="55"/>
      <c r="D399" s="101"/>
      <c r="E399" s="101"/>
      <c r="F399" s="102"/>
      <c r="G399" s="103"/>
      <c r="H399" s="150"/>
      <c r="I399" s="55"/>
      <c r="J399" s="105"/>
      <c r="K399" s="55"/>
      <c r="L399" s="65"/>
      <c r="M399" s="55"/>
      <c r="N399" s="55"/>
      <c r="O399" s="55"/>
      <c r="P399" s="55"/>
      <c r="Q399" s="55"/>
      <c r="R399" s="55"/>
      <c r="S399" s="55"/>
      <c r="T399" s="55"/>
    </row>
    <row x14ac:dyDescent="0.25" r="400" customHeight="1" ht="17.25">
      <c r="A400" s="55"/>
      <c r="B400" s="100"/>
      <c r="C400" s="55"/>
      <c r="D400" s="101"/>
      <c r="E400" s="101"/>
      <c r="F400" s="102"/>
      <c r="G400" s="103"/>
      <c r="H400" s="150"/>
      <c r="I400" s="55"/>
      <c r="J400" s="105"/>
      <c r="K400" s="55"/>
      <c r="L400" s="65"/>
      <c r="M400" s="55"/>
      <c r="N400" s="55"/>
      <c r="O400" s="55"/>
      <c r="P400" s="55"/>
      <c r="Q400" s="55"/>
      <c r="R400" s="55"/>
      <c r="S400" s="55"/>
      <c r="T400" s="55"/>
    </row>
    <row x14ac:dyDescent="0.25" r="401" customHeight="1" ht="17.25">
      <c r="A401" s="55"/>
      <c r="B401" s="100"/>
      <c r="C401" s="55"/>
      <c r="D401" s="101"/>
      <c r="E401" s="101"/>
      <c r="F401" s="102"/>
      <c r="G401" s="103"/>
      <c r="H401" s="150"/>
      <c r="I401" s="55"/>
      <c r="J401" s="105"/>
      <c r="K401" s="55"/>
      <c r="L401" s="65"/>
      <c r="M401" s="55"/>
      <c r="N401" s="55"/>
      <c r="O401" s="55"/>
      <c r="P401" s="55"/>
      <c r="Q401" s="55"/>
      <c r="R401" s="55"/>
      <c r="S401" s="55"/>
      <c r="T401" s="55"/>
    </row>
    <row x14ac:dyDescent="0.25" r="402" customHeight="1" ht="17.25">
      <c r="A402" s="55"/>
      <c r="B402" s="100"/>
      <c r="C402" s="55"/>
      <c r="D402" s="101"/>
      <c r="E402" s="101"/>
      <c r="F402" s="102"/>
      <c r="G402" s="103"/>
      <c r="H402" s="150"/>
      <c r="I402" s="55"/>
      <c r="J402" s="105"/>
      <c r="K402" s="55"/>
      <c r="L402" s="65"/>
      <c r="M402" s="55"/>
      <c r="N402" s="55"/>
      <c r="O402" s="55"/>
      <c r="P402" s="55"/>
      <c r="Q402" s="55"/>
      <c r="R402" s="55"/>
      <c r="S402" s="55"/>
      <c r="T402" s="55"/>
    </row>
    <row x14ac:dyDescent="0.25" r="403" customHeight="1" ht="17.25">
      <c r="A403" s="55"/>
      <c r="B403" s="100"/>
      <c r="C403" s="55"/>
      <c r="D403" s="101"/>
      <c r="E403" s="101"/>
      <c r="F403" s="102"/>
      <c r="G403" s="103"/>
      <c r="H403" s="150"/>
      <c r="I403" s="55"/>
      <c r="J403" s="105"/>
      <c r="K403" s="55"/>
      <c r="L403" s="65"/>
      <c r="M403" s="55"/>
      <c r="N403" s="55"/>
      <c r="O403" s="55"/>
      <c r="P403" s="55"/>
      <c r="Q403" s="55"/>
      <c r="R403" s="55"/>
      <c r="S403" s="55"/>
      <c r="T403" s="55"/>
    </row>
    <row x14ac:dyDescent="0.25" r="404" customHeight="1" ht="17.25">
      <c r="A404" s="55"/>
      <c r="B404" s="100"/>
      <c r="C404" s="55"/>
      <c r="D404" s="101"/>
      <c r="E404" s="101"/>
      <c r="F404" s="102"/>
      <c r="G404" s="103"/>
      <c r="H404" s="150"/>
      <c r="I404" s="55"/>
      <c r="J404" s="105"/>
      <c r="K404" s="55"/>
      <c r="L404" s="65"/>
      <c r="M404" s="55"/>
      <c r="N404" s="55"/>
      <c r="O404" s="55"/>
      <c r="P404" s="55"/>
      <c r="Q404" s="55"/>
      <c r="R404" s="55"/>
      <c r="S404" s="55"/>
      <c r="T404" s="55"/>
    </row>
    <row x14ac:dyDescent="0.25" r="405" customHeight="1" ht="17.25">
      <c r="A405" s="55"/>
      <c r="B405" s="100"/>
      <c r="C405" s="55"/>
      <c r="D405" s="101"/>
      <c r="E405" s="101"/>
      <c r="F405" s="102"/>
      <c r="G405" s="103"/>
      <c r="H405" s="150"/>
      <c r="I405" s="55"/>
      <c r="J405" s="105"/>
      <c r="K405" s="55"/>
      <c r="L405" s="65"/>
      <c r="M405" s="55"/>
      <c r="N405" s="55"/>
      <c r="O405" s="55"/>
      <c r="P405" s="55"/>
      <c r="Q405" s="55"/>
      <c r="R405" s="55"/>
      <c r="S405" s="55"/>
      <c r="T405" s="55"/>
    </row>
    <row x14ac:dyDescent="0.25" r="406" customHeight="1" ht="17.25">
      <c r="A406" s="55"/>
      <c r="B406" s="100"/>
      <c r="C406" s="55"/>
      <c r="D406" s="101"/>
      <c r="E406" s="101"/>
      <c r="F406" s="102"/>
      <c r="G406" s="103"/>
      <c r="H406" s="150"/>
      <c r="I406" s="55"/>
      <c r="J406" s="105"/>
      <c r="K406" s="55"/>
      <c r="L406" s="65"/>
      <c r="M406" s="55"/>
      <c r="N406" s="55"/>
      <c r="O406" s="55"/>
      <c r="P406" s="55"/>
      <c r="Q406" s="55"/>
      <c r="R406" s="55"/>
      <c r="S406" s="55"/>
      <c r="T406" s="55"/>
    </row>
    <row x14ac:dyDescent="0.25" r="407" customHeight="1" ht="17.25">
      <c r="A407" s="55"/>
      <c r="B407" s="100"/>
      <c r="C407" s="55"/>
      <c r="D407" s="101"/>
      <c r="E407" s="101"/>
      <c r="F407" s="102"/>
      <c r="G407" s="103"/>
      <c r="H407" s="150"/>
      <c r="I407" s="55"/>
      <c r="J407" s="105"/>
      <c r="K407" s="55"/>
      <c r="L407" s="65"/>
      <c r="M407" s="55"/>
      <c r="N407" s="55"/>
      <c r="O407" s="55"/>
      <c r="P407" s="55"/>
      <c r="Q407" s="55"/>
      <c r="R407" s="55"/>
      <c r="S407" s="55"/>
      <c r="T407" s="55"/>
    </row>
    <row x14ac:dyDescent="0.25" r="408" customHeight="1" ht="17.25">
      <c r="A408" s="55"/>
      <c r="B408" s="100"/>
      <c r="C408" s="55"/>
      <c r="D408" s="101"/>
      <c r="E408" s="101"/>
      <c r="F408" s="102"/>
      <c r="G408" s="103"/>
      <c r="H408" s="150"/>
      <c r="I408" s="55"/>
      <c r="J408" s="105"/>
      <c r="K408" s="55"/>
      <c r="L408" s="65"/>
      <c r="M408" s="55"/>
      <c r="N408" s="55"/>
      <c r="O408" s="55"/>
      <c r="P408" s="55"/>
      <c r="Q408" s="55"/>
      <c r="R408" s="55"/>
      <c r="S408" s="55"/>
      <c r="T408" s="55"/>
    </row>
    <row x14ac:dyDescent="0.25" r="409" customHeight="1" ht="17.25">
      <c r="A409" s="55"/>
      <c r="B409" s="100"/>
      <c r="C409" s="55"/>
      <c r="D409" s="101"/>
      <c r="E409" s="101"/>
      <c r="F409" s="102"/>
      <c r="G409" s="103"/>
      <c r="H409" s="150"/>
      <c r="I409" s="55"/>
      <c r="J409" s="105"/>
      <c r="K409" s="55"/>
      <c r="L409" s="65"/>
      <c r="M409" s="55"/>
      <c r="N409" s="55"/>
      <c r="O409" s="55"/>
      <c r="P409" s="55"/>
      <c r="Q409" s="55"/>
      <c r="R409" s="55"/>
      <c r="S409" s="55"/>
      <c r="T409" s="55"/>
    </row>
    <row x14ac:dyDescent="0.25" r="410" customHeight="1" ht="17.25">
      <c r="A410" s="55"/>
      <c r="B410" s="100"/>
      <c r="C410" s="55"/>
      <c r="D410" s="101"/>
      <c r="E410" s="101"/>
      <c r="F410" s="102"/>
      <c r="G410" s="103"/>
      <c r="H410" s="150"/>
      <c r="I410" s="55"/>
      <c r="J410" s="105"/>
      <c r="K410" s="55"/>
      <c r="L410" s="65"/>
      <c r="M410" s="55"/>
      <c r="N410" s="55"/>
      <c r="O410" s="55"/>
      <c r="P410" s="55"/>
      <c r="Q410" s="55"/>
      <c r="R410" s="55"/>
      <c r="S410" s="55"/>
      <c r="T410" s="55"/>
    </row>
    <row x14ac:dyDescent="0.25" r="411" customHeight="1" ht="17.25">
      <c r="A411" s="55"/>
      <c r="B411" s="100"/>
      <c r="C411" s="55"/>
      <c r="D411" s="101"/>
      <c r="E411" s="101"/>
      <c r="F411" s="102"/>
      <c r="G411" s="103"/>
      <c r="H411" s="150"/>
      <c r="I411" s="55"/>
      <c r="J411" s="105"/>
      <c r="K411" s="55"/>
      <c r="L411" s="65"/>
      <c r="M411" s="55"/>
      <c r="N411" s="55"/>
      <c r="O411" s="55"/>
      <c r="P411" s="55"/>
      <c r="Q411" s="55"/>
      <c r="R411" s="55"/>
      <c r="S411" s="55"/>
      <c r="T411" s="55"/>
    </row>
    <row x14ac:dyDescent="0.25" r="412" customHeight="1" ht="17.25">
      <c r="A412" s="55"/>
      <c r="B412" s="100"/>
      <c r="C412" s="55"/>
      <c r="D412" s="101"/>
      <c r="E412" s="101"/>
      <c r="F412" s="102"/>
      <c r="G412" s="103"/>
      <c r="H412" s="150"/>
      <c r="I412" s="55"/>
      <c r="J412" s="105"/>
      <c r="K412" s="55"/>
      <c r="L412" s="65"/>
      <c r="M412" s="55"/>
      <c r="N412" s="55"/>
      <c r="O412" s="55"/>
      <c r="P412" s="55"/>
      <c r="Q412" s="55"/>
      <c r="R412" s="55"/>
      <c r="S412" s="55"/>
      <c r="T412" s="55"/>
    </row>
    <row x14ac:dyDescent="0.25" r="413" customHeight="1" ht="17.25">
      <c r="A413" s="55"/>
      <c r="B413" s="100"/>
      <c r="C413" s="55"/>
      <c r="D413" s="101"/>
      <c r="E413" s="101"/>
      <c r="F413" s="102"/>
      <c r="G413" s="103"/>
      <c r="H413" s="150"/>
      <c r="I413" s="55"/>
      <c r="J413" s="105"/>
      <c r="K413" s="55"/>
      <c r="L413" s="65"/>
      <c r="M413" s="55"/>
      <c r="N413" s="55"/>
      <c r="O413" s="55"/>
      <c r="P413" s="55"/>
      <c r="Q413" s="55"/>
      <c r="R413" s="55"/>
      <c r="S413" s="55"/>
      <c r="T413" s="55"/>
    </row>
    <row x14ac:dyDescent="0.25" r="414" customHeight="1" ht="17.25">
      <c r="A414" s="55"/>
      <c r="B414" s="100"/>
      <c r="C414" s="55"/>
      <c r="D414" s="101"/>
      <c r="E414" s="101"/>
      <c r="F414" s="102"/>
      <c r="G414" s="103"/>
      <c r="H414" s="150"/>
      <c r="I414" s="55"/>
      <c r="J414" s="105"/>
      <c r="K414" s="55"/>
      <c r="L414" s="65"/>
      <c r="M414" s="55"/>
      <c r="N414" s="55"/>
      <c r="O414" s="55"/>
      <c r="P414" s="55"/>
      <c r="Q414" s="55"/>
      <c r="R414" s="55"/>
      <c r="S414" s="55"/>
      <c r="T414" s="55"/>
    </row>
    <row x14ac:dyDescent="0.25" r="415" customHeight="1" ht="17.25">
      <c r="A415" s="55"/>
      <c r="B415" s="100"/>
      <c r="C415" s="55"/>
      <c r="D415" s="101"/>
      <c r="E415" s="101"/>
      <c r="F415" s="102"/>
      <c r="G415" s="103"/>
      <c r="H415" s="150"/>
      <c r="I415" s="55"/>
      <c r="J415" s="105"/>
      <c r="K415" s="55"/>
      <c r="L415" s="65"/>
      <c r="M415" s="55"/>
      <c r="N415" s="55"/>
      <c r="O415" s="55"/>
      <c r="P415" s="55"/>
      <c r="Q415" s="55"/>
      <c r="R415" s="55"/>
      <c r="S415" s="55"/>
      <c r="T415" s="55"/>
    </row>
    <row x14ac:dyDescent="0.25" r="416" customHeight="1" ht="17.25">
      <c r="A416" s="55"/>
      <c r="B416" s="100"/>
      <c r="C416" s="55"/>
      <c r="D416" s="101"/>
      <c r="E416" s="101"/>
      <c r="F416" s="102"/>
      <c r="G416" s="103"/>
      <c r="H416" s="150"/>
      <c r="I416" s="55"/>
      <c r="J416" s="105"/>
      <c r="K416" s="55"/>
      <c r="L416" s="65"/>
      <c r="M416" s="55"/>
      <c r="N416" s="55"/>
      <c r="O416" s="55"/>
      <c r="P416" s="55"/>
      <c r="Q416" s="55"/>
      <c r="R416" s="55"/>
      <c r="S416" s="55"/>
      <c r="T416" s="55"/>
    </row>
    <row x14ac:dyDescent="0.25" r="417" customHeight="1" ht="17.25">
      <c r="A417" s="55"/>
      <c r="B417" s="100"/>
      <c r="C417" s="55"/>
      <c r="D417" s="101"/>
      <c r="E417" s="101"/>
      <c r="F417" s="102"/>
      <c r="G417" s="103"/>
      <c r="H417" s="150"/>
      <c r="I417" s="55"/>
      <c r="J417" s="105"/>
      <c r="K417" s="55"/>
      <c r="L417" s="65"/>
      <c r="M417" s="55"/>
      <c r="N417" s="55"/>
      <c r="O417" s="55"/>
      <c r="P417" s="55"/>
      <c r="Q417" s="55"/>
      <c r="R417" s="55"/>
      <c r="S417" s="55"/>
      <c r="T417" s="55"/>
    </row>
    <row x14ac:dyDescent="0.25" r="418" customHeight="1" ht="17.25">
      <c r="A418" s="55"/>
      <c r="B418" s="100"/>
      <c r="C418" s="55"/>
      <c r="D418" s="101"/>
      <c r="E418" s="101"/>
      <c r="F418" s="102"/>
      <c r="G418" s="103"/>
      <c r="H418" s="150"/>
      <c r="I418" s="55"/>
      <c r="J418" s="105"/>
      <c r="K418" s="55"/>
      <c r="L418" s="65"/>
      <c r="M418" s="55"/>
      <c r="N418" s="55"/>
      <c r="O418" s="55"/>
      <c r="P418" s="55"/>
      <c r="Q418" s="55"/>
      <c r="R418" s="55"/>
      <c r="S418" s="55"/>
      <c r="T418" s="55"/>
    </row>
    <row x14ac:dyDescent="0.25" r="419" customHeight="1" ht="17.25">
      <c r="A419" s="55"/>
      <c r="B419" s="100"/>
      <c r="C419" s="55"/>
      <c r="D419" s="101"/>
      <c r="E419" s="101"/>
      <c r="F419" s="102"/>
      <c r="G419" s="103"/>
      <c r="H419" s="150"/>
      <c r="I419" s="55"/>
      <c r="J419" s="105"/>
      <c r="K419" s="55"/>
      <c r="L419" s="65"/>
      <c r="M419" s="55"/>
      <c r="N419" s="55"/>
      <c r="O419" s="55"/>
      <c r="P419" s="55"/>
      <c r="Q419" s="55"/>
      <c r="R419" s="55"/>
      <c r="S419" s="55"/>
      <c r="T419" s="55"/>
    </row>
    <row x14ac:dyDescent="0.25" r="420" customHeight="1" ht="17.25">
      <c r="A420" s="55"/>
      <c r="B420" s="100"/>
      <c r="C420" s="55"/>
      <c r="D420" s="101"/>
      <c r="E420" s="101"/>
      <c r="F420" s="102"/>
      <c r="G420" s="103"/>
      <c r="H420" s="150"/>
      <c r="I420" s="55"/>
      <c r="J420" s="105"/>
      <c r="K420" s="55"/>
      <c r="L420" s="65"/>
      <c r="M420" s="55"/>
      <c r="N420" s="55"/>
      <c r="O420" s="55"/>
      <c r="P420" s="55"/>
      <c r="Q420" s="55"/>
      <c r="R420" s="55"/>
      <c r="S420" s="55"/>
      <c r="T420" s="55"/>
    </row>
    <row x14ac:dyDescent="0.25" r="421" customHeight="1" ht="17.25">
      <c r="A421" s="55"/>
      <c r="B421" s="100"/>
      <c r="C421" s="55"/>
      <c r="D421" s="101"/>
      <c r="E421" s="101"/>
      <c r="F421" s="102"/>
      <c r="G421" s="103"/>
      <c r="H421" s="150"/>
      <c r="I421" s="55"/>
      <c r="J421" s="105"/>
      <c r="K421" s="55"/>
      <c r="L421" s="65"/>
      <c r="M421" s="55"/>
      <c r="N421" s="55"/>
      <c r="O421" s="55"/>
      <c r="P421" s="55"/>
      <c r="Q421" s="55"/>
      <c r="R421" s="55"/>
      <c r="S421" s="55"/>
      <c r="T421" s="55"/>
    </row>
    <row x14ac:dyDescent="0.25" r="422" customHeight="1" ht="17.25">
      <c r="A422" s="55"/>
      <c r="B422" s="100"/>
      <c r="C422" s="55"/>
      <c r="D422" s="101"/>
      <c r="E422" s="101"/>
      <c r="F422" s="102"/>
      <c r="G422" s="103"/>
      <c r="H422" s="150"/>
      <c r="I422" s="55"/>
      <c r="J422" s="105"/>
      <c r="K422" s="55"/>
      <c r="L422" s="65"/>
      <c r="M422" s="55"/>
      <c r="N422" s="55"/>
      <c r="O422" s="55"/>
      <c r="P422" s="55"/>
      <c r="Q422" s="55"/>
      <c r="R422" s="55"/>
      <c r="S422" s="55"/>
      <c r="T422" s="55"/>
    </row>
    <row x14ac:dyDescent="0.25" r="423" customHeight="1" ht="17.25">
      <c r="A423" s="55"/>
      <c r="B423" s="100"/>
      <c r="C423" s="55"/>
      <c r="D423" s="101"/>
      <c r="E423" s="101"/>
      <c r="F423" s="102"/>
      <c r="G423" s="103"/>
      <c r="H423" s="150"/>
      <c r="I423" s="55"/>
      <c r="J423" s="105"/>
      <c r="K423" s="55"/>
      <c r="L423" s="65"/>
      <c r="M423" s="55"/>
      <c r="N423" s="55"/>
      <c r="O423" s="55"/>
      <c r="P423" s="55"/>
      <c r="Q423" s="55"/>
      <c r="R423" s="55"/>
      <c r="S423" s="55"/>
      <c r="T423" s="55"/>
    </row>
    <row x14ac:dyDescent="0.25" r="424" customHeight="1" ht="17.25">
      <c r="A424" s="55"/>
      <c r="B424" s="100"/>
      <c r="C424" s="55"/>
      <c r="D424" s="101"/>
      <c r="E424" s="101"/>
      <c r="F424" s="102"/>
      <c r="G424" s="103"/>
      <c r="H424" s="150"/>
      <c r="I424" s="55"/>
      <c r="J424" s="105"/>
      <c r="K424" s="55"/>
      <c r="L424" s="65"/>
      <c r="M424" s="55"/>
      <c r="N424" s="55"/>
      <c r="O424" s="55"/>
      <c r="P424" s="55"/>
      <c r="Q424" s="55"/>
      <c r="R424" s="55"/>
      <c r="S424" s="55"/>
      <c r="T424" s="55"/>
    </row>
    <row x14ac:dyDescent="0.25" r="425" customHeight="1" ht="17.25">
      <c r="A425" s="55"/>
      <c r="B425" s="100"/>
      <c r="C425" s="55"/>
      <c r="D425" s="101"/>
      <c r="E425" s="101"/>
      <c r="F425" s="102"/>
      <c r="G425" s="103"/>
      <c r="H425" s="150"/>
      <c r="I425" s="55"/>
      <c r="J425" s="105"/>
      <c r="K425" s="55"/>
      <c r="L425" s="65"/>
      <c r="M425" s="55"/>
      <c r="N425" s="55"/>
      <c r="O425" s="55"/>
      <c r="P425" s="55"/>
      <c r="Q425" s="55"/>
      <c r="R425" s="55"/>
      <c r="S425" s="55"/>
      <c r="T425" s="55"/>
    </row>
    <row x14ac:dyDescent="0.25" r="426" customHeight="1" ht="17.25">
      <c r="A426" s="55"/>
      <c r="B426" s="100"/>
      <c r="C426" s="55"/>
      <c r="D426" s="101"/>
      <c r="E426" s="101"/>
      <c r="F426" s="102"/>
      <c r="G426" s="103"/>
      <c r="H426" s="150"/>
      <c r="I426" s="55"/>
      <c r="J426" s="105"/>
      <c r="K426" s="55"/>
      <c r="L426" s="65"/>
      <c r="M426" s="55"/>
      <c r="N426" s="55"/>
      <c r="O426" s="55"/>
      <c r="P426" s="55"/>
      <c r="Q426" s="55"/>
      <c r="R426" s="55"/>
      <c r="S426" s="55"/>
      <c r="T426" s="55"/>
    </row>
    <row x14ac:dyDescent="0.25" r="427" customHeight="1" ht="17.25">
      <c r="A427" s="55"/>
      <c r="B427" s="100"/>
      <c r="C427" s="55"/>
      <c r="D427" s="101"/>
      <c r="E427" s="101"/>
      <c r="F427" s="102"/>
      <c r="G427" s="103"/>
      <c r="H427" s="150"/>
      <c r="I427" s="55"/>
      <c r="J427" s="105"/>
      <c r="K427" s="55"/>
      <c r="L427" s="65"/>
      <c r="M427" s="55"/>
      <c r="N427" s="55"/>
      <c r="O427" s="55"/>
      <c r="P427" s="55"/>
      <c r="Q427" s="55"/>
      <c r="R427" s="55"/>
      <c r="S427" s="55"/>
      <c r="T427" s="55"/>
    </row>
    <row x14ac:dyDescent="0.25" r="428" customHeight="1" ht="17.25">
      <c r="A428" s="55"/>
      <c r="B428" s="100"/>
      <c r="C428" s="55"/>
      <c r="D428" s="101"/>
      <c r="E428" s="101"/>
      <c r="F428" s="102"/>
      <c r="G428" s="103"/>
      <c r="H428" s="150"/>
      <c r="I428" s="55"/>
      <c r="J428" s="105"/>
      <c r="K428" s="55"/>
      <c r="L428" s="65"/>
      <c r="M428" s="55"/>
      <c r="N428" s="55"/>
      <c r="O428" s="55"/>
      <c r="P428" s="55"/>
      <c r="Q428" s="55"/>
      <c r="R428" s="55"/>
      <c r="S428" s="55"/>
      <c r="T428" s="55"/>
    </row>
    <row x14ac:dyDescent="0.25" r="429" customHeight="1" ht="17.25">
      <c r="A429" s="55"/>
      <c r="B429" s="100"/>
      <c r="C429" s="55"/>
      <c r="D429" s="101"/>
      <c r="E429" s="101"/>
      <c r="F429" s="102"/>
      <c r="G429" s="103"/>
      <c r="H429" s="150"/>
      <c r="I429" s="55"/>
      <c r="J429" s="105"/>
      <c r="K429" s="55"/>
      <c r="L429" s="65"/>
      <c r="M429" s="55"/>
      <c r="N429" s="55"/>
      <c r="O429" s="55"/>
      <c r="P429" s="55"/>
      <c r="Q429" s="55"/>
      <c r="R429" s="55"/>
      <c r="S429" s="55"/>
      <c r="T429" s="55"/>
    </row>
    <row x14ac:dyDescent="0.25" r="430" customHeight="1" ht="17.25">
      <c r="A430" s="55"/>
      <c r="B430" s="100"/>
      <c r="C430" s="55"/>
      <c r="D430" s="101"/>
      <c r="E430" s="101"/>
      <c r="F430" s="102"/>
      <c r="G430" s="103"/>
      <c r="H430" s="150"/>
      <c r="I430" s="55"/>
      <c r="J430" s="105"/>
      <c r="K430" s="55"/>
      <c r="L430" s="65"/>
      <c r="M430" s="55"/>
      <c r="N430" s="55"/>
      <c r="O430" s="55"/>
      <c r="P430" s="55"/>
      <c r="Q430" s="55"/>
      <c r="R430" s="55"/>
      <c r="S430" s="55"/>
      <c r="T430" s="55"/>
    </row>
    <row x14ac:dyDescent="0.25" r="431" customHeight="1" ht="17.25">
      <c r="A431" s="55"/>
      <c r="B431" s="100"/>
      <c r="C431" s="55"/>
      <c r="D431" s="101"/>
      <c r="E431" s="101"/>
      <c r="F431" s="102"/>
      <c r="G431" s="103"/>
      <c r="H431" s="150"/>
      <c r="I431" s="55"/>
      <c r="J431" s="105"/>
      <c r="K431" s="55"/>
      <c r="L431" s="65"/>
      <c r="M431" s="55"/>
      <c r="N431" s="55"/>
      <c r="O431" s="55"/>
      <c r="P431" s="55"/>
      <c r="Q431" s="55"/>
      <c r="R431" s="55"/>
      <c r="S431" s="55"/>
      <c r="T431" s="55"/>
    </row>
    <row x14ac:dyDescent="0.25" r="432" customHeight="1" ht="17.25">
      <c r="A432" s="55"/>
      <c r="B432" s="100"/>
      <c r="C432" s="55"/>
      <c r="D432" s="101"/>
      <c r="E432" s="101"/>
      <c r="F432" s="102"/>
      <c r="G432" s="103"/>
      <c r="H432" s="150"/>
      <c r="I432" s="55"/>
      <c r="J432" s="105"/>
      <c r="K432" s="55"/>
      <c r="L432" s="65"/>
      <c r="M432" s="55"/>
      <c r="N432" s="55"/>
      <c r="O432" s="55"/>
      <c r="P432" s="55"/>
      <c r="Q432" s="55"/>
      <c r="R432" s="55"/>
      <c r="S432" s="55"/>
      <c r="T432" s="55"/>
    </row>
    <row x14ac:dyDescent="0.25" r="433" customHeight="1" ht="17.25">
      <c r="A433" s="55"/>
      <c r="B433" s="100"/>
      <c r="C433" s="55"/>
      <c r="D433" s="101"/>
      <c r="E433" s="101"/>
      <c r="F433" s="102"/>
      <c r="G433" s="103"/>
      <c r="H433" s="150"/>
      <c r="I433" s="55"/>
      <c r="J433" s="105"/>
      <c r="K433" s="55"/>
      <c r="L433" s="65"/>
      <c r="M433" s="55"/>
      <c r="N433" s="55"/>
      <c r="O433" s="55"/>
      <c r="P433" s="55"/>
      <c r="Q433" s="55"/>
      <c r="R433" s="55"/>
      <c r="S433" s="55"/>
      <c r="T433" s="55"/>
    </row>
    <row x14ac:dyDescent="0.25" r="434" customHeight="1" ht="17.25">
      <c r="A434" s="55"/>
      <c r="B434" s="100"/>
      <c r="C434" s="55"/>
      <c r="D434" s="101"/>
      <c r="E434" s="101"/>
      <c r="F434" s="102"/>
      <c r="G434" s="103"/>
      <c r="H434" s="150"/>
      <c r="I434" s="55"/>
      <c r="J434" s="105"/>
      <c r="K434" s="55"/>
      <c r="L434" s="65"/>
      <c r="M434" s="55"/>
      <c r="N434" s="55"/>
      <c r="O434" s="55"/>
      <c r="P434" s="55"/>
      <c r="Q434" s="55"/>
      <c r="R434" s="55"/>
      <c r="S434" s="55"/>
      <c r="T434" s="55"/>
    </row>
    <row x14ac:dyDescent="0.25" r="435" customHeight="1" ht="17.25">
      <c r="A435" s="55"/>
      <c r="B435" s="100"/>
      <c r="C435" s="55"/>
      <c r="D435" s="101"/>
      <c r="E435" s="101"/>
      <c r="F435" s="102"/>
      <c r="G435" s="103"/>
      <c r="H435" s="150"/>
      <c r="I435" s="55"/>
      <c r="J435" s="105"/>
      <c r="K435" s="55"/>
      <c r="L435" s="65"/>
      <c r="M435" s="55"/>
      <c r="N435" s="55"/>
      <c r="O435" s="55"/>
      <c r="P435" s="55"/>
      <c r="Q435" s="55"/>
      <c r="R435" s="55"/>
      <c r="S435" s="55"/>
      <c r="T435" s="55"/>
    </row>
    <row x14ac:dyDescent="0.25" r="436" customHeight="1" ht="17.25">
      <c r="A436" s="55"/>
      <c r="B436" s="100"/>
      <c r="C436" s="55"/>
      <c r="D436" s="101"/>
      <c r="E436" s="101"/>
      <c r="F436" s="102"/>
      <c r="G436" s="103"/>
      <c r="H436" s="150"/>
      <c r="I436" s="55"/>
      <c r="J436" s="105"/>
      <c r="K436" s="55"/>
      <c r="L436" s="65"/>
      <c r="M436" s="55"/>
      <c r="N436" s="55"/>
      <c r="O436" s="55"/>
      <c r="P436" s="55"/>
      <c r="Q436" s="55"/>
      <c r="R436" s="55"/>
      <c r="S436" s="55"/>
      <c r="T436" s="55"/>
    </row>
    <row x14ac:dyDescent="0.25" r="437" customHeight="1" ht="17.25">
      <c r="A437" s="55"/>
      <c r="B437" s="100"/>
      <c r="C437" s="55"/>
      <c r="D437" s="101"/>
      <c r="E437" s="101"/>
      <c r="F437" s="102"/>
      <c r="G437" s="103"/>
      <c r="H437" s="150"/>
      <c r="I437" s="55"/>
      <c r="J437" s="105"/>
      <c r="K437" s="55"/>
      <c r="L437" s="65"/>
      <c r="M437" s="55"/>
      <c r="N437" s="55"/>
      <c r="O437" s="55"/>
      <c r="P437" s="55"/>
      <c r="Q437" s="55"/>
      <c r="R437" s="55"/>
      <c r="S437" s="55"/>
      <c r="T437" s="55"/>
    </row>
    <row x14ac:dyDescent="0.25" r="438" customHeight="1" ht="17.25">
      <c r="A438" s="55"/>
      <c r="B438" s="100"/>
      <c r="C438" s="55"/>
      <c r="D438" s="101"/>
      <c r="E438" s="101"/>
      <c r="F438" s="102"/>
      <c r="G438" s="103"/>
      <c r="H438" s="150"/>
      <c r="I438" s="55"/>
      <c r="J438" s="105"/>
      <c r="K438" s="55"/>
      <c r="L438" s="65"/>
      <c r="M438" s="55"/>
      <c r="N438" s="55"/>
      <c r="O438" s="55"/>
      <c r="P438" s="55"/>
      <c r="Q438" s="55"/>
      <c r="R438" s="55"/>
      <c r="S438" s="55"/>
      <c r="T438" s="55"/>
    </row>
    <row x14ac:dyDescent="0.25" r="439" customHeight="1" ht="17.25">
      <c r="A439" s="55"/>
      <c r="B439" s="100"/>
      <c r="C439" s="55"/>
      <c r="D439" s="101"/>
      <c r="E439" s="101"/>
      <c r="F439" s="102"/>
      <c r="G439" s="103"/>
      <c r="H439" s="150"/>
      <c r="I439" s="55"/>
      <c r="J439" s="105"/>
      <c r="K439" s="55"/>
      <c r="L439" s="65"/>
      <c r="M439" s="55"/>
      <c r="N439" s="55"/>
      <c r="O439" s="55"/>
      <c r="P439" s="55"/>
      <c r="Q439" s="55"/>
      <c r="R439" s="55"/>
      <c r="S439" s="55"/>
      <c r="T439" s="55"/>
    </row>
    <row x14ac:dyDescent="0.25" r="440" customHeight="1" ht="17.25">
      <c r="A440" s="55"/>
      <c r="B440" s="100"/>
      <c r="C440" s="55"/>
      <c r="D440" s="101"/>
      <c r="E440" s="101"/>
      <c r="F440" s="102"/>
      <c r="G440" s="103"/>
      <c r="H440" s="150"/>
      <c r="I440" s="55"/>
      <c r="J440" s="105"/>
      <c r="K440" s="55"/>
      <c r="L440" s="65"/>
      <c r="M440" s="55"/>
      <c r="N440" s="55"/>
      <c r="O440" s="55"/>
      <c r="P440" s="55"/>
      <c r="Q440" s="55"/>
      <c r="R440" s="55"/>
      <c r="S440" s="55"/>
      <c r="T440" s="55"/>
    </row>
    <row x14ac:dyDescent="0.25" r="441" customHeight="1" ht="17.25">
      <c r="A441" s="55"/>
      <c r="B441" s="100"/>
      <c r="C441" s="55"/>
      <c r="D441" s="101"/>
      <c r="E441" s="101"/>
      <c r="F441" s="102"/>
      <c r="G441" s="103"/>
      <c r="H441" s="150"/>
      <c r="I441" s="55"/>
      <c r="J441" s="105"/>
      <c r="K441" s="55"/>
      <c r="L441" s="65"/>
      <c r="M441" s="55"/>
      <c r="N441" s="55"/>
      <c r="O441" s="55"/>
      <c r="P441" s="55"/>
      <c r="Q441" s="55"/>
      <c r="R441" s="55"/>
      <c r="S441" s="55"/>
      <c r="T441" s="55"/>
    </row>
    <row x14ac:dyDescent="0.25" r="442" customHeight="1" ht="17.25">
      <c r="A442" s="55"/>
      <c r="B442" s="100"/>
      <c r="C442" s="55"/>
      <c r="D442" s="101"/>
      <c r="E442" s="101"/>
      <c r="F442" s="102"/>
      <c r="G442" s="103"/>
      <c r="H442" s="150"/>
      <c r="I442" s="55"/>
      <c r="J442" s="105"/>
      <c r="K442" s="55"/>
      <c r="L442" s="65"/>
      <c r="M442" s="55"/>
      <c r="N442" s="55"/>
      <c r="O442" s="55"/>
      <c r="P442" s="55"/>
      <c r="Q442" s="55"/>
      <c r="R442" s="55"/>
      <c r="S442" s="55"/>
      <c r="T442" s="55"/>
    </row>
    <row x14ac:dyDescent="0.25" r="443" customHeight="1" ht="17.25">
      <c r="A443" s="55"/>
      <c r="B443" s="100"/>
      <c r="C443" s="55"/>
      <c r="D443" s="101"/>
      <c r="E443" s="101"/>
      <c r="F443" s="102"/>
      <c r="G443" s="103"/>
      <c r="H443" s="150"/>
      <c r="I443" s="55"/>
      <c r="J443" s="105"/>
      <c r="K443" s="55"/>
      <c r="L443" s="65"/>
      <c r="M443" s="55"/>
      <c r="N443" s="55"/>
      <c r="O443" s="55"/>
      <c r="P443" s="55"/>
      <c r="Q443" s="55"/>
      <c r="R443" s="55"/>
      <c r="S443" s="55"/>
      <c r="T443" s="55"/>
    </row>
    <row x14ac:dyDescent="0.25" r="444" customHeight="1" ht="17.25">
      <c r="A444" s="55"/>
      <c r="B444" s="100"/>
      <c r="C444" s="55"/>
      <c r="D444" s="101"/>
      <c r="E444" s="101"/>
      <c r="F444" s="102"/>
      <c r="G444" s="103"/>
      <c r="H444" s="150"/>
      <c r="I444" s="55"/>
      <c r="J444" s="105"/>
      <c r="K444" s="55"/>
      <c r="L444" s="65"/>
      <c r="M444" s="55"/>
      <c r="N444" s="55"/>
      <c r="O444" s="55"/>
      <c r="P444" s="55"/>
      <c r="Q444" s="55"/>
      <c r="R444" s="55"/>
      <c r="S444" s="55"/>
      <c r="T444" s="55"/>
    </row>
    <row x14ac:dyDescent="0.25" r="445" customHeight="1" ht="17.25">
      <c r="A445" s="55"/>
      <c r="B445" s="100"/>
      <c r="C445" s="55"/>
      <c r="D445" s="101"/>
      <c r="E445" s="101"/>
      <c r="F445" s="102"/>
      <c r="G445" s="103"/>
      <c r="H445" s="150"/>
      <c r="I445" s="55"/>
      <c r="J445" s="105"/>
      <c r="K445" s="55"/>
      <c r="L445" s="65"/>
      <c r="M445" s="55"/>
      <c r="N445" s="55"/>
      <c r="O445" s="55"/>
      <c r="P445" s="55"/>
      <c r="Q445" s="55"/>
      <c r="R445" s="55"/>
      <c r="S445" s="55"/>
      <c r="T445" s="55"/>
    </row>
    <row x14ac:dyDescent="0.25" r="446" customHeight="1" ht="17.25">
      <c r="A446" s="55"/>
      <c r="B446" s="100"/>
      <c r="C446" s="55"/>
      <c r="D446" s="101"/>
      <c r="E446" s="101"/>
      <c r="F446" s="102"/>
      <c r="G446" s="103"/>
      <c r="H446" s="150"/>
      <c r="I446" s="55"/>
      <c r="J446" s="105"/>
      <c r="K446" s="55"/>
      <c r="L446" s="65"/>
      <c r="M446" s="55"/>
      <c r="N446" s="55"/>
      <c r="O446" s="55"/>
      <c r="P446" s="55"/>
      <c r="Q446" s="55"/>
      <c r="R446" s="55"/>
      <c r="S446" s="55"/>
      <c r="T446" s="55"/>
    </row>
    <row x14ac:dyDescent="0.25" r="447" customHeight="1" ht="17.25">
      <c r="A447" s="55"/>
      <c r="B447" s="100"/>
      <c r="C447" s="55"/>
      <c r="D447" s="101"/>
      <c r="E447" s="101"/>
      <c r="F447" s="102"/>
      <c r="G447" s="103"/>
      <c r="H447" s="150"/>
      <c r="I447" s="55"/>
      <c r="J447" s="105"/>
      <c r="K447" s="55"/>
      <c r="L447" s="65"/>
      <c r="M447" s="55"/>
      <c r="N447" s="55"/>
      <c r="O447" s="55"/>
      <c r="P447" s="55"/>
      <c r="Q447" s="55"/>
      <c r="R447" s="55"/>
      <c r="S447" s="55"/>
      <c r="T447" s="55"/>
    </row>
    <row x14ac:dyDescent="0.25" r="448" customHeight="1" ht="17.25">
      <c r="A448" s="55"/>
      <c r="B448" s="100"/>
      <c r="C448" s="55"/>
      <c r="D448" s="101"/>
      <c r="E448" s="101"/>
      <c r="F448" s="102"/>
      <c r="G448" s="103"/>
      <c r="H448" s="150"/>
      <c r="I448" s="55"/>
      <c r="J448" s="105"/>
      <c r="K448" s="55"/>
      <c r="L448" s="65"/>
      <c r="M448" s="55"/>
      <c r="N448" s="55"/>
      <c r="O448" s="55"/>
      <c r="P448" s="55"/>
      <c r="Q448" s="55"/>
      <c r="R448" s="55"/>
      <c r="S448" s="55"/>
      <c r="T448" s="55"/>
    </row>
    <row x14ac:dyDescent="0.25" r="449" customHeight="1" ht="17.25">
      <c r="A449" s="55"/>
      <c r="B449" s="100"/>
      <c r="C449" s="55"/>
      <c r="D449" s="101"/>
      <c r="E449" s="101"/>
      <c r="F449" s="102"/>
      <c r="G449" s="103"/>
      <c r="H449" s="150"/>
      <c r="I449" s="55"/>
      <c r="J449" s="105"/>
      <c r="K449" s="55"/>
      <c r="L449" s="65"/>
      <c r="M449" s="55"/>
      <c r="N449" s="55"/>
      <c r="O449" s="55"/>
      <c r="P449" s="55"/>
      <c r="Q449" s="55"/>
      <c r="R449" s="55"/>
      <c r="S449" s="55"/>
      <c r="T449" s="55"/>
    </row>
    <row x14ac:dyDescent="0.25" r="450" customHeight="1" ht="17.25">
      <c r="A450" s="55"/>
      <c r="B450" s="100"/>
      <c r="C450" s="55"/>
      <c r="D450" s="101"/>
      <c r="E450" s="101"/>
      <c r="F450" s="102"/>
      <c r="G450" s="103"/>
      <c r="H450" s="150"/>
      <c r="I450" s="55"/>
      <c r="J450" s="105"/>
      <c r="K450" s="55"/>
      <c r="L450" s="65"/>
      <c r="M450" s="55"/>
      <c r="N450" s="55"/>
      <c r="O450" s="55"/>
      <c r="P450" s="55"/>
      <c r="Q450" s="55"/>
      <c r="R450" s="55"/>
      <c r="S450" s="55"/>
      <c r="T450" s="55"/>
    </row>
    <row x14ac:dyDescent="0.25" r="451" customHeight="1" ht="17.25">
      <c r="A451" s="55"/>
      <c r="B451" s="100"/>
      <c r="C451" s="55"/>
      <c r="D451" s="101"/>
      <c r="E451" s="101"/>
      <c r="F451" s="102"/>
      <c r="G451" s="103"/>
      <c r="H451" s="150"/>
      <c r="I451" s="55"/>
      <c r="J451" s="105"/>
      <c r="K451" s="55"/>
      <c r="L451" s="65"/>
      <c r="M451" s="55"/>
      <c r="N451" s="55"/>
      <c r="O451" s="55"/>
      <c r="P451" s="55"/>
      <c r="Q451" s="55"/>
      <c r="R451" s="55"/>
      <c r="S451" s="55"/>
      <c r="T451" s="55"/>
    </row>
    <row x14ac:dyDescent="0.25" r="452" customHeight="1" ht="17.25">
      <c r="A452" s="55"/>
      <c r="B452" s="100"/>
      <c r="C452" s="55"/>
      <c r="D452" s="101"/>
      <c r="E452" s="101"/>
      <c r="F452" s="102"/>
      <c r="G452" s="103"/>
      <c r="H452" s="150"/>
      <c r="I452" s="55"/>
      <c r="J452" s="105"/>
      <c r="K452" s="55"/>
      <c r="L452" s="65"/>
      <c r="M452" s="55"/>
      <c r="N452" s="55"/>
      <c r="O452" s="55"/>
      <c r="P452" s="55"/>
      <c r="Q452" s="55"/>
      <c r="R452" s="55"/>
      <c r="S452" s="55"/>
      <c r="T452" s="55"/>
    </row>
    <row x14ac:dyDescent="0.25" r="453" customHeight="1" ht="17.25">
      <c r="A453" s="55"/>
      <c r="B453" s="100"/>
      <c r="C453" s="55"/>
      <c r="D453" s="101"/>
      <c r="E453" s="101"/>
      <c r="F453" s="102"/>
      <c r="G453" s="103"/>
      <c r="H453" s="150"/>
      <c r="I453" s="55"/>
      <c r="J453" s="105"/>
      <c r="K453" s="55"/>
      <c r="L453" s="65"/>
      <c r="M453" s="55"/>
      <c r="N453" s="55"/>
      <c r="O453" s="55"/>
      <c r="P453" s="55"/>
      <c r="Q453" s="55"/>
      <c r="R453" s="55"/>
      <c r="S453" s="55"/>
      <c r="T453" s="55"/>
    </row>
    <row x14ac:dyDescent="0.25" r="454" customHeight="1" ht="17.25">
      <c r="A454" s="55"/>
      <c r="B454" s="100"/>
      <c r="C454" s="55"/>
      <c r="D454" s="101"/>
      <c r="E454" s="101"/>
      <c r="F454" s="102"/>
      <c r="G454" s="103"/>
      <c r="H454" s="150"/>
      <c r="I454" s="55"/>
      <c r="J454" s="105"/>
      <c r="K454" s="55"/>
      <c r="L454" s="65"/>
      <c r="M454" s="55"/>
      <c r="N454" s="55"/>
      <c r="O454" s="55"/>
      <c r="P454" s="55"/>
      <c r="Q454" s="55"/>
      <c r="R454" s="55"/>
      <c r="S454" s="55"/>
      <c r="T454" s="55"/>
    </row>
    <row x14ac:dyDescent="0.25" r="455" customHeight="1" ht="17.25">
      <c r="A455" s="55"/>
      <c r="B455" s="100"/>
      <c r="C455" s="55"/>
      <c r="D455" s="101"/>
      <c r="E455" s="101"/>
      <c r="F455" s="102"/>
      <c r="G455" s="103"/>
      <c r="H455" s="150"/>
      <c r="I455" s="55"/>
      <c r="J455" s="105"/>
      <c r="K455" s="55"/>
      <c r="L455" s="65"/>
      <c r="M455" s="55"/>
      <c r="N455" s="55"/>
      <c r="O455" s="55"/>
      <c r="P455" s="55"/>
      <c r="Q455" s="55"/>
      <c r="R455" s="55"/>
      <c r="S455" s="55"/>
      <c r="T455" s="55"/>
    </row>
    <row x14ac:dyDescent="0.25" r="456" customHeight="1" ht="17.25">
      <c r="A456" s="55"/>
      <c r="B456" s="100"/>
      <c r="C456" s="55"/>
      <c r="D456" s="101"/>
      <c r="E456" s="101"/>
      <c r="F456" s="102"/>
      <c r="G456" s="103"/>
      <c r="H456" s="150"/>
      <c r="I456" s="55"/>
      <c r="J456" s="105"/>
      <c r="K456" s="55"/>
      <c r="L456" s="65"/>
      <c r="M456" s="55"/>
      <c r="N456" s="55"/>
      <c r="O456" s="55"/>
      <c r="P456" s="55"/>
      <c r="Q456" s="55"/>
      <c r="R456" s="55"/>
      <c r="S456" s="55"/>
      <c r="T456" s="55"/>
    </row>
    <row x14ac:dyDescent="0.25" r="457" customHeight="1" ht="17.25">
      <c r="A457" s="55"/>
      <c r="B457" s="100"/>
      <c r="C457" s="55"/>
      <c r="D457" s="101"/>
      <c r="E457" s="101"/>
      <c r="F457" s="102"/>
      <c r="G457" s="103"/>
      <c r="H457" s="150"/>
      <c r="I457" s="55"/>
      <c r="J457" s="105"/>
      <c r="K457" s="55"/>
      <c r="L457" s="65"/>
      <c r="M457" s="55"/>
      <c r="N457" s="55"/>
      <c r="O457" s="55"/>
      <c r="P457" s="55"/>
      <c r="Q457" s="55"/>
      <c r="R457" s="55"/>
      <c r="S457" s="55"/>
      <c r="T457" s="55"/>
    </row>
    <row x14ac:dyDescent="0.25" r="458" customHeight="1" ht="17.25">
      <c r="A458" s="55"/>
      <c r="B458" s="100"/>
      <c r="C458" s="55"/>
      <c r="D458" s="101"/>
      <c r="E458" s="101"/>
      <c r="F458" s="102"/>
      <c r="G458" s="103"/>
      <c r="H458" s="150"/>
      <c r="I458" s="55"/>
      <c r="J458" s="105"/>
      <c r="K458" s="55"/>
      <c r="L458" s="65"/>
      <c r="M458" s="55"/>
      <c r="N458" s="55"/>
      <c r="O458" s="55"/>
      <c r="P458" s="55"/>
      <c r="Q458" s="55"/>
      <c r="R458" s="55"/>
      <c r="S458" s="55"/>
      <c r="T458" s="55"/>
    </row>
    <row x14ac:dyDescent="0.25" r="459" customHeight="1" ht="17.25">
      <c r="A459" s="55"/>
      <c r="B459" s="100"/>
      <c r="C459" s="55"/>
      <c r="D459" s="101"/>
      <c r="E459" s="101"/>
      <c r="F459" s="102"/>
      <c r="G459" s="103"/>
      <c r="H459" s="150"/>
      <c r="I459" s="55"/>
      <c r="J459" s="105"/>
      <c r="K459" s="55"/>
      <c r="L459" s="65"/>
      <c r="M459" s="55"/>
      <c r="N459" s="55"/>
      <c r="O459" s="55"/>
      <c r="P459" s="55"/>
      <c r="Q459" s="55"/>
      <c r="R459" s="55"/>
      <c r="S459" s="55"/>
      <c r="T459" s="55"/>
    </row>
    <row x14ac:dyDescent="0.25" r="460" customHeight="1" ht="17.25">
      <c r="A460" s="55"/>
      <c r="B460" s="100"/>
      <c r="C460" s="55"/>
      <c r="D460" s="101"/>
      <c r="E460" s="101"/>
      <c r="F460" s="102"/>
      <c r="G460" s="103"/>
      <c r="H460" s="150"/>
      <c r="I460" s="55"/>
      <c r="J460" s="105"/>
      <c r="K460" s="55"/>
      <c r="L460" s="65"/>
      <c r="M460" s="55"/>
      <c r="N460" s="55"/>
      <c r="O460" s="55"/>
      <c r="P460" s="55"/>
      <c r="Q460" s="55"/>
      <c r="R460" s="55"/>
      <c r="S460" s="55"/>
      <c r="T460" s="55"/>
    </row>
    <row x14ac:dyDescent="0.25" r="461" customHeight="1" ht="17.25">
      <c r="A461" s="55"/>
      <c r="B461" s="100"/>
      <c r="C461" s="55"/>
      <c r="D461" s="101"/>
      <c r="E461" s="101"/>
      <c r="F461" s="102"/>
      <c r="G461" s="103"/>
      <c r="H461" s="150"/>
      <c r="I461" s="55"/>
      <c r="J461" s="105"/>
      <c r="K461" s="55"/>
      <c r="L461" s="65"/>
      <c r="M461" s="55"/>
      <c r="N461" s="55"/>
      <c r="O461" s="55"/>
      <c r="P461" s="55"/>
      <c r="Q461" s="55"/>
      <c r="R461" s="55"/>
      <c r="S461" s="55"/>
      <c r="T461" s="55"/>
    </row>
    <row x14ac:dyDescent="0.25" r="462" customHeight="1" ht="17.25">
      <c r="A462" s="55"/>
      <c r="B462" s="100"/>
      <c r="C462" s="55"/>
      <c r="D462" s="101"/>
      <c r="E462" s="101"/>
      <c r="F462" s="102"/>
      <c r="G462" s="103"/>
      <c r="H462" s="150"/>
      <c r="I462" s="55"/>
      <c r="J462" s="105"/>
      <c r="K462" s="55"/>
      <c r="L462" s="65"/>
      <c r="M462" s="55"/>
      <c r="N462" s="55"/>
      <c r="O462" s="55"/>
      <c r="P462" s="55"/>
      <c r="Q462" s="55"/>
      <c r="R462" s="55"/>
      <c r="S462" s="55"/>
      <c r="T462" s="55"/>
    </row>
    <row x14ac:dyDescent="0.25" r="463" customHeight="1" ht="17.25">
      <c r="A463" s="55"/>
      <c r="B463" s="100"/>
      <c r="C463" s="55"/>
      <c r="D463" s="101"/>
      <c r="E463" s="101"/>
      <c r="F463" s="102"/>
      <c r="G463" s="103"/>
      <c r="H463" s="150"/>
      <c r="I463" s="55"/>
      <c r="J463" s="105"/>
      <c r="K463" s="55"/>
      <c r="L463" s="65"/>
      <c r="M463" s="55"/>
      <c r="N463" s="55"/>
      <c r="O463" s="55"/>
      <c r="P463" s="55"/>
      <c r="Q463" s="55"/>
      <c r="R463" s="55"/>
      <c r="S463" s="55"/>
      <c r="T463" s="55"/>
    </row>
    <row x14ac:dyDescent="0.25" r="464" customHeight="1" ht="17.25">
      <c r="A464" s="55"/>
      <c r="B464" s="100"/>
      <c r="C464" s="55"/>
      <c r="D464" s="101"/>
      <c r="E464" s="101"/>
      <c r="F464" s="102"/>
      <c r="G464" s="103"/>
      <c r="H464" s="150"/>
      <c r="I464" s="55"/>
      <c r="J464" s="105"/>
      <c r="K464" s="55"/>
      <c r="L464" s="65"/>
      <c r="M464" s="55"/>
      <c r="N464" s="55"/>
      <c r="O464" s="55"/>
      <c r="P464" s="55"/>
      <c r="Q464" s="55"/>
      <c r="R464" s="55"/>
      <c r="S464" s="55"/>
      <c r="T464" s="55"/>
    </row>
    <row x14ac:dyDescent="0.25" r="465" customHeight="1" ht="17.25">
      <c r="A465" s="55"/>
      <c r="B465" s="100"/>
      <c r="C465" s="55"/>
      <c r="D465" s="101"/>
      <c r="E465" s="101"/>
      <c r="F465" s="102"/>
      <c r="G465" s="103"/>
      <c r="H465" s="150"/>
      <c r="I465" s="55"/>
      <c r="J465" s="105"/>
      <c r="K465" s="55"/>
      <c r="L465" s="65"/>
      <c r="M465" s="55"/>
      <c r="N465" s="55"/>
      <c r="O465" s="55"/>
      <c r="P465" s="55"/>
      <c r="Q465" s="55"/>
      <c r="R465" s="55"/>
      <c r="S465" s="55"/>
      <c r="T465" s="55"/>
    </row>
    <row x14ac:dyDescent="0.25" r="466" customHeight="1" ht="17.25">
      <c r="A466" s="55"/>
      <c r="B466" s="100"/>
      <c r="C466" s="55"/>
      <c r="D466" s="101"/>
      <c r="E466" s="101"/>
      <c r="F466" s="102"/>
      <c r="G466" s="103"/>
      <c r="H466" s="150"/>
      <c r="I466" s="55"/>
      <c r="J466" s="105"/>
      <c r="K466" s="55"/>
      <c r="L466" s="65"/>
      <c r="M466" s="55"/>
      <c r="N466" s="55"/>
      <c r="O466" s="55"/>
      <c r="P466" s="55"/>
      <c r="Q466" s="55"/>
      <c r="R466" s="55"/>
      <c r="S466" s="55"/>
      <c r="T466" s="55"/>
    </row>
    <row x14ac:dyDescent="0.25" r="467" customHeight="1" ht="17.25">
      <c r="A467" s="55"/>
      <c r="B467" s="100"/>
      <c r="C467" s="55"/>
      <c r="D467" s="101"/>
      <c r="E467" s="101"/>
      <c r="F467" s="102"/>
      <c r="G467" s="103"/>
      <c r="H467" s="150"/>
      <c r="I467" s="55"/>
      <c r="J467" s="105"/>
      <c r="K467" s="55"/>
      <c r="L467" s="65"/>
      <c r="M467" s="55"/>
      <c r="N467" s="55"/>
      <c r="O467" s="55"/>
      <c r="P467" s="55"/>
      <c r="Q467" s="55"/>
      <c r="R467" s="55"/>
      <c r="S467" s="55"/>
      <c r="T467" s="55"/>
    </row>
    <row x14ac:dyDescent="0.25" r="468" customHeight="1" ht="17.25">
      <c r="A468" s="55"/>
      <c r="B468" s="100"/>
      <c r="C468" s="55"/>
      <c r="D468" s="101"/>
      <c r="E468" s="101"/>
      <c r="F468" s="102"/>
      <c r="G468" s="103"/>
      <c r="H468" s="150"/>
      <c r="I468" s="55"/>
      <c r="J468" s="105"/>
      <c r="K468" s="55"/>
      <c r="L468" s="65"/>
      <c r="M468" s="55"/>
      <c r="N468" s="55"/>
      <c r="O468" s="55"/>
      <c r="P468" s="55"/>
      <c r="Q468" s="55"/>
      <c r="R468" s="55"/>
      <c r="S468" s="55"/>
      <c r="T468" s="55"/>
    </row>
    <row x14ac:dyDescent="0.25" r="469" customHeight="1" ht="17.25">
      <c r="A469" s="55"/>
      <c r="B469" s="100"/>
      <c r="C469" s="55"/>
      <c r="D469" s="101"/>
      <c r="E469" s="101"/>
      <c r="F469" s="102"/>
      <c r="G469" s="103"/>
      <c r="H469" s="150"/>
      <c r="I469" s="55"/>
      <c r="J469" s="105"/>
      <c r="K469" s="55"/>
      <c r="L469" s="65"/>
      <c r="M469" s="55"/>
      <c r="N469" s="55"/>
      <c r="O469" s="55"/>
      <c r="P469" s="55"/>
      <c r="Q469" s="55"/>
      <c r="R469" s="55"/>
      <c r="S469" s="55"/>
      <c r="T469" s="55"/>
    </row>
    <row x14ac:dyDescent="0.25" r="470" customHeight="1" ht="17.25">
      <c r="A470" s="55"/>
      <c r="B470" s="100"/>
      <c r="C470" s="55"/>
      <c r="D470" s="101"/>
      <c r="E470" s="101"/>
      <c r="F470" s="102"/>
      <c r="G470" s="103"/>
      <c r="H470" s="150"/>
      <c r="I470" s="55"/>
      <c r="J470" s="105"/>
      <c r="K470" s="55"/>
      <c r="L470" s="65"/>
      <c r="M470" s="55"/>
      <c r="N470" s="55"/>
      <c r="O470" s="55"/>
      <c r="P470" s="55"/>
      <c r="Q470" s="55"/>
      <c r="R470" s="55"/>
      <c r="S470" s="55"/>
      <c r="T470" s="55"/>
    </row>
    <row x14ac:dyDescent="0.25" r="471" customHeight="1" ht="17.25">
      <c r="A471" s="55"/>
      <c r="B471" s="100"/>
      <c r="C471" s="55"/>
      <c r="D471" s="101"/>
      <c r="E471" s="101"/>
      <c r="F471" s="102"/>
      <c r="G471" s="103"/>
      <c r="H471" s="150"/>
      <c r="I471" s="55"/>
      <c r="J471" s="105"/>
      <c r="K471" s="55"/>
      <c r="L471" s="65"/>
      <c r="M471" s="55"/>
      <c r="N471" s="55"/>
      <c r="O471" s="55"/>
      <c r="P471" s="55"/>
      <c r="Q471" s="55"/>
      <c r="R471" s="55"/>
      <c r="S471" s="55"/>
      <c r="T471" s="55"/>
    </row>
    <row x14ac:dyDescent="0.25" r="472" customHeight="1" ht="17.25">
      <c r="A472" s="55"/>
      <c r="B472" s="100"/>
      <c r="C472" s="55"/>
      <c r="D472" s="101"/>
      <c r="E472" s="101"/>
      <c r="F472" s="102"/>
      <c r="G472" s="103"/>
      <c r="H472" s="150"/>
      <c r="I472" s="55"/>
      <c r="J472" s="105"/>
      <c r="K472" s="55"/>
      <c r="L472" s="65"/>
      <c r="M472" s="55"/>
      <c r="N472" s="55"/>
      <c r="O472" s="55"/>
      <c r="P472" s="55"/>
      <c r="Q472" s="55"/>
      <c r="R472" s="55"/>
      <c r="S472" s="55"/>
      <c r="T472" s="55"/>
    </row>
    <row x14ac:dyDescent="0.25" r="473" customHeight="1" ht="17.25">
      <c r="A473" s="55"/>
      <c r="B473" s="100"/>
      <c r="C473" s="55"/>
      <c r="D473" s="101"/>
      <c r="E473" s="101"/>
      <c r="F473" s="102"/>
      <c r="G473" s="103"/>
      <c r="H473" s="150"/>
      <c r="I473" s="55"/>
      <c r="J473" s="105"/>
      <c r="K473" s="55"/>
      <c r="L473" s="65"/>
      <c r="M473" s="55"/>
      <c r="N473" s="55"/>
      <c r="O473" s="55"/>
      <c r="P473" s="55"/>
      <c r="Q473" s="55"/>
      <c r="R473" s="55"/>
      <c r="S473" s="55"/>
      <c r="T473" s="55"/>
    </row>
    <row x14ac:dyDescent="0.25" r="474" customHeight="1" ht="17.25">
      <c r="A474" s="55"/>
      <c r="B474" s="100"/>
      <c r="C474" s="55"/>
      <c r="D474" s="101"/>
      <c r="E474" s="101"/>
      <c r="F474" s="102"/>
      <c r="G474" s="103"/>
      <c r="H474" s="150"/>
      <c r="I474" s="55"/>
      <c r="J474" s="105"/>
      <c r="K474" s="55"/>
      <c r="L474" s="65"/>
      <c r="M474" s="55"/>
      <c r="N474" s="55"/>
      <c r="O474" s="55"/>
      <c r="P474" s="55"/>
      <c r="Q474" s="55"/>
      <c r="R474" s="55"/>
      <c r="S474" s="55"/>
      <c r="T474" s="55"/>
    </row>
    <row x14ac:dyDescent="0.25" r="475" customHeight="1" ht="17.25">
      <c r="A475" s="55"/>
      <c r="B475" s="100"/>
      <c r="C475" s="55"/>
      <c r="D475" s="101"/>
      <c r="E475" s="101"/>
      <c r="F475" s="102"/>
      <c r="G475" s="103"/>
      <c r="H475" s="150"/>
      <c r="I475" s="55"/>
      <c r="J475" s="105"/>
      <c r="K475" s="55"/>
      <c r="L475" s="65"/>
      <c r="M475" s="55"/>
      <c r="N475" s="55"/>
      <c r="O475" s="55"/>
      <c r="P475" s="55"/>
      <c r="Q475" s="55"/>
      <c r="R475" s="55"/>
      <c r="S475" s="55"/>
      <c r="T475" s="55"/>
    </row>
    <row x14ac:dyDescent="0.25" r="476" customHeight="1" ht="17.25">
      <c r="A476" s="55"/>
      <c r="B476" s="100"/>
      <c r="C476" s="55"/>
      <c r="D476" s="101"/>
      <c r="E476" s="101"/>
      <c r="F476" s="102"/>
      <c r="G476" s="103"/>
      <c r="H476" s="150"/>
      <c r="I476" s="55"/>
      <c r="J476" s="105"/>
      <c r="K476" s="55"/>
      <c r="L476" s="65"/>
      <c r="M476" s="55"/>
      <c r="N476" s="55"/>
      <c r="O476" s="55"/>
      <c r="P476" s="55"/>
      <c r="Q476" s="55"/>
      <c r="R476" s="55"/>
      <c r="S476" s="55"/>
      <c r="T476" s="55"/>
    </row>
    <row x14ac:dyDescent="0.25" r="477" customHeight="1" ht="17.25">
      <c r="A477" s="55"/>
      <c r="B477" s="100"/>
      <c r="C477" s="55"/>
      <c r="D477" s="101"/>
      <c r="E477" s="101"/>
      <c r="F477" s="102"/>
      <c r="G477" s="103"/>
      <c r="H477" s="150"/>
      <c r="I477" s="55"/>
      <c r="J477" s="105"/>
      <c r="K477" s="55"/>
      <c r="L477" s="65"/>
      <c r="M477" s="55"/>
      <c r="N477" s="55"/>
      <c r="O477" s="55"/>
      <c r="P477" s="55"/>
      <c r="Q477" s="55"/>
      <c r="R477" s="55"/>
      <c r="S477" s="55"/>
      <c r="T477" s="55"/>
    </row>
    <row x14ac:dyDescent="0.25" r="478" customHeight="1" ht="17.25">
      <c r="A478" s="55"/>
      <c r="B478" s="100"/>
      <c r="C478" s="55"/>
      <c r="D478" s="101"/>
      <c r="E478" s="101"/>
      <c r="F478" s="102"/>
      <c r="G478" s="103"/>
      <c r="H478" s="150"/>
      <c r="I478" s="55"/>
      <c r="J478" s="105"/>
      <c r="K478" s="55"/>
      <c r="L478" s="65"/>
      <c r="M478" s="55"/>
      <c r="N478" s="55"/>
      <c r="O478" s="55"/>
      <c r="P478" s="55"/>
      <c r="Q478" s="55"/>
      <c r="R478" s="55"/>
      <c r="S478" s="55"/>
      <c r="T478" s="55"/>
    </row>
    <row x14ac:dyDescent="0.25" r="479" customHeight="1" ht="17.25">
      <c r="A479" s="55"/>
      <c r="B479" s="100"/>
      <c r="C479" s="55"/>
      <c r="D479" s="101"/>
      <c r="E479" s="101"/>
      <c r="F479" s="102"/>
      <c r="G479" s="103"/>
      <c r="H479" s="150"/>
      <c r="I479" s="55"/>
      <c r="J479" s="105"/>
      <c r="K479" s="55"/>
      <c r="L479" s="65"/>
      <c r="M479" s="55"/>
      <c r="N479" s="55"/>
      <c r="O479" s="55"/>
      <c r="P479" s="55"/>
      <c r="Q479" s="55"/>
      <c r="R479" s="55"/>
      <c r="S479" s="55"/>
      <c r="T479" s="55"/>
    </row>
    <row x14ac:dyDescent="0.25" r="480" customHeight="1" ht="17.25">
      <c r="A480" s="55"/>
      <c r="B480" s="100"/>
      <c r="C480" s="55"/>
      <c r="D480" s="101"/>
      <c r="E480" s="101"/>
      <c r="F480" s="102"/>
      <c r="G480" s="103"/>
      <c r="H480" s="150"/>
      <c r="I480" s="55"/>
      <c r="J480" s="105"/>
      <c r="K480" s="55"/>
      <c r="L480" s="65"/>
      <c r="M480" s="55"/>
      <c r="N480" s="55"/>
      <c r="O480" s="55"/>
      <c r="P480" s="55"/>
      <c r="Q480" s="55"/>
      <c r="R480" s="55"/>
      <c r="S480" s="55"/>
      <c r="T480" s="55"/>
    </row>
    <row x14ac:dyDescent="0.25" r="481" customHeight="1" ht="17.25">
      <c r="A481" s="55"/>
      <c r="B481" s="100"/>
      <c r="C481" s="55"/>
      <c r="D481" s="101"/>
      <c r="E481" s="101"/>
      <c r="F481" s="102"/>
      <c r="G481" s="103"/>
      <c r="H481" s="150"/>
      <c r="I481" s="55"/>
      <c r="J481" s="105"/>
      <c r="K481" s="55"/>
      <c r="L481" s="65"/>
      <c r="M481" s="55"/>
      <c r="N481" s="55"/>
      <c r="O481" s="55"/>
      <c r="P481" s="55"/>
      <c r="Q481" s="55"/>
      <c r="R481" s="55"/>
      <c r="S481" s="55"/>
      <c r="T481" s="55"/>
    </row>
    <row x14ac:dyDescent="0.25" r="482" customHeight="1" ht="17.25">
      <c r="A482" s="55"/>
      <c r="B482" s="100"/>
      <c r="C482" s="55"/>
      <c r="D482" s="101"/>
      <c r="E482" s="101"/>
      <c r="F482" s="102"/>
      <c r="G482" s="103"/>
      <c r="H482" s="150"/>
      <c r="I482" s="55"/>
      <c r="J482" s="105"/>
      <c r="K482" s="55"/>
      <c r="L482" s="65"/>
      <c r="M482" s="55"/>
      <c r="N482" s="55"/>
      <c r="O482" s="55"/>
      <c r="P482" s="55"/>
      <c r="Q482" s="55"/>
      <c r="R482" s="55"/>
      <c r="S482" s="55"/>
      <c r="T482" s="55"/>
    </row>
    <row x14ac:dyDescent="0.25" r="483" customHeight="1" ht="17.25">
      <c r="A483" s="55"/>
      <c r="B483" s="100"/>
      <c r="C483" s="55"/>
      <c r="D483" s="101"/>
      <c r="E483" s="101"/>
      <c r="F483" s="102"/>
      <c r="G483" s="103"/>
      <c r="H483" s="150"/>
      <c r="I483" s="55"/>
      <c r="J483" s="105"/>
      <c r="K483" s="55"/>
      <c r="L483" s="65"/>
      <c r="M483" s="55"/>
      <c r="N483" s="55"/>
      <c r="O483" s="55"/>
      <c r="P483" s="55"/>
      <c r="Q483" s="55"/>
      <c r="R483" s="55"/>
      <c r="S483" s="55"/>
      <c r="T483" s="55"/>
    </row>
    <row x14ac:dyDescent="0.25" r="484" customHeight="1" ht="17.25">
      <c r="A484" s="55"/>
      <c r="B484" s="100"/>
      <c r="C484" s="55"/>
      <c r="D484" s="101"/>
      <c r="E484" s="101"/>
      <c r="F484" s="102"/>
      <c r="G484" s="103"/>
      <c r="H484" s="150"/>
      <c r="I484" s="55"/>
      <c r="J484" s="105"/>
      <c r="K484" s="55"/>
      <c r="L484" s="65"/>
      <c r="M484" s="55"/>
      <c r="N484" s="55"/>
      <c r="O484" s="55"/>
      <c r="P484" s="55"/>
      <c r="Q484" s="55"/>
      <c r="R484" s="55"/>
      <c r="S484" s="55"/>
      <c r="T484" s="55"/>
    </row>
    <row x14ac:dyDescent="0.25" r="485" customHeight="1" ht="17.25">
      <c r="A485" s="55"/>
      <c r="B485" s="100"/>
      <c r="C485" s="55"/>
      <c r="D485" s="101"/>
      <c r="E485" s="101"/>
      <c r="F485" s="102"/>
      <c r="G485" s="103"/>
      <c r="H485" s="150"/>
      <c r="I485" s="55"/>
      <c r="J485" s="105"/>
      <c r="K485" s="55"/>
      <c r="L485" s="65"/>
      <c r="M485" s="55"/>
      <c r="N485" s="55"/>
      <c r="O485" s="55"/>
      <c r="P485" s="55"/>
      <c r="Q485" s="55"/>
      <c r="R485" s="55"/>
      <c r="S485" s="55"/>
      <c r="T485" s="55"/>
    </row>
    <row x14ac:dyDescent="0.25" r="486" customHeight="1" ht="17.25">
      <c r="A486" s="55"/>
      <c r="B486" s="100"/>
      <c r="C486" s="55"/>
      <c r="D486" s="101"/>
      <c r="E486" s="101"/>
      <c r="F486" s="102"/>
      <c r="G486" s="103"/>
      <c r="H486" s="150"/>
      <c r="I486" s="55"/>
      <c r="J486" s="105"/>
      <c r="K486" s="55"/>
      <c r="L486" s="65"/>
      <c r="M486" s="55"/>
      <c r="N486" s="55"/>
      <c r="O486" s="55"/>
      <c r="P486" s="55"/>
      <c r="Q486" s="55"/>
      <c r="R486" s="55"/>
      <c r="S486" s="55"/>
      <c r="T486" s="55"/>
    </row>
    <row x14ac:dyDescent="0.25" r="487" customHeight="1" ht="17.25">
      <c r="A487" s="55"/>
      <c r="B487" s="100"/>
      <c r="C487" s="55"/>
      <c r="D487" s="101"/>
      <c r="E487" s="101"/>
      <c r="F487" s="102"/>
      <c r="G487" s="103"/>
      <c r="H487" s="150"/>
      <c r="I487" s="55"/>
      <c r="J487" s="105"/>
      <c r="K487" s="55"/>
      <c r="L487" s="65"/>
      <c r="M487" s="55"/>
      <c r="N487" s="55"/>
      <c r="O487" s="55"/>
      <c r="P487" s="55"/>
      <c r="Q487" s="55"/>
      <c r="R487" s="55"/>
      <c r="S487" s="55"/>
      <c r="T487" s="55"/>
    </row>
    <row x14ac:dyDescent="0.25" r="488" customHeight="1" ht="17.25">
      <c r="A488" s="55"/>
      <c r="B488" s="100"/>
      <c r="C488" s="55"/>
      <c r="D488" s="101"/>
      <c r="E488" s="101"/>
      <c r="F488" s="102"/>
      <c r="G488" s="103"/>
      <c r="H488" s="150"/>
      <c r="I488" s="55"/>
      <c r="J488" s="105"/>
      <c r="K488" s="55"/>
      <c r="L488" s="65"/>
      <c r="M488" s="55"/>
      <c r="N488" s="55"/>
      <c r="O488" s="55"/>
      <c r="P488" s="55"/>
      <c r="Q488" s="55"/>
      <c r="R488" s="55"/>
      <c r="S488" s="55"/>
      <c r="T488" s="55"/>
    </row>
    <row x14ac:dyDescent="0.25" r="489" customHeight="1" ht="17.25">
      <c r="A489" s="55"/>
      <c r="B489" s="100"/>
      <c r="C489" s="55"/>
      <c r="D489" s="101"/>
      <c r="E489" s="101"/>
      <c r="F489" s="102"/>
      <c r="G489" s="103"/>
      <c r="H489" s="150"/>
      <c r="I489" s="55"/>
      <c r="J489" s="105"/>
      <c r="K489" s="55"/>
      <c r="L489" s="65"/>
      <c r="M489" s="55"/>
      <c r="N489" s="55"/>
      <c r="O489" s="55"/>
      <c r="P489" s="55"/>
      <c r="Q489" s="55"/>
      <c r="R489" s="55"/>
      <c r="S489" s="55"/>
      <c r="T489" s="55"/>
    </row>
    <row x14ac:dyDescent="0.25" r="490" customHeight="1" ht="17.25">
      <c r="A490" s="55"/>
      <c r="B490" s="100"/>
      <c r="C490" s="55"/>
      <c r="D490" s="101"/>
      <c r="E490" s="101"/>
      <c r="F490" s="102"/>
      <c r="G490" s="103"/>
      <c r="H490" s="150"/>
      <c r="I490" s="55"/>
      <c r="J490" s="105"/>
      <c r="K490" s="55"/>
      <c r="L490" s="65"/>
      <c r="M490" s="55"/>
      <c r="N490" s="55"/>
      <c r="O490" s="55"/>
      <c r="P490" s="55"/>
      <c r="Q490" s="55"/>
      <c r="R490" s="55"/>
      <c r="S490" s="55"/>
      <c r="T490" s="55"/>
    </row>
    <row x14ac:dyDescent="0.25" r="491" customHeight="1" ht="17.25">
      <c r="A491" s="55"/>
      <c r="B491" s="100"/>
      <c r="C491" s="55"/>
      <c r="D491" s="101"/>
      <c r="E491" s="101"/>
      <c r="F491" s="102"/>
      <c r="G491" s="103"/>
      <c r="H491" s="150"/>
      <c r="I491" s="55"/>
      <c r="J491" s="105"/>
      <c r="K491" s="55"/>
      <c r="L491" s="65"/>
      <c r="M491" s="55"/>
      <c r="N491" s="55"/>
      <c r="O491" s="55"/>
      <c r="P491" s="55"/>
      <c r="Q491" s="55"/>
      <c r="R491" s="55"/>
      <c r="S491" s="55"/>
      <c r="T491" s="55"/>
    </row>
    <row x14ac:dyDescent="0.25" r="492" customHeight="1" ht="17.25">
      <c r="A492" s="55"/>
      <c r="B492" s="100"/>
      <c r="C492" s="55"/>
      <c r="D492" s="101"/>
      <c r="E492" s="101"/>
      <c r="F492" s="102"/>
      <c r="G492" s="103"/>
      <c r="H492" s="150"/>
      <c r="I492" s="55"/>
      <c r="J492" s="105"/>
      <c r="K492" s="55"/>
      <c r="L492" s="65"/>
      <c r="M492" s="55"/>
      <c r="N492" s="55"/>
      <c r="O492" s="55"/>
      <c r="P492" s="55"/>
      <c r="Q492" s="55"/>
      <c r="R492" s="55"/>
      <c r="S492" s="55"/>
      <c r="T492" s="55"/>
    </row>
    <row x14ac:dyDescent="0.25" r="493" customHeight="1" ht="17.25">
      <c r="A493" s="55"/>
      <c r="B493" s="100"/>
      <c r="C493" s="55"/>
      <c r="D493" s="101"/>
      <c r="E493" s="101"/>
      <c r="F493" s="102"/>
      <c r="G493" s="103"/>
      <c r="H493" s="150"/>
      <c r="I493" s="55"/>
      <c r="J493" s="105"/>
      <c r="K493" s="55"/>
      <c r="L493" s="65"/>
      <c r="M493" s="55"/>
      <c r="N493" s="55"/>
      <c r="O493" s="55"/>
      <c r="P493" s="55"/>
      <c r="Q493" s="55"/>
      <c r="R493" s="55"/>
      <c r="S493" s="55"/>
      <c r="T493" s="55"/>
    </row>
    <row x14ac:dyDescent="0.25" r="494" customHeight="1" ht="17.25">
      <c r="A494" s="55"/>
      <c r="B494" s="100"/>
      <c r="C494" s="55"/>
      <c r="D494" s="101"/>
      <c r="E494" s="101"/>
      <c r="F494" s="102"/>
      <c r="G494" s="103"/>
      <c r="H494" s="150"/>
      <c r="I494" s="55"/>
      <c r="J494" s="105"/>
      <c r="K494" s="55"/>
      <c r="L494" s="65"/>
      <c r="M494" s="55"/>
      <c r="N494" s="55"/>
      <c r="O494" s="55"/>
      <c r="P494" s="55"/>
      <c r="Q494" s="55"/>
      <c r="R494" s="55"/>
      <c r="S494" s="55"/>
      <c r="T494" s="55"/>
    </row>
    <row x14ac:dyDescent="0.25" r="495" customHeight="1" ht="17.25">
      <c r="A495" s="55"/>
      <c r="B495" s="100"/>
      <c r="C495" s="55"/>
      <c r="D495" s="101"/>
      <c r="E495" s="101"/>
      <c r="F495" s="102"/>
      <c r="G495" s="103"/>
      <c r="H495" s="150"/>
      <c r="I495" s="55"/>
      <c r="J495" s="105"/>
      <c r="K495" s="55"/>
      <c r="L495" s="65"/>
      <c r="M495" s="55"/>
      <c r="N495" s="55"/>
      <c r="O495" s="55"/>
      <c r="P495" s="55"/>
      <c r="Q495" s="55"/>
      <c r="R495" s="55"/>
      <c r="S495" s="55"/>
      <c r="T495" s="55"/>
    </row>
    <row x14ac:dyDescent="0.25" r="496" customHeight="1" ht="17.25">
      <c r="A496" s="55"/>
      <c r="B496" s="100"/>
      <c r="C496" s="55"/>
      <c r="D496" s="101"/>
      <c r="E496" s="101"/>
      <c r="F496" s="102"/>
      <c r="G496" s="103"/>
      <c r="H496" s="150"/>
      <c r="I496" s="55"/>
      <c r="J496" s="105"/>
      <c r="K496" s="55"/>
      <c r="L496" s="65"/>
      <c r="M496" s="55"/>
      <c r="N496" s="55"/>
      <c r="O496" s="55"/>
      <c r="P496" s="55"/>
      <c r="Q496" s="55"/>
      <c r="R496" s="55"/>
      <c r="S496" s="55"/>
      <c r="T496" s="55"/>
    </row>
    <row x14ac:dyDescent="0.25" r="497" customHeight="1" ht="17.25">
      <c r="A497" s="55"/>
      <c r="B497" s="100"/>
      <c r="C497" s="55"/>
      <c r="D497" s="101"/>
      <c r="E497" s="101"/>
      <c r="F497" s="102"/>
      <c r="G497" s="103"/>
      <c r="H497" s="150"/>
      <c r="I497" s="55"/>
      <c r="J497" s="105"/>
      <c r="K497" s="55"/>
      <c r="L497" s="65"/>
      <c r="M497" s="55"/>
      <c r="N497" s="55"/>
      <c r="O497" s="55"/>
      <c r="P497" s="55"/>
      <c r="Q497" s="55"/>
      <c r="R497" s="55"/>
      <c r="S497" s="55"/>
      <c r="T497" s="55"/>
    </row>
    <row x14ac:dyDescent="0.25" r="498" customHeight="1" ht="17.25">
      <c r="A498" s="55"/>
      <c r="B498" s="100"/>
      <c r="C498" s="55"/>
      <c r="D498" s="101"/>
      <c r="E498" s="101"/>
      <c r="F498" s="102"/>
      <c r="G498" s="103"/>
      <c r="H498" s="150"/>
      <c r="I498" s="55"/>
      <c r="J498" s="105"/>
      <c r="K498" s="55"/>
      <c r="L498" s="65"/>
      <c r="M498" s="55"/>
      <c r="N498" s="55"/>
      <c r="O498" s="55"/>
      <c r="P498" s="55"/>
      <c r="Q498" s="55"/>
      <c r="R498" s="55"/>
      <c r="S498" s="55"/>
      <c r="T498" s="55"/>
    </row>
    <row x14ac:dyDescent="0.25" r="499" customHeight="1" ht="17.25">
      <c r="A499" s="55"/>
      <c r="B499" s="100"/>
      <c r="C499" s="55"/>
      <c r="D499" s="101"/>
      <c r="E499" s="101"/>
      <c r="F499" s="102"/>
      <c r="G499" s="103"/>
      <c r="H499" s="150"/>
      <c r="I499" s="55"/>
      <c r="J499" s="105"/>
      <c r="K499" s="55"/>
      <c r="L499" s="65"/>
      <c r="M499" s="55"/>
      <c r="N499" s="55"/>
      <c r="O499" s="55"/>
      <c r="P499" s="55"/>
      <c r="Q499" s="55"/>
      <c r="R499" s="55"/>
      <c r="S499" s="55"/>
      <c r="T499" s="55"/>
    </row>
    <row x14ac:dyDescent="0.25" r="500" customHeight="1" ht="17.25">
      <c r="A500" s="55"/>
      <c r="B500" s="100"/>
      <c r="C500" s="55"/>
      <c r="D500" s="101"/>
      <c r="E500" s="101"/>
      <c r="F500" s="102"/>
      <c r="G500" s="103"/>
      <c r="H500" s="150"/>
      <c r="I500" s="55"/>
      <c r="J500" s="105"/>
      <c r="K500" s="55"/>
      <c r="L500" s="65"/>
      <c r="M500" s="55"/>
      <c r="N500" s="55"/>
      <c r="O500" s="55"/>
      <c r="P500" s="55"/>
      <c r="Q500" s="55"/>
      <c r="R500" s="55"/>
      <c r="S500" s="55"/>
      <c r="T500" s="55"/>
    </row>
    <row x14ac:dyDescent="0.25" r="501" customHeight="1" ht="17.25">
      <c r="A501" s="55"/>
      <c r="B501" s="100"/>
      <c r="C501" s="55"/>
      <c r="D501" s="101"/>
      <c r="E501" s="101"/>
      <c r="F501" s="102"/>
      <c r="G501" s="103"/>
      <c r="H501" s="150"/>
      <c r="I501" s="55"/>
      <c r="J501" s="105"/>
      <c r="K501" s="55"/>
      <c r="L501" s="65"/>
      <c r="M501" s="55"/>
      <c r="N501" s="55"/>
      <c r="O501" s="55"/>
      <c r="P501" s="55"/>
      <c r="Q501" s="55"/>
      <c r="R501" s="55"/>
      <c r="S501" s="55"/>
      <c r="T501" s="55"/>
    </row>
    <row x14ac:dyDescent="0.25" r="502" customHeight="1" ht="17.25">
      <c r="A502" s="55"/>
      <c r="B502" s="100"/>
      <c r="C502" s="55"/>
      <c r="D502" s="101"/>
      <c r="E502" s="101"/>
      <c r="F502" s="102"/>
      <c r="G502" s="103"/>
      <c r="H502" s="150"/>
      <c r="I502" s="55"/>
      <c r="J502" s="105"/>
      <c r="K502" s="55"/>
      <c r="L502" s="65"/>
      <c r="M502" s="55"/>
      <c r="N502" s="55"/>
      <c r="O502" s="55"/>
      <c r="P502" s="55"/>
      <c r="Q502" s="55"/>
      <c r="R502" s="55"/>
      <c r="S502" s="55"/>
      <c r="T502" s="55"/>
    </row>
    <row x14ac:dyDescent="0.25" r="503" customHeight="1" ht="17.25">
      <c r="A503" s="55"/>
      <c r="B503" s="100"/>
      <c r="C503" s="55"/>
      <c r="D503" s="101"/>
      <c r="E503" s="101"/>
      <c r="F503" s="102"/>
      <c r="G503" s="103"/>
      <c r="H503" s="150"/>
      <c r="I503" s="55"/>
      <c r="J503" s="105"/>
      <c r="K503" s="55"/>
      <c r="L503" s="65"/>
      <c r="M503" s="55"/>
      <c r="N503" s="55"/>
      <c r="O503" s="55"/>
      <c r="P503" s="55"/>
      <c r="Q503" s="55"/>
      <c r="R503" s="55"/>
      <c r="S503" s="55"/>
      <c r="T503" s="55"/>
    </row>
    <row x14ac:dyDescent="0.25" r="504" customHeight="1" ht="17.25">
      <c r="A504" s="55"/>
      <c r="B504" s="100"/>
      <c r="C504" s="55"/>
      <c r="D504" s="101"/>
      <c r="E504" s="101"/>
      <c r="F504" s="102"/>
      <c r="G504" s="103"/>
      <c r="H504" s="150"/>
      <c r="I504" s="55"/>
      <c r="J504" s="105"/>
      <c r="K504" s="55"/>
      <c r="L504" s="65"/>
      <c r="M504" s="55"/>
      <c r="N504" s="55"/>
      <c r="O504" s="55"/>
      <c r="P504" s="55"/>
      <c r="Q504" s="55"/>
      <c r="R504" s="55"/>
      <c r="S504" s="55"/>
      <c r="T504" s="55"/>
    </row>
    <row x14ac:dyDescent="0.25" r="505" customHeight="1" ht="17.25">
      <c r="A505" s="55"/>
      <c r="B505" s="100"/>
      <c r="C505" s="55"/>
      <c r="D505" s="101"/>
      <c r="E505" s="101"/>
      <c r="F505" s="102"/>
      <c r="G505" s="103"/>
      <c r="H505" s="150"/>
      <c r="I505" s="55"/>
      <c r="J505" s="105"/>
      <c r="K505" s="55"/>
      <c r="L505" s="65"/>
      <c r="M505" s="55"/>
      <c r="N505" s="55"/>
      <c r="O505" s="55"/>
      <c r="P505" s="55"/>
      <c r="Q505" s="55"/>
      <c r="R505" s="55"/>
      <c r="S505" s="55"/>
      <c r="T505" s="55"/>
    </row>
    <row x14ac:dyDescent="0.25" r="506" customHeight="1" ht="17.25">
      <c r="A506" s="55"/>
      <c r="B506" s="100"/>
      <c r="C506" s="55"/>
      <c r="D506" s="101"/>
      <c r="E506" s="101"/>
      <c r="F506" s="102"/>
      <c r="G506" s="103"/>
      <c r="H506" s="150"/>
      <c r="I506" s="55"/>
      <c r="J506" s="105"/>
      <c r="K506" s="55"/>
      <c r="L506" s="65"/>
      <c r="M506" s="55"/>
      <c r="N506" s="55"/>
      <c r="O506" s="55"/>
      <c r="P506" s="55"/>
      <c r="Q506" s="55"/>
      <c r="R506" s="55"/>
      <c r="S506" s="55"/>
      <c r="T506" s="55"/>
    </row>
    <row x14ac:dyDescent="0.25" r="507" customHeight="1" ht="17.25">
      <c r="A507" s="55"/>
      <c r="B507" s="100"/>
      <c r="C507" s="55"/>
      <c r="D507" s="101"/>
      <c r="E507" s="101"/>
      <c r="F507" s="102"/>
      <c r="G507" s="103"/>
      <c r="H507" s="150"/>
      <c r="I507" s="55"/>
      <c r="J507" s="105"/>
      <c r="K507" s="55"/>
      <c r="L507" s="65"/>
      <c r="M507" s="55"/>
      <c r="N507" s="55"/>
      <c r="O507" s="55"/>
      <c r="P507" s="55"/>
      <c r="Q507" s="55"/>
      <c r="R507" s="55"/>
      <c r="S507" s="55"/>
      <c r="T507" s="55"/>
    </row>
    <row x14ac:dyDescent="0.25" r="508" customHeight="1" ht="17.25">
      <c r="A508" s="55"/>
      <c r="B508" s="100"/>
      <c r="C508" s="55"/>
      <c r="D508" s="101"/>
      <c r="E508" s="101"/>
      <c r="F508" s="102"/>
      <c r="G508" s="103"/>
      <c r="H508" s="150"/>
      <c r="I508" s="55"/>
      <c r="J508" s="105"/>
      <c r="K508" s="55"/>
      <c r="L508" s="65"/>
      <c r="M508" s="55"/>
      <c r="N508" s="55"/>
      <c r="O508" s="55"/>
      <c r="P508" s="55"/>
      <c r="Q508" s="55"/>
      <c r="R508" s="55"/>
      <c r="S508" s="55"/>
      <c r="T508" s="55"/>
    </row>
    <row x14ac:dyDescent="0.25" r="509" customHeight="1" ht="17.25">
      <c r="A509" s="55"/>
      <c r="B509" s="100"/>
      <c r="C509" s="55"/>
      <c r="D509" s="101"/>
      <c r="E509" s="101"/>
      <c r="F509" s="102"/>
      <c r="G509" s="103"/>
      <c r="H509" s="150"/>
      <c r="I509" s="55"/>
      <c r="J509" s="105"/>
      <c r="K509" s="55"/>
      <c r="L509" s="65"/>
      <c r="M509" s="55"/>
      <c r="N509" s="55"/>
      <c r="O509" s="55"/>
      <c r="P509" s="55"/>
      <c r="Q509" s="55"/>
      <c r="R509" s="55"/>
      <c r="S509" s="55"/>
      <c r="T509" s="55"/>
    </row>
    <row x14ac:dyDescent="0.25" r="510" customHeight="1" ht="17.25">
      <c r="A510" s="55"/>
      <c r="B510" s="100"/>
      <c r="C510" s="55"/>
      <c r="D510" s="101"/>
      <c r="E510" s="101"/>
      <c r="F510" s="102"/>
      <c r="G510" s="103"/>
      <c r="H510" s="150"/>
      <c r="I510" s="55"/>
      <c r="J510" s="105"/>
      <c r="K510" s="55"/>
      <c r="L510" s="65"/>
      <c r="M510" s="55"/>
      <c r="N510" s="55"/>
      <c r="O510" s="55"/>
      <c r="P510" s="55"/>
      <c r="Q510" s="55"/>
      <c r="R510" s="55"/>
      <c r="S510" s="55"/>
      <c r="T510" s="55"/>
    </row>
    <row x14ac:dyDescent="0.25" r="511" customHeight="1" ht="17.25">
      <c r="A511" s="55"/>
      <c r="B511" s="100"/>
      <c r="C511" s="55"/>
      <c r="D511" s="101"/>
      <c r="E511" s="101"/>
      <c r="F511" s="102"/>
      <c r="G511" s="103"/>
      <c r="H511" s="150"/>
      <c r="I511" s="55"/>
      <c r="J511" s="105"/>
      <c r="K511" s="55"/>
      <c r="L511" s="65"/>
      <c r="M511" s="55"/>
      <c r="N511" s="55"/>
      <c r="O511" s="55"/>
      <c r="P511" s="55"/>
      <c r="Q511" s="55"/>
      <c r="R511" s="55"/>
      <c r="S511" s="55"/>
      <c r="T511" s="55"/>
    </row>
    <row x14ac:dyDescent="0.25" r="512" customHeight="1" ht="17.25">
      <c r="A512" s="55"/>
      <c r="B512" s="100"/>
      <c r="C512" s="55"/>
      <c r="D512" s="101"/>
      <c r="E512" s="101"/>
      <c r="F512" s="102"/>
      <c r="G512" s="103"/>
      <c r="H512" s="150"/>
      <c r="I512" s="55"/>
      <c r="J512" s="105"/>
      <c r="K512" s="55"/>
      <c r="L512" s="65"/>
      <c r="M512" s="55"/>
      <c r="N512" s="55"/>
      <c r="O512" s="55"/>
      <c r="P512" s="55"/>
      <c r="Q512" s="55"/>
      <c r="R512" s="55"/>
      <c r="S512" s="55"/>
      <c r="T512" s="55"/>
    </row>
    <row x14ac:dyDescent="0.25" r="513" customHeight="1" ht="17.25">
      <c r="A513" s="55"/>
      <c r="B513" s="100"/>
      <c r="C513" s="55"/>
      <c r="D513" s="101"/>
      <c r="E513" s="101"/>
      <c r="F513" s="102"/>
      <c r="G513" s="103"/>
      <c r="H513" s="150"/>
      <c r="I513" s="55"/>
      <c r="J513" s="105"/>
      <c r="K513" s="55"/>
      <c r="L513" s="65"/>
      <c r="M513" s="55"/>
      <c r="N513" s="55"/>
      <c r="O513" s="55"/>
      <c r="P513" s="55"/>
      <c r="Q513" s="55"/>
      <c r="R513" s="55"/>
      <c r="S513" s="55"/>
      <c r="T513" s="55"/>
    </row>
    <row x14ac:dyDescent="0.25" r="514" customHeight="1" ht="17.25">
      <c r="A514" s="55"/>
      <c r="B514" s="100"/>
      <c r="C514" s="55"/>
      <c r="D514" s="101"/>
      <c r="E514" s="101"/>
      <c r="F514" s="102"/>
      <c r="G514" s="103"/>
      <c r="H514" s="150"/>
      <c r="I514" s="55"/>
      <c r="J514" s="105"/>
      <c r="K514" s="55"/>
      <c r="L514" s="65"/>
      <c r="M514" s="55"/>
      <c r="N514" s="55"/>
      <c r="O514" s="55"/>
      <c r="P514" s="55"/>
      <c r="Q514" s="55"/>
      <c r="R514" s="55"/>
      <c r="S514" s="55"/>
      <c r="T514" s="55"/>
    </row>
    <row x14ac:dyDescent="0.25" r="515" customHeight="1" ht="17.25">
      <c r="A515" s="55"/>
      <c r="B515" s="100"/>
      <c r="C515" s="55"/>
      <c r="D515" s="101"/>
      <c r="E515" s="101"/>
      <c r="F515" s="102"/>
      <c r="G515" s="103"/>
      <c r="H515" s="150"/>
      <c r="I515" s="55"/>
      <c r="J515" s="105"/>
      <c r="K515" s="55"/>
      <c r="L515" s="65"/>
      <c r="M515" s="55"/>
      <c r="N515" s="55"/>
      <c r="O515" s="55"/>
      <c r="P515" s="55"/>
      <c r="Q515" s="55"/>
      <c r="R515" s="55"/>
      <c r="S515" s="55"/>
      <c r="T515" s="55"/>
    </row>
    <row x14ac:dyDescent="0.25" r="516" customHeight="1" ht="17.25">
      <c r="A516" s="55"/>
      <c r="B516" s="100"/>
      <c r="C516" s="55"/>
      <c r="D516" s="101"/>
      <c r="E516" s="101"/>
      <c r="F516" s="102"/>
      <c r="G516" s="103"/>
      <c r="H516" s="150"/>
      <c r="I516" s="55"/>
      <c r="J516" s="105"/>
      <c r="K516" s="55"/>
      <c r="L516" s="65"/>
      <c r="M516" s="55"/>
      <c r="N516" s="55"/>
      <c r="O516" s="55"/>
      <c r="P516" s="55"/>
      <c r="Q516" s="55"/>
      <c r="R516" s="55"/>
      <c r="S516" s="55"/>
      <c r="T516" s="55"/>
    </row>
    <row x14ac:dyDescent="0.25" r="517" customHeight="1" ht="17.25">
      <c r="A517" s="55"/>
      <c r="B517" s="100"/>
      <c r="C517" s="55"/>
      <c r="D517" s="101"/>
      <c r="E517" s="101"/>
      <c r="F517" s="102"/>
      <c r="G517" s="103"/>
      <c r="H517" s="150"/>
      <c r="I517" s="55"/>
      <c r="J517" s="105"/>
      <c r="K517" s="55"/>
      <c r="L517" s="65"/>
      <c r="M517" s="55"/>
      <c r="N517" s="55"/>
      <c r="O517" s="55"/>
      <c r="P517" s="55"/>
      <c r="Q517" s="55"/>
      <c r="R517" s="55"/>
      <c r="S517" s="55"/>
      <c r="T517" s="55"/>
    </row>
    <row x14ac:dyDescent="0.25" r="518" customHeight="1" ht="17.25">
      <c r="A518" s="55"/>
      <c r="B518" s="100"/>
      <c r="C518" s="55"/>
      <c r="D518" s="101"/>
      <c r="E518" s="101"/>
      <c r="F518" s="102"/>
      <c r="G518" s="103"/>
      <c r="H518" s="150"/>
      <c r="I518" s="55"/>
      <c r="J518" s="105"/>
      <c r="K518" s="55"/>
      <c r="L518" s="65"/>
      <c r="M518" s="55"/>
      <c r="N518" s="55"/>
      <c r="O518" s="55"/>
      <c r="P518" s="55"/>
      <c r="Q518" s="55"/>
      <c r="R518" s="55"/>
      <c r="S518" s="55"/>
      <c r="T518" s="55"/>
    </row>
    <row x14ac:dyDescent="0.25" r="519" customHeight="1" ht="17.25">
      <c r="A519" s="55"/>
      <c r="B519" s="100"/>
      <c r="C519" s="55"/>
      <c r="D519" s="101"/>
      <c r="E519" s="101"/>
      <c r="F519" s="102"/>
      <c r="G519" s="103"/>
      <c r="H519" s="150"/>
      <c r="I519" s="55"/>
      <c r="J519" s="105"/>
      <c r="K519" s="55"/>
      <c r="L519" s="65"/>
      <c r="M519" s="55"/>
      <c r="N519" s="55"/>
      <c r="O519" s="55"/>
      <c r="P519" s="55"/>
      <c r="Q519" s="55"/>
      <c r="R519" s="55"/>
      <c r="S519" s="55"/>
      <c r="T519" s="55"/>
    </row>
    <row x14ac:dyDescent="0.25" r="520" customHeight="1" ht="17.25">
      <c r="A520" s="55"/>
      <c r="B520" s="100"/>
      <c r="C520" s="55"/>
      <c r="D520" s="101"/>
      <c r="E520" s="101"/>
      <c r="F520" s="102"/>
      <c r="G520" s="103"/>
      <c r="H520" s="150"/>
      <c r="I520" s="55"/>
      <c r="J520" s="105"/>
      <c r="K520" s="55"/>
      <c r="L520" s="65"/>
      <c r="M520" s="55"/>
      <c r="N520" s="55"/>
      <c r="O520" s="55"/>
      <c r="P520" s="55"/>
      <c r="Q520" s="55"/>
      <c r="R520" s="55"/>
      <c r="S520" s="55"/>
      <c r="T520" s="55"/>
    </row>
    <row x14ac:dyDescent="0.25" r="521" customHeight="1" ht="17.25">
      <c r="A521" s="55"/>
      <c r="B521" s="100"/>
      <c r="C521" s="55"/>
      <c r="D521" s="101"/>
      <c r="E521" s="101"/>
      <c r="F521" s="102"/>
      <c r="G521" s="103"/>
      <c r="H521" s="150"/>
      <c r="I521" s="55"/>
      <c r="J521" s="105"/>
      <c r="K521" s="55"/>
      <c r="L521" s="65"/>
      <c r="M521" s="55"/>
      <c r="N521" s="55"/>
      <c r="O521" s="55"/>
      <c r="P521" s="55"/>
      <c r="Q521" s="55"/>
      <c r="R521" s="55"/>
      <c r="S521" s="55"/>
      <c r="T521" s="55"/>
    </row>
    <row x14ac:dyDescent="0.25" r="522" customHeight="1" ht="17.25">
      <c r="A522" s="55"/>
      <c r="B522" s="100"/>
      <c r="C522" s="55"/>
      <c r="D522" s="101"/>
      <c r="E522" s="101"/>
      <c r="F522" s="102"/>
      <c r="G522" s="103"/>
      <c r="H522" s="150"/>
      <c r="I522" s="55"/>
      <c r="J522" s="105"/>
      <c r="K522" s="55"/>
      <c r="L522" s="65"/>
      <c r="M522" s="55"/>
      <c r="N522" s="55"/>
      <c r="O522" s="55"/>
      <c r="P522" s="55"/>
      <c r="Q522" s="55"/>
      <c r="R522" s="55"/>
      <c r="S522" s="55"/>
      <c r="T522" s="55"/>
    </row>
    <row x14ac:dyDescent="0.25" r="523" customHeight="1" ht="17.25">
      <c r="A523" s="55"/>
      <c r="B523" s="100"/>
      <c r="C523" s="55"/>
      <c r="D523" s="101"/>
      <c r="E523" s="101"/>
      <c r="F523" s="102"/>
      <c r="G523" s="103"/>
      <c r="H523" s="150"/>
      <c r="I523" s="55"/>
      <c r="J523" s="105"/>
      <c r="K523" s="55"/>
      <c r="L523" s="65"/>
      <c r="M523" s="55"/>
      <c r="N523" s="55"/>
      <c r="O523" s="55"/>
      <c r="P523" s="55"/>
      <c r="Q523" s="55"/>
      <c r="R523" s="55"/>
      <c r="S523" s="55"/>
      <c r="T523" s="55"/>
    </row>
    <row x14ac:dyDescent="0.25" r="524" customHeight="1" ht="17.25">
      <c r="A524" s="55"/>
      <c r="B524" s="100"/>
      <c r="C524" s="55"/>
      <c r="D524" s="101"/>
      <c r="E524" s="101"/>
      <c r="F524" s="102"/>
      <c r="G524" s="103"/>
      <c r="H524" s="150"/>
      <c r="I524" s="55"/>
      <c r="J524" s="105"/>
      <c r="K524" s="55"/>
      <c r="L524" s="65"/>
      <c r="M524" s="55"/>
      <c r="N524" s="55"/>
      <c r="O524" s="55"/>
      <c r="P524" s="55"/>
      <c r="Q524" s="55"/>
      <c r="R524" s="55"/>
      <c r="S524" s="55"/>
      <c r="T524" s="55"/>
    </row>
    <row x14ac:dyDescent="0.25" r="525" customHeight="1" ht="17.25">
      <c r="A525" s="55"/>
      <c r="B525" s="100"/>
      <c r="C525" s="55"/>
      <c r="D525" s="101"/>
      <c r="E525" s="101"/>
      <c r="F525" s="102"/>
      <c r="G525" s="103"/>
      <c r="H525" s="150"/>
      <c r="I525" s="55"/>
      <c r="J525" s="105"/>
      <c r="K525" s="55"/>
      <c r="L525" s="65"/>
      <c r="M525" s="55"/>
      <c r="N525" s="55"/>
      <c r="O525" s="55"/>
      <c r="P525" s="55"/>
      <c r="Q525" s="55"/>
      <c r="R525" s="55"/>
      <c r="S525" s="55"/>
      <c r="T525" s="55"/>
    </row>
    <row x14ac:dyDescent="0.25" r="526" customHeight="1" ht="17.25">
      <c r="A526" s="55"/>
      <c r="B526" s="100"/>
      <c r="C526" s="55"/>
      <c r="D526" s="101"/>
      <c r="E526" s="101"/>
      <c r="F526" s="102"/>
      <c r="G526" s="103"/>
      <c r="H526" s="150"/>
      <c r="I526" s="55"/>
      <c r="J526" s="105"/>
      <c r="K526" s="55"/>
      <c r="L526" s="65"/>
      <c r="M526" s="55"/>
      <c r="N526" s="55"/>
      <c r="O526" s="55"/>
      <c r="P526" s="55"/>
      <c r="Q526" s="55"/>
      <c r="R526" s="55"/>
      <c r="S526" s="55"/>
      <c r="T526" s="55"/>
    </row>
    <row x14ac:dyDescent="0.25" r="527" customHeight="1" ht="17.25">
      <c r="A527" s="55"/>
      <c r="B527" s="100"/>
      <c r="C527" s="55"/>
      <c r="D527" s="101"/>
      <c r="E527" s="101"/>
      <c r="F527" s="102"/>
      <c r="G527" s="103"/>
      <c r="H527" s="150"/>
      <c r="I527" s="55"/>
      <c r="J527" s="105"/>
      <c r="K527" s="55"/>
      <c r="L527" s="65"/>
      <c r="M527" s="55"/>
      <c r="N527" s="55"/>
      <c r="O527" s="55"/>
      <c r="P527" s="55"/>
      <c r="Q527" s="55"/>
      <c r="R527" s="55"/>
      <c r="S527" s="55"/>
      <c r="T527" s="55"/>
    </row>
    <row x14ac:dyDescent="0.25" r="528" customHeight="1" ht="17.25">
      <c r="A528" s="55"/>
      <c r="B528" s="100"/>
      <c r="C528" s="55"/>
      <c r="D528" s="101"/>
      <c r="E528" s="101"/>
      <c r="F528" s="102"/>
      <c r="G528" s="103"/>
      <c r="H528" s="150"/>
      <c r="I528" s="55"/>
      <c r="J528" s="105"/>
      <c r="K528" s="55"/>
      <c r="L528" s="65"/>
      <c r="M528" s="55"/>
      <c r="N528" s="55"/>
      <c r="O528" s="55"/>
      <c r="P528" s="55"/>
      <c r="Q528" s="55"/>
      <c r="R528" s="55"/>
      <c r="S528" s="55"/>
      <c r="T528" s="55"/>
    </row>
    <row x14ac:dyDescent="0.25" r="529" customHeight="1" ht="17.25">
      <c r="A529" s="55"/>
      <c r="B529" s="100"/>
      <c r="C529" s="55"/>
      <c r="D529" s="101"/>
      <c r="E529" s="101"/>
      <c r="F529" s="102"/>
      <c r="G529" s="103"/>
      <c r="H529" s="150"/>
      <c r="I529" s="55"/>
      <c r="J529" s="105"/>
      <c r="K529" s="55"/>
      <c r="L529" s="65"/>
      <c r="M529" s="55"/>
      <c r="N529" s="55"/>
      <c r="O529" s="55"/>
      <c r="P529" s="55"/>
      <c r="Q529" s="55"/>
      <c r="R529" s="55"/>
      <c r="S529" s="55"/>
      <c r="T529" s="55"/>
    </row>
    <row x14ac:dyDescent="0.25" r="530" customHeight="1" ht="17.25">
      <c r="A530" s="55"/>
      <c r="B530" s="100"/>
      <c r="C530" s="55"/>
      <c r="D530" s="101"/>
      <c r="E530" s="101"/>
      <c r="F530" s="102"/>
      <c r="G530" s="103"/>
      <c r="H530" s="150"/>
      <c r="I530" s="55"/>
      <c r="J530" s="105"/>
      <c r="K530" s="55"/>
      <c r="L530" s="65"/>
      <c r="M530" s="55"/>
      <c r="N530" s="55"/>
      <c r="O530" s="55"/>
      <c r="P530" s="55"/>
      <c r="Q530" s="55"/>
      <c r="R530" s="55"/>
      <c r="S530" s="55"/>
      <c r="T530" s="55"/>
    </row>
    <row x14ac:dyDescent="0.25" r="531" customHeight="1" ht="17.25">
      <c r="A531" s="55"/>
      <c r="B531" s="100"/>
      <c r="C531" s="55"/>
      <c r="D531" s="101"/>
      <c r="E531" s="101"/>
      <c r="F531" s="102"/>
      <c r="G531" s="103"/>
      <c r="H531" s="150"/>
      <c r="I531" s="55"/>
      <c r="J531" s="105"/>
      <c r="K531" s="55"/>
      <c r="L531" s="65"/>
      <c r="M531" s="55"/>
      <c r="N531" s="55"/>
      <c r="O531" s="55"/>
      <c r="P531" s="55"/>
      <c r="Q531" s="55"/>
      <c r="R531" s="55"/>
      <c r="S531" s="55"/>
      <c r="T531" s="55"/>
    </row>
    <row x14ac:dyDescent="0.25" r="532" customHeight="1" ht="17.25">
      <c r="A532" s="55"/>
      <c r="B532" s="100"/>
      <c r="C532" s="55"/>
      <c r="D532" s="101"/>
      <c r="E532" s="101"/>
      <c r="F532" s="102"/>
      <c r="G532" s="103"/>
      <c r="H532" s="150"/>
      <c r="I532" s="55"/>
      <c r="J532" s="105"/>
      <c r="K532" s="55"/>
      <c r="L532" s="65"/>
      <c r="M532" s="55"/>
      <c r="N532" s="55"/>
      <c r="O532" s="55"/>
      <c r="P532" s="55"/>
      <c r="Q532" s="55"/>
      <c r="R532" s="55"/>
      <c r="S532" s="55"/>
      <c r="T532" s="55"/>
    </row>
    <row x14ac:dyDescent="0.25" r="533" customHeight="1" ht="17.25">
      <c r="A533" s="55"/>
      <c r="B533" s="100"/>
      <c r="C533" s="55"/>
      <c r="D533" s="101"/>
      <c r="E533" s="101"/>
      <c r="F533" s="102"/>
      <c r="G533" s="103"/>
      <c r="H533" s="150"/>
      <c r="I533" s="55"/>
      <c r="J533" s="105"/>
      <c r="K533" s="55"/>
      <c r="L533" s="65"/>
      <c r="M533" s="55"/>
      <c r="N533" s="55"/>
      <c r="O533" s="55"/>
      <c r="P533" s="55"/>
      <c r="Q533" s="55"/>
      <c r="R533" s="55"/>
      <c r="S533" s="55"/>
      <c r="T533" s="55"/>
    </row>
    <row x14ac:dyDescent="0.25" r="534" customHeight="1" ht="17.25">
      <c r="A534" s="55"/>
      <c r="B534" s="100"/>
      <c r="C534" s="55"/>
      <c r="D534" s="101"/>
      <c r="E534" s="101"/>
      <c r="F534" s="102"/>
      <c r="G534" s="103"/>
      <c r="H534" s="150"/>
      <c r="I534" s="55"/>
      <c r="J534" s="105"/>
      <c r="K534" s="55"/>
      <c r="L534" s="65"/>
      <c r="M534" s="55"/>
      <c r="N534" s="55"/>
      <c r="O534" s="55"/>
      <c r="P534" s="55"/>
      <c r="Q534" s="55"/>
      <c r="R534" s="55"/>
      <c r="S534" s="55"/>
      <c r="T534" s="55"/>
    </row>
    <row x14ac:dyDescent="0.25" r="535" customHeight="1" ht="17.25">
      <c r="A535" s="55"/>
      <c r="B535" s="100"/>
      <c r="C535" s="55"/>
      <c r="D535" s="101"/>
      <c r="E535" s="101"/>
      <c r="F535" s="102"/>
      <c r="G535" s="103"/>
      <c r="H535" s="150"/>
      <c r="I535" s="55"/>
      <c r="J535" s="105"/>
      <c r="K535" s="55"/>
      <c r="L535" s="65"/>
      <c r="M535" s="55"/>
      <c r="N535" s="55"/>
      <c r="O535" s="55"/>
      <c r="P535" s="55"/>
      <c r="Q535" s="55"/>
      <c r="R535" s="55"/>
      <c r="S535" s="55"/>
      <c r="T535" s="55"/>
    </row>
    <row x14ac:dyDescent="0.25" r="536" customHeight="1" ht="17.25">
      <c r="A536" s="55"/>
      <c r="B536" s="100"/>
      <c r="C536" s="55"/>
      <c r="D536" s="101"/>
      <c r="E536" s="101"/>
      <c r="F536" s="102"/>
      <c r="G536" s="103"/>
      <c r="H536" s="150"/>
      <c r="I536" s="55"/>
      <c r="J536" s="105"/>
      <c r="K536" s="55"/>
      <c r="L536" s="65"/>
      <c r="M536" s="55"/>
      <c r="N536" s="55"/>
      <c r="O536" s="55"/>
      <c r="P536" s="55"/>
      <c r="Q536" s="55"/>
      <c r="R536" s="55"/>
      <c r="S536" s="55"/>
      <c r="T536" s="55"/>
    </row>
    <row x14ac:dyDescent="0.25" r="537" customHeight="1" ht="17.25">
      <c r="A537" s="55"/>
      <c r="B537" s="100"/>
      <c r="C537" s="55"/>
      <c r="D537" s="101"/>
      <c r="E537" s="101"/>
      <c r="F537" s="102"/>
      <c r="G537" s="103"/>
      <c r="H537" s="150"/>
      <c r="I537" s="55"/>
      <c r="J537" s="105"/>
      <c r="K537" s="55"/>
      <c r="L537" s="65"/>
      <c r="M537" s="55"/>
      <c r="N537" s="55"/>
      <c r="O537" s="55"/>
      <c r="P537" s="55"/>
      <c r="Q537" s="55"/>
      <c r="R537" s="55"/>
      <c r="S537" s="55"/>
      <c r="T537" s="55"/>
    </row>
    <row x14ac:dyDescent="0.25" r="538" customHeight="1" ht="17.25">
      <c r="A538" s="55"/>
      <c r="B538" s="100"/>
      <c r="C538" s="55"/>
      <c r="D538" s="101"/>
      <c r="E538" s="101"/>
      <c r="F538" s="102"/>
      <c r="G538" s="103"/>
      <c r="H538" s="150"/>
      <c r="I538" s="55"/>
      <c r="J538" s="105"/>
      <c r="K538" s="55"/>
      <c r="L538" s="65"/>
      <c r="M538" s="55"/>
      <c r="N538" s="55"/>
      <c r="O538" s="55"/>
      <c r="P538" s="55"/>
      <c r="Q538" s="55"/>
      <c r="R538" s="55"/>
      <c r="S538" s="55"/>
      <c r="T538" s="55"/>
    </row>
    <row x14ac:dyDescent="0.25" r="539" customHeight="1" ht="17.25">
      <c r="A539" s="55"/>
      <c r="B539" s="100"/>
      <c r="C539" s="55"/>
      <c r="D539" s="101"/>
      <c r="E539" s="101"/>
      <c r="F539" s="102"/>
      <c r="G539" s="103"/>
      <c r="H539" s="150"/>
      <c r="I539" s="55"/>
      <c r="J539" s="105"/>
      <c r="K539" s="55"/>
      <c r="L539" s="65"/>
      <c r="M539" s="55"/>
      <c r="N539" s="55"/>
      <c r="O539" s="55"/>
      <c r="P539" s="55"/>
      <c r="Q539" s="55"/>
      <c r="R539" s="55"/>
      <c r="S539" s="55"/>
      <c r="T539" s="55"/>
    </row>
    <row x14ac:dyDescent="0.25" r="540" customHeight="1" ht="17.25">
      <c r="A540" s="55"/>
      <c r="B540" s="100"/>
      <c r="C540" s="55"/>
      <c r="D540" s="101"/>
      <c r="E540" s="101"/>
      <c r="F540" s="102"/>
      <c r="G540" s="103"/>
      <c r="H540" s="150"/>
      <c r="I540" s="55"/>
      <c r="J540" s="105"/>
      <c r="K540" s="55"/>
      <c r="L540" s="65"/>
      <c r="M540" s="55"/>
      <c r="N540" s="55"/>
      <c r="O540" s="55"/>
      <c r="P540" s="55"/>
      <c r="Q540" s="55"/>
      <c r="R540" s="55"/>
      <c r="S540" s="55"/>
      <c r="T540" s="55"/>
    </row>
    <row x14ac:dyDescent="0.25" r="541" customHeight="1" ht="17.25">
      <c r="A541" s="55"/>
      <c r="B541" s="100"/>
      <c r="C541" s="55"/>
      <c r="D541" s="101"/>
      <c r="E541" s="101"/>
      <c r="F541" s="102"/>
      <c r="G541" s="103"/>
      <c r="H541" s="150"/>
      <c r="I541" s="55"/>
      <c r="J541" s="105"/>
      <c r="K541" s="55"/>
      <c r="L541" s="65"/>
      <c r="M541" s="55"/>
      <c r="N541" s="55"/>
      <c r="O541" s="55"/>
      <c r="P541" s="55"/>
      <c r="Q541" s="55"/>
      <c r="R541" s="55"/>
      <c r="S541" s="55"/>
      <c r="T541" s="55"/>
    </row>
    <row x14ac:dyDescent="0.25" r="542" customHeight="1" ht="17.25">
      <c r="A542" s="55"/>
      <c r="B542" s="100"/>
      <c r="C542" s="55"/>
      <c r="D542" s="101"/>
      <c r="E542" s="101"/>
      <c r="F542" s="102"/>
      <c r="G542" s="103"/>
      <c r="H542" s="150"/>
      <c r="I542" s="55"/>
      <c r="J542" s="105"/>
      <c r="K542" s="55"/>
      <c r="L542" s="65"/>
      <c r="M542" s="55"/>
      <c r="N542" s="55"/>
      <c r="O542" s="55"/>
      <c r="P542" s="55"/>
      <c r="Q542" s="55"/>
      <c r="R542" s="55"/>
      <c r="S542" s="55"/>
      <c r="T542" s="55"/>
    </row>
    <row x14ac:dyDescent="0.25" r="543" customHeight="1" ht="17.25">
      <c r="A543" s="55"/>
      <c r="B543" s="100"/>
      <c r="C543" s="55"/>
      <c r="D543" s="101"/>
      <c r="E543" s="101"/>
      <c r="F543" s="102"/>
      <c r="G543" s="103"/>
      <c r="H543" s="150"/>
      <c r="I543" s="55"/>
      <c r="J543" s="105"/>
      <c r="K543" s="55"/>
      <c r="L543" s="65"/>
      <c r="M543" s="55"/>
      <c r="N543" s="55"/>
      <c r="O543" s="55"/>
      <c r="P543" s="55"/>
      <c r="Q543" s="55"/>
      <c r="R543" s="55"/>
      <c r="S543" s="55"/>
      <c r="T543" s="55"/>
    </row>
    <row x14ac:dyDescent="0.25" r="544" customHeight="1" ht="17.25">
      <c r="A544" s="55"/>
      <c r="B544" s="100"/>
      <c r="C544" s="55"/>
      <c r="D544" s="101"/>
      <c r="E544" s="101"/>
      <c r="F544" s="102"/>
      <c r="G544" s="103"/>
      <c r="H544" s="150"/>
      <c r="I544" s="55"/>
      <c r="J544" s="105"/>
      <c r="K544" s="55"/>
      <c r="L544" s="65"/>
      <c r="M544" s="55"/>
      <c r="N544" s="55"/>
      <c r="O544" s="55"/>
      <c r="P544" s="55"/>
      <c r="Q544" s="55"/>
      <c r="R544" s="55"/>
      <c r="S544" s="55"/>
      <c r="T544" s="55"/>
    </row>
    <row x14ac:dyDescent="0.25" r="545" customHeight="1" ht="17.25">
      <c r="A545" s="55"/>
      <c r="B545" s="100"/>
      <c r="C545" s="55"/>
      <c r="D545" s="101"/>
      <c r="E545" s="101"/>
      <c r="F545" s="102"/>
      <c r="G545" s="103"/>
      <c r="H545" s="150"/>
      <c r="I545" s="55"/>
      <c r="J545" s="105"/>
      <c r="K545" s="55"/>
      <c r="L545" s="65"/>
      <c r="M545" s="55"/>
      <c r="N545" s="55"/>
      <c r="O545" s="55"/>
      <c r="P545" s="55"/>
      <c r="Q545" s="55"/>
      <c r="R545" s="55"/>
      <c r="S545" s="55"/>
      <c r="T545" s="55"/>
    </row>
    <row x14ac:dyDescent="0.25" r="546" customHeight="1" ht="17.25">
      <c r="A546" s="55"/>
      <c r="B546" s="100"/>
      <c r="C546" s="55"/>
      <c r="D546" s="101"/>
      <c r="E546" s="101"/>
      <c r="F546" s="102"/>
      <c r="G546" s="103"/>
      <c r="H546" s="150"/>
      <c r="I546" s="55"/>
      <c r="J546" s="105"/>
      <c r="K546" s="55"/>
      <c r="L546" s="65"/>
      <c r="M546" s="55"/>
      <c r="N546" s="55"/>
      <c r="O546" s="55"/>
      <c r="P546" s="55"/>
      <c r="Q546" s="55"/>
      <c r="R546" s="55"/>
      <c r="S546" s="55"/>
      <c r="T546" s="55"/>
    </row>
    <row x14ac:dyDescent="0.25" r="547" customHeight="1" ht="17.25">
      <c r="A547" s="55"/>
      <c r="B547" s="100"/>
      <c r="C547" s="55"/>
      <c r="D547" s="101"/>
      <c r="E547" s="101"/>
      <c r="F547" s="102"/>
      <c r="G547" s="103"/>
      <c r="H547" s="150"/>
      <c r="I547" s="55"/>
      <c r="J547" s="105"/>
      <c r="K547" s="55"/>
      <c r="L547" s="65"/>
      <c r="M547" s="55"/>
      <c r="N547" s="55"/>
      <c r="O547" s="55"/>
      <c r="P547" s="55"/>
      <c r="Q547" s="55"/>
      <c r="R547" s="55"/>
      <c r="S547" s="55"/>
      <c r="T547" s="55"/>
    </row>
    <row x14ac:dyDescent="0.25" r="548" customHeight="1" ht="17.25">
      <c r="A548" s="55"/>
      <c r="B548" s="100"/>
      <c r="C548" s="55"/>
      <c r="D548" s="101"/>
      <c r="E548" s="101"/>
      <c r="F548" s="102"/>
      <c r="G548" s="103"/>
      <c r="H548" s="150"/>
      <c r="I548" s="55"/>
      <c r="J548" s="105"/>
      <c r="K548" s="55"/>
      <c r="L548" s="65"/>
      <c r="M548" s="55"/>
      <c r="N548" s="55"/>
      <c r="O548" s="55"/>
      <c r="P548" s="55"/>
      <c r="Q548" s="55"/>
      <c r="R548" s="55"/>
      <c r="S548" s="55"/>
      <c r="T548" s="55"/>
    </row>
    <row x14ac:dyDescent="0.25" r="549" customHeight="1" ht="17.25">
      <c r="A549" s="55"/>
      <c r="B549" s="100"/>
      <c r="C549" s="55"/>
      <c r="D549" s="101"/>
      <c r="E549" s="101"/>
      <c r="F549" s="102"/>
      <c r="G549" s="103"/>
      <c r="H549" s="150"/>
      <c r="I549" s="55"/>
      <c r="J549" s="105"/>
      <c r="K549" s="55"/>
      <c r="L549" s="65"/>
      <c r="M549" s="55"/>
      <c r="N549" s="55"/>
      <c r="O549" s="55"/>
      <c r="P549" s="55"/>
      <c r="Q549" s="55"/>
      <c r="R549" s="55"/>
      <c r="S549" s="55"/>
      <c r="T549" s="55"/>
    </row>
    <row x14ac:dyDescent="0.25" r="550" customHeight="1" ht="17.25">
      <c r="A550" s="55"/>
      <c r="B550" s="100"/>
      <c r="C550" s="55"/>
      <c r="D550" s="101"/>
      <c r="E550" s="101"/>
      <c r="F550" s="102"/>
      <c r="G550" s="103"/>
      <c r="H550" s="150"/>
      <c r="I550" s="55"/>
      <c r="J550" s="105"/>
      <c r="K550" s="55"/>
      <c r="L550" s="65"/>
      <c r="M550" s="55"/>
      <c r="N550" s="55"/>
      <c r="O550" s="55"/>
      <c r="P550" s="55"/>
      <c r="Q550" s="55"/>
      <c r="R550" s="55"/>
      <c r="S550" s="55"/>
      <c r="T550" s="55"/>
    </row>
    <row x14ac:dyDescent="0.25" r="551" customHeight="1" ht="17.25">
      <c r="A551" s="55"/>
      <c r="B551" s="100"/>
      <c r="C551" s="55"/>
      <c r="D551" s="101"/>
      <c r="E551" s="101"/>
      <c r="F551" s="102"/>
      <c r="G551" s="103"/>
      <c r="H551" s="150"/>
      <c r="I551" s="55"/>
      <c r="J551" s="105"/>
      <c r="K551" s="55"/>
      <c r="L551" s="65"/>
      <c r="M551" s="55"/>
      <c r="N551" s="55"/>
      <c r="O551" s="55"/>
      <c r="P551" s="55"/>
      <c r="Q551" s="55"/>
      <c r="R551" s="55"/>
      <c r="S551" s="55"/>
      <c r="T551" s="55"/>
    </row>
    <row x14ac:dyDescent="0.25" r="552" customHeight="1" ht="17.25">
      <c r="A552" s="55"/>
      <c r="B552" s="100"/>
      <c r="C552" s="55"/>
      <c r="D552" s="101"/>
      <c r="E552" s="101"/>
      <c r="F552" s="102"/>
      <c r="G552" s="103"/>
      <c r="H552" s="150"/>
      <c r="I552" s="55"/>
      <c r="J552" s="105"/>
      <c r="K552" s="55"/>
      <c r="L552" s="65"/>
      <c r="M552" s="55"/>
      <c r="N552" s="55"/>
      <c r="O552" s="55"/>
      <c r="P552" s="55"/>
      <c r="Q552" s="55"/>
      <c r="R552" s="55"/>
      <c r="S552" s="55"/>
      <c r="T552" s="55"/>
    </row>
    <row x14ac:dyDescent="0.25" r="553" customHeight="1" ht="17.25">
      <c r="A553" s="55"/>
      <c r="B553" s="100"/>
      <c r="C553" s="55"/>
      <c r="D553" s="101"/>
      <c r="E553" s="101"/>
      <c r="F553" s="102"/>
      <c r="G553" s="103"/>
      <c r="H553" s="150"/>
      <c r="I553" s="55"/>
      <c r="J553" s="105"/>
      <c r="K553" s="55"/>
      <c r="L553" s="65"/>
      <c r="M553" s="55"/>
      <c r="N553" s="55"/>
      <c r="O553" s="55"/>
      <c r="P553" s="55"/>
      <c r="Q553" s="55"/>
      <c r="R553" s="55"/>
      <c r="S553" s="55"/>
      <c r="T553" s="55"/>
    </row>
    <row x14ac:dyDescent="0.25" r="554" customHeight="1" ht="17.25">
      <c r="A554" s="55"/>
      <c r="B554" s="100"/>
      <c r="C554" s="55"/>
      <c r="D554" s="101"/>
      <c r="E554" s="101"/>
      <c r="F554" s="102"/>
      <c r="G554" s="103"/>
      <c r="H554" s="150"/>
      <c r="I554" s="55"/>
      <c r="J554" s="105"/>
      <c r="K554" s="55"/>
      <c r="L554" s="65"/>
      <c r="M554" s="55"/>
      <c r="N554" s="55"/>
      <c r="O554" s="55"/>
      <c r="P554" s="55"/>
      <c r="Q554" s="55"/>
      <c r="R554" s="55"/>
      <c r="S554" s="55"/>
      <c r="T554" s="55"/>
    </row>
    <row x14ac:dyDescent="0.25" r="555" customHeight="1" ht="17.25">
      <c r="A555" s="55"/>
      <c r="B555" s="100"/>
      <c r="C555" s="55"/>
      <c r="D555" s="101"/>
      <c r="E555" s="101"/>
      <c r="F555" s="102"/>
      <c r="G555" s="103"/>
      <c r="H555" s="150"/>
      <c r="I555" s="55"/>
      <c r="J555" s="105"/>
      <c r="K555" s="55"/>
      <c r="L555" s="65"/>
      <c r="M555" s="55"/>
      <c r="N555" s="55"/>
      <c r="O555" s="55"/>
      <c r="P555" s="55"/>
      <c r="Q555" s="55"/>
      <c r="R555" s="55"/>
      <c r="S555" s="55"/>
      <c r="T555" s="55"/>
    </row>
    <row x14ac:dyDescent="0.25" r="556" customHeight="1" ht="17.25">
      <c r="A556" s="55"/>
      <c r="B556" s="100"/>
      <c r="C556" s="55"/>
      <c r="D556" s="101"/>
      <c r="E556" s="101"/>
      <c r="F556" s="102"/>
      <c r="G556" s="103"/>
      <c r="H556" s="150"/>
      <c r="I556" s="55"/>
      <c r="J556" s="105"/>
      <c r="K556" s="55"/>
      <c r="L556" s="65"/>
      <c r="M556" s="55"/>
      <c r="N556" s="55"/>
      <c r="O556" s="55"/>
      <c r="P556" s="55"/>
      <c r="Q556" s="55"/>
      <c r="R556" s="55"/>
      <c r="S556" s="55"/>
      <c r="T556" s="55"/>
    </row>
    <row x14ac:dyDescent="0.25" r="557" customHeight="1" ht="17.25">
      <c r="A557" s="55"/>
      <c r="B557" s="100"/>
      <c r="C557" s="55"/>
      <c r="D557" s="101"/>
      <c r="E557" s="101"/>
      <c r="F557" s="102"/>
      <c r="G557" s="103"/>
      <c r="H557" s="150"/>
      <c r="I557" s="55"/>
      <c r="J557" s="105"/>
      <c r="K557" s="55"/>
      <c r="L557" s="65"/>
      <c r="M557" s="55"/>
      <c r="N557" s="55"/>
      <c r="O557" s="55"/>
      <c r="P557" s="55"/>
      <c r="Q557" s="55"/>
      <c r="R557" s="55"/>
      <c r="S557" s="55"/>
      <c r="T557" s="55"/>
    </row>
    <row x14ac:dyDescent="0.25" r="558" customHeight="1" ht="17.25">
      <c r="A558" s="55"/>
      <c r="B558" s="100"/>
      <c r="C558" s="55"/>
      <c r="D558" s="101"/>
      <c r="E558" s="101"/>
      <c r="F558" s="102"/>
      <c r="G558" s="103"/>
      <c r="H558" s="150"/>
      <c r="I558" s="55"/>
      <c r="J558" s="105"/>
      <c r="K558" s="55"/>
      <c r="L558" s="65"/>
      <c r="M558" s="55"/>
      <c r="N558" s="55"/>
      <c r="O558" s="55"/>
      <c r="P558" s="55"/>
      <c r="Q558" s="55"/>
      <c r="R558" s="55"/>
      <c r="S558" s="55"/>
      <c r="T558" s="55"/>
    </row>
    <row x14ac:dyDescent="0.25" r="559" customHeight="1" ht="17.25">
      <c r="A559" s="55"/>
      <c r="B559" s="100"/>
      <c r="C559" s="55"/>
      <c r="D559" s="101"/>
      <c r="E559" s="101"/>
      <c r="F559" s="102"/>
      <c r="G559" s="103"/>
      <c r="H559" s="150"/>
      <c r="I559" s="55"/>
      <c r="J559" s="105"/>
      <c r="K559" s="55"/>
      <c r="L559" s="65"/>
      <c r="M559" s="55"/>
      <c r="N559" s="55"/>
      <c r="O559" s="55"/>
      <c r="P559" s="55"/>
      <c r="Q559" s="55"/>
      <c r="R559" s="55"/>
      <c r="S559" s="55"/>
      <c r="T559" s="55"/>
    </row>
    <row x14ac:dyDescent="0.25" r="560" customHeight="1" ht="17.25">
      <c r="A560" s="55"/>
      <c r="B560" s="100"/>
      <c r="C560" s="55"/>
      <c r="D560" s="101"/>
      <c r="E560" s="101"/>
      <c r="F560" s="102"/>
      <c r="G560" s="103"/>
      <c r="H560" s="150"/>
      <c r="I560" s="55"/>
      <c r="J560" s="105"/>
      <c r="K560" s="55"/>
      <c r="L560" s="65"/>
      <c r="M560" s="55"/>
      <c r="N560" s="55"/>
      <c r="O560" s="55"/>
      <c r="P560" s="55"/>
      <c r="Q560" s="55"/>
      <c r="R560" s="55"/>
      <c r="S560" s="55"/>
      <c r="T560" s="55"/>
    </row>
    <row x14ac:dyDescent="0.25" r="561" customHeight="1" ht="17.25">
      <c r="A561" s="55"/>
      <c r="B561" s="100"/>
      <c r="C561" s="55"/>
      <c r="D561" s="101"/>
      <c r="E561" s="101"/>
      <c r="F561" s="102"/>
      <c r="G561" s="103"/>
      <c r="H561" s="150"/>
      <c r="I561" s="55"/>
      <c r="J561" s="105"/>
      <c r="K561" s="55"/>
      <c r="L561" s="65"/>
      <c r="M561" s="55"/>
      <c r="N561" s="55"/>
      <c r="O561" s="55"/>
      <c r="P561" s="55"/>
      <c r="Q561" s="55"/>
      <c r="R561" s="55"/>
      <c r="S561" s="55"/>
      <c r="T561" s="55"/>
    </row>
    <row x14ac:dyDescent="0.25" r="562" customHeight="1" ht="17.25">
      <c r="A562" s="55"/>
      <c r="B562" s="100"/>
      <c r="C562" s="55"/>
      <c r="D562" s="101"/>
      <c r="E562" s="101"/>
      <c r="F562" s="102"/>
      <c r="G562" s="103"/>
      <c r="H562" s="150"/>
      <c r="I562" s="55"/>
      <c r="J562" s="105"/>
      <c r="K562" s="55"/>
      <c r="L562" s="65"/>
      <c r="M562" s="55"/>
      <c r="N562" s="55"/>
      <c r="O562" s="55"/>
      <c r="P562" s="55"/>
      <c r="Q562" s="55"/>
      <c r="R562" s="55"/>
      <c r="S562" s="55"/>
      <c r="T562" s="55"/>
    </row>
    <row x14ac:dyDescent="0.25" r="563" customHeight="1" ht="17.25">
      <c r="A563" s="55"/>
      <c r="B563" s="100"/>
      <c r="C563" s="55"/>
      <c r="D563" s="101"/>
      <c r="E563" s="101"/>
      <c r="F563" s="102"/>
      <c r="G563" s="103"/>
      <c r="H563" s="150"/>
      <c r="I563" s="55"/>
      <c r="J563" s="105"/>
      <c r="K563" s="55"/>
      <c r="L563" s="65"/>
      <c r="M563" s="55"/>
      <c r="N563" s="55"/>
      <c r="O563" s="55"/>
      <c r="P563" s="55"/>
      <c r="Q563" s="55"/>
      <c r="R563" s="55"/>
      <c r="S563" s="55"/>
      <c r="T563" s="55"/>
    </row>
    <row x14ac:dyDescent="0.25" r="564" customHeight="1" ht="17.25">
      <c r="A564" s="55"/>
      <c r="B564" s="100"/>
      <c r="C564" s="55"/>
      <c r="D564" s="101"/>
      <c r="E564" s="101"/>
      <c r="F564" s="102"/>
      <c r="G564" s="103"/>
      <c r="H564" s="150"/>
      <c r="I564" s="55"/>
      <c r="J564" s="105"/>
      <c r="K564" s="55"/>
      <c r="L564" s="65"/>
      <c r="M564" s="55"/>
      <c r="N564" s="55"/>
      <c r="O564" s="55"/>
      <c r="P564" s="55"/>
      <c r="Q564" s="55"/>
      <c r="R564" s="55"/>
      <c r="S564" s="55"/>
      <c r="T564" s="55"/>
    </row>
    <row x14ac:dyDescent="0.25" r="565" customHeight="1" ht="17.25">
      <c r="A565" s="55"/>
      <c r="B565" s="100"/>
      <c r="C565" s="55"/>
      <c r="D565" s="101"/>
      <c r="E565" s="101"/>
      <c r="F565" s="102"/>
      <c r="G565" s="103"/>
      <c r="H565" s="150"/>
      <c r="I565" s="55"/>
      <c r="J565" s="105"/>
      <c r="K565" s="55"/>
      <c r="L565" s="65"/>
      <c r="M565" s="55"/>
      <c r="N565" s="55"/>
      <c r="O565" s="55"/>
      <c r="P565" s="55"/>
      <c r="Q565" s="55"/>
      <c r="R565" s="55"/>
      <c r="S565" s="55"/>
      <c r="T565" s="55"/>
    </row>
    <row x14ac:dyDescent="0.25" r="566" customHeight="1" ht="17.25">
      <c r="A566" s="55"/>
      <c r="B566" s="100"/>
      <c r="C566" s="55"/>
      <c r="D566" s="101"/>
      <c r="E566" s="101"/>
      <c r="F566" s="102"/>
      <c r="G566" s="103"/>
      <c r="H566" s="150"/>
      <c r="I566" s="55"/>
      <c r="J566" s="105"/>
      <c r="K566" s="55"/>
      <c r="L566" s="65"/>
      <c r="M566" s="55"/>
      <c r="N566" s="55"/>
      <c r="O566" s="55"/>
      <c r="P566" s="55"/>
      <c r="Q566" s="55"/>
      <c r="R566" s="55"/>
      <c r="S566" s="55"/>
      <c r="T566" s="55"/>
    </row>
    <row x14ac:dyDescent="0.25" r="567" customHeight="1" ht="17.25">
      <c r="A567" s="55"/>
      <c r="B567" s="100"/>
      <c r="C567" s="55"/>
      <c r="D567" s="101"/>
      <c r="E567" s="101"/>
      <c r="F567" s="102"/>
      <c r="G567" s="103"/>
      <c r="H567" s="150"/>
      <c r="I567" s="55"/>
      <c r="J567" s="105"/>
      <c r="K567" s="55"/>
      <c r="L567" s="65"/>
      <c r="M567" s="55"/>
      <c r="N567" s="55"/>
      <c r="O567" s="55"/>
      <c r="P567" s="55"/>
      <c r="Q567" s="55"/>
      <c r="R567" s="55"/>
      <c r="S567" s="55"/>
      <c r="T567" s="55"/>
    </row>
    <row x14ac:dyDescent="0.25" r="568" customHeight="1" ht="17.25">
      <c r="A568" s="55"/>
      <c r="B568" s="100"/>
      <c r="C568" s="55"/>
      <c r="D568" s="101"/>
      <c r="E568" s="101"/>
      <c r="F568" s="102"/>
      <c r="G568" s="103"/>
      <c r="H568" s="150"/>
      <c r="I568" s="55"/>
      <c r="J568" s="105"/>
      <c r="K568" s="55"/>
      <c r="L568" s="65"/>
      <c r="M568" s="55"/>
      <c r="N568" s="55"/>
      <c r="O568" s="55"/>
      <c r="P568" s="55"/>
      <c r="Q568" s="55"/>
      <c r="R568" s="55"/>
      <c r="S568" s="55"/>
      <c r="T568" s="55"/>
    </row>
    <row x14ac:dyDescent="0.25" r="569" customHeight="1" ht="17.25">
      <c r="A569" s="55"/>
      <c r="B569" s="100"/>
      <c r="C569" s="55"/>
      <c r="D569" s="101"/>
      <c r="E569" s="101"/>
      <c r="F569" s="102"/>
      <c r="G569" s="103"/>
      <c r="H569" s="150"/>
      <c r="I569" s="55"/>
      <c r="J569" s="105"/>
      <c r="K569" s="55"/>
      <c r="L569" s="65"/>
      <c r="M569" s="55"/>
      <c r="N569" s="55"/>
      <c r="O569" s="55"/>
      <c r="P569" s="55"/>
      <c r="Q569" s="55"/>
      <c r="R569" s="55"/>
      <c r="S569" s="55"/>
      <c r="T569" s="55"/>
    </row>
    <row x14ac:dyDescent="0.25" r="570" customHeight="1" ht="17.25">
      <c r="A570" s="55"/>
      <c r="B570" s="100"/>
      <c r="C570" s="55"/>
      <c r="D570" s="101"/>
      <c r="E570" s="101"/>
      <c r="F570" s="102"/>
      <c r="G570" s="103"/>
      <c r="H570" s="150"/>
      <c r="I570" s="55"/>
      <c r="J570" s="105"/>
      <c r="K570" s="55"/>
      <c r="L570" s="65"/>
      <c r="M570" s="55"/>
      <c r="N570" s="55"/>
      <c r="O570" s="55"/>
      <c r="P570" s="55"/>
      <c r="Q570" s="55"/>
      <c r="R570" s="55"/>
      <c r="S570" s="55"/>
      <c r="T570" s="55"/>
    </row>
    <row x14ac:dyDescent="0.25" r="571" customHeight="1" ht="17.25">
      <c r="A571" s="55"/>
      <c r="B571" s="100"/>
      <c r="C571" s="55"/>
      <c r="D571" s="101"/>
      <c r="E571" s="101"/>
      <c r="F571" s="102"/>
      <c r="G571" s="103"/>
      <c r="H571" s="150"/>
      <c r="I571" s="55"/>
      <c r="J571" s="105"/>
      <c r="K571" s="55"/>
      <c r="L571" s="65"/>
      <c r="M571" s="55"/>
      <c r="N571" s="55"/>
      <c r="O571" s="55"/>
      <c r="P571" s="55"/>
      <c r="Q571" s="55"/>
      <c r="R571" s="55"/>
      <c r="S571" s="55"/>
      <c r="T571" s="55"/>
    </row>
    <row x14ac:dyDescent="0.25" r="572" customHeight="1" ht="17.25">
      <c r="A572" s="55"/>
      <c r="B572" s="100"/>
      <c r="C572" s="55"/>
      <c r="D572" s="101"/>
      <c r="E572" s="101"/>
      <c r="F572" s="102"/>
      <c r="G572" s="103"/>
      <c r="H572" s="150"/>
      <c r="I572" s="55"/>
      <c r="J572" s="105"/>
      <c r="K572" s="55"/>
      <c r="L572" s="65"/>
      <c r="M572" s="55"/>
      <c r="N572" s="55"/>
      <c r="O572" s="55"/>
      <c r="P572" s="55"/>
      <c r="Q572" s="55"/>
      <c r="R572" s="55"/>
      <c r="S572" s="55"/>
      <c r="T572" s="55"/>
    </row>
    <row x14ac:dyDescent="0.25" r="573" customHeight="1" ht="17.25">
      <c r="A573" s="55"/>
      <c r="B573" s="100"/>
      <c r="C573" s="55"/>
      <c r="D573" s="101"/>
      <c r="E573" s="101"/>
      <c r="F573" s="102"/>
      <c r="G573" s="103"/>
      <c r="H573" s="150"/>
      <c r="I573" s="55"/>
      <c r="J573" s="105"/>
      <c r="K573" s="55"/>
      <c r="L573" s="65"/>
      <c r="M573" s="55"/>
      <c r="N573" s="55"/>
      <c r="O573" s="55"/>
      <c r="P573" s="55"/>
      <c r="Q573" s="55"/>
      <c r="R573" s="55"/>
      <c r="S573" s="55"/>
      <c r="T573" s="55"/>
    </row>
    <row x14ac:dyDescent="0.25" r="574" customHeight="1" ht="17.25">
      <c r="A574" s="55"/>
      <c r="B574" s="100"/>
      <c r="C574" s="55"/>
      <c r="D574" s="101"/>
      <c r="E574" s="101"/>
      <c r="F574" s="102"/>
      <c r="G574" s="103"/>
      <c r="H574" s="150"/>
      <c r="I574" s="55"/>
      <c r="J574" s="105"/>
      <c r="K574" s="55"/>
      <c r="L574" s="65"/>
      <c r="M574" s="55"/>
      <c r="N574" s="55"/>
      <c r="O574" s="55"/>
      <c r="P574" s="55"/>
      <c r="Q574" s="55"/>
      <c r="R574" s="55"/>
      <c r="S574" s="55"/>
      <c r="T574" s="55"/>
    </row>
    <row x14ac:dyDescent="0.25" r="575" customHeight="1" ht="17.25">
      <c r="A575" s="55"/>
      <c r="B575" s="100"/>
      <c r="C575" s="55"/>
      <c r="D575" s="101"/>
      <c r="E575" s="101"/>
      <c r="F575" s="102"/>
      <c r="G575" s="103"/>
      <c r="H575" s="150"/>
      <c r="I575" s="55"/>
      <c r="J575" s="105"/>
      <c r="K575" s="55"/>
      <c r="L575" s="65"/>
      <c r="M575" s="55"/>
      <c r="N575" s="55"/>
      <c r="O575" s="55"/>
      <c r="P575" s="55"/>
      <c r="Q575" s="55"/>
      <c r="R575" s="55"/>
      <c r="S575" s="55"/>
      <c r="T575" s="55"/>
    </row>
    <row x14ac:dyDescent="0.25" r="576" customHeight="1" ht="17.25">
      <c r="A576" s="55"/>
      <c r="B576" s="100"/>
      <c r="C576" s="55"/>
      <c r="D576" s="101"/>
      <c r="E576" s="101"/>
      <c r="F576" s="102"/>
      <c r="G576" s="103"/>
      <c r="H576" s="150"/>
      <c r="I576" s="55"/>
      <c r="J576" s="105"/>
      <c r="K576" s="55"/>
      <c r="L576" s="65"/>
      <c r="M576" s="55"/>
      <c r="N576" s="55"/>
      <c r="O576" s="55"/>
      <c r="P576" s="55"/>
      <c r="Q576" s="55"/>
      <c r="R576" s="55"/>
      <c r="S576" s="55"/>
      <c r="T576" s="55"/>
    </row>
    <row x14ac:dyDescent="0.25" r="577" customHeight="1" ht="17.25">
      <c r="A577" s="55"/>
      <c r="B577" s="100"/>
      <c r="C577" s="55"/>
      <c r="D577" s="101"/>
      <c r="E577" s="101"/>
      <c r="F577" s="102"/>
      <c r="G577" s="103"/>
      <c r="H577" s="150"/>
      <c r="I577" s="55"/>
      <c r="J577" s="105"/>
      <c r="K577" s="55"/>
      <c r="L577" s="65"/>
      <c r="M577" s="55"/>
      <c r="N577" s="55"/>
      <c r="O577" s="55"/>
      <c r="P577" s="55"/>
      <c r="Q577" s="55"/>
      <c r="R577" s="55"/>
      <c r="S577" s="55"/>
      <c r="T577" s="55"/>
    </row>
    <row x14ac:dyDescent="0.25" r="578" customHeight="1" ht="17.25">
      <c r="A578" s="55"/>
      <c r="B578" s="100"/>
      <c r="C578" s="55"/>
      <c r="D578" s="101"/>
      <c r="E578" s="101"/>
      <c r="F578" s="102"/>
      <c r="G578" s="103"/>
      <c r="H578" s="150"/>
      <c r="I578" s="55"/>
      <c r="J578" s="105"/>
      <c r="K578" s="55"/>
      <c r="L578" s="65"/>
      <c r="M578" s="55"/>
      <c r="N578" s="55"/>
      <c r="O578" s="55"/>
      <c r="P578" s="55"/>
      <c r="Q578" s="55"/>
      <c r="R578" s="55"/>
      <c r="S578" s="55"/>
      <c r="T578" s="55"/>
    </row>
    <row x14ac:dyDescent="0.25" r="579" customHeight="1" ht="17.25">
      <c r="A579" s="55"/>
      <c r="B579" s="100"/>
      <c r="C579" s="55"/>
      <c r="D579" s="101"/>
      <c r="E579" s="101"/>
      <c r="F579" s="102"/>
      <c r="G579" s="103"/>
      <c r="H579" s="150"/>
      <c r="I579" s="55"/>
      <c r="J579" s="105"/>
      <c r="K579" s="55"/>
      <c r="L579" s="65"/>
      <c r="M579" s="55"/>
      <c r="N579" s="55"/>
      <c r="O579" s="55"/>
      <c r="P579" s="55"/>
      <c r="Q579" s="55"/>
      <c r="R579" s="55"/>
      <c r="S579" s="55"/>
      <c r="T579" s="55"/>
    </row>
    <row x14ac:dyDescent="0.25" r="580" customHeight="1" ht="17.25">
      <c r="A580" s="55"/>
      <c r="B580" s="100"/>
      <c r="C580" s="55"/>
      <c r="D580" s="101"/>
      <c r="E580" s="101"/>
      <c r="F580" s="102"/>
      <c r="G580" s="103"/>
      <c r="H580" s="150"/>
      <c r="I580" s="55"/>
      <c r="J580" s="105"/>
      <c r="K580" s="55"/>
      <c r="L580" s="65"/>
      <c r="M580" s="55"/>
      <c r="N580" s="55"/>
      <c r="O580" s="55"/>
      <c r="P580" s="55"/>
      <c r="Q580" s="55"/>
      <c r="R580" s="55"/>
      <c r="S580" s="55"/>
      <c r="T580" s="55"/>
    </row>
    <row x14ac:dyDescent="0.25" r="581" customHeight="1" ht="17.25">
      <c r="A581" s="55"/>
      <c r="B581" s="100"/>
      <c r="C581" s="55"/>
      <c r="D581" s="101"/>
      <c r="E581" s="101"/>
      <c r="F581" s="102"/>
      <c r="G581" s="103"/>
      <c r="H581" s="150"/>
      <c r="I581" s="55"/>
      <c r="J581" s="105"/>
      <c r="K581" s="55"/>
      <c r="L581" s="65"/>
      <c r="M581" s="55"/>
      <c r="N581" s="55"/>
      <c r="O581" s="55"/>
      <c r="P581" s="55"/>
      <c r="Q581" s="55"/>
      <c r="R581" s="55"/>
      <c r="S581" s="55"/>
      <c r="T581" s="55"/>
    </row>
    <row x14ac:dyDescent="0.25" r="582" customHeight="1" ht="17.25">
      <c r="A582" s="55"/>
      <c r="B582" s="100"/>
      <c r="C582" s="55"/>
      <c r="D582" s="101"/>
      <c r="E582" s="101"/>
      <c r="F582" s="102"/>
      <c r="G582" s="103"/>
      <c r="H582" s="150"/>
      <c r="I582" s="55"/>
      <c r="J582" s="105"/>
      <c r="K582" s="55"/>
      <c r="L582" s="65"/>
      <c r="M582" s="55"/>
      <c r="N582" s="55"/>
      <c r="O582" s="55"/>
      <c r="P582" s="55"/>
      <c r="Q582" s="55"/>
      <c r="R582" s="55"/>
      <c r="S582" s="55"/>
      <c r="T582" s="55"/>
    </row>
    <row x14ac:dyDescent="0.25" r="583" customHeight="1" ht="17.25">
      <c r="A583" s="55"/>
      <c r="B583" s="100"/>
      <c r="C583" s="55"/>
      <c r="D583" s="101"/>
      <c r="E583" s="101"/>
      <c r="F583" s="102"/>
      <c r="G583" s="103"/>
      <c r="H583" s="150"/>
      <c r="I583" s="55"/>
      <c r="J583" s="105"/>
      <c r="K583" s="55"/>
      <c r="L583" s="65"/>
      <c r="M583" s="55"/>
      <c r="N583" s="55"/>
      <c r="O583" s="55"/>
      <c r="P583" s="55"/>
      <c r="Q583" s="55"/>
      <c r="R583" s="55"/>
      <c r="S583" s="55"/>
      <c r="T583" s="55"/>
    </row>
    <row x14ac:dyDescent="0.25" r="584" customHeight="1" ht="17.25">
      <c r="A584" s="55"/>
      <c r="B584" s="100"/>
      <c r="C584" s="55"/>
      <c r="D584" s="101"/>
      <c r="E584" s="101"/>
      <c r="F584" s="102"/>
      <c r="G584" s="103"/>
      <c r="H584" s="150"/>
      <c r="I584" s="55"/>
      <c r="J584" s="105"/>
      <c r="K584" s="55"/>
      <c r="L584" s="65"/>
      <c r="M584" s="55"/>
      <c r="N584" s="55"/>
      <c r="O584" s="55"/>
      <c r="P584" s="55"/>
      <c r="Q584" s="55"/>
      <c r="R584" s="55"/>
      <c r="S584" s="55"/>
      <c r="T584" s="55"/>
    </row>
    <row x14ac:dyDescent="0.25" r="585" customHeight="1" ht="17.25">
      <c r="A585" s="55"/>
      <c r="B585" s="100"/>
      <c r="C585" s="55"/>
      <c r="D585" s="101"/>
      <c r="E585" s="101"/>
      <c r="F585" s="102"/>
      <c r="G585" s="103"/>
      <c r="H585" s="150"/>
      <c r="I585" s="55"/>
      <c r="J585" s="105"/>
      <c r="K585" s="55"/>
      <c r="L585" s="65"/>
      <c r="M585" s="55"/>
      <c r="N585" s="55"/>
      <c r="O585" s="55"/>
      <c r="P585" s="55"/>
      <c r="Q585" s="55"/>
      <c r="R585" s="55"/>
      <c r="S585" s="55"/>
      <c r="T585" s="55"/>
    </row>
    <row x14ac:dyDescent="0.25" r="586" customHeight="1" ht="17.25">
      <c r="A586" s="55"/>
      <c r="B586" s="100"/>
      <c r="C586" s="55"/>
      <c r="D586" s="101"/>
      <c r="E586" s="101"/>
      <c r="F586" s="102"/>
      <c r="G586" s="103"/>
      <c r="H586" s="150"/>
      <c r="I586" s="55"/>
      <c r="J586" s="105"/>
      <c r="K586" s="55"/>
      <c r="L586" s="65"/>
      <c r="M586" s="55"/>
      <c r="N586" s="55"/>
      <c r="O586" s="55"/>
      <c r="P586" s="55"/>
      <c r="Q586" s="55"/>
      <c r="R586" s="55"/>
      <c r="S586" s="55"/>
      <c r="T586" s="55"/>
    </row>
    <row x14ac:dyDescent="0.25" r="587" customHeight="1" ht="17.25">
      <c r="A587" s="55"/>
      <c r="B587" s="100"/>
      <c r="C587" s="55"/>
      <c r="D587" s="101"/>
      <c r="E587" s="101"/>
      <c r="F587" s="102"/>
      <c r="G587" s="103"/>
      <c r="H587" s="150"/>
      <c r="I587" s="55"/>
      <c r="J587" s="105"/>
      <c r="K587" s="55"/>
      <c r="L587" s="65"/>
      <c r="M587" s="55"/>
      <c r="N587" s="55"/>
      <c r="O587" s="55"/>
      <c r="P587" s="55"/>
      <c r="Q587" s="55"/>
      <c r="R587" s="55"/>
      <c r="S587" s="55"/>
      <c r="T587" s="55"/>
    </row>
    <row x14ac:dyDescent="0.25" r="588" customHeight="1" ht="17.25">
      <c r="A588" s="55"/>
      <c r="B588" s="100"/>
      <c r="C588" s="55"/>
      <c r="D588" s="101"/>
      <c r="E588" s="101"/>
      <c r="F588" s="102"/>
      <c r="G588" s="103"/>
      <c r="H588" s="150"/>
      <c r="I588" s="55"/>
      <c r="J588" s="105"/>
      <c r="K588" s="55"/>
      <c r="L588" s="65"/>
      <c r="M588" s="55"/>
      <c r="N588" s="55"/>
      <c r="O588" s="55"/>
      <c r="P588" s="55"/>
      <c r="Q588" s="55"/>
      <c r="R588" s="55"/>
      <c r="S588" s="55"/>
      <c r="T588" s="55"/>
    </row>
    <row x14ac:dyDescent="0.25" r="589" customHeight="1" ht="17.25">
      <c r="A589" s="55"/>
      <c r="B589" s="100"/>
      <c r="C589" s="55"/>
      <c r="D589" s="101"/>
      <c r="E589" s="101"/>
      <c r="F589" s="102"/>
      <c r="G589" s="103"/>
      <c r="H589" s="150"/>
      <c r="I589" s="55"/>
      <c r="J589" s="105"/>
      <c r="K589" s="55"/>
      <c r="L589" s="65"/>
      <c r="M589" s="55"/>
      <c r="N589" s="55"/>
      <c r="O589" s="55"/>
      <c r="P589" s="55"/>
      <c r="Q589" s="55"/>
      <c r="R589" s="55"/>
      <c r="S589" s="55"/>
      <c r="T589" s="55"/>
    </row>
    <row x14ac:dyDescent="0.25" r="590" customHeight="1" ht="17.25">
      <c r="A590" s="55"/>
      <c r="B590" s="100"/>
      <c r="C590" s="55"/>
      <c r="D590" s="101"/>
      <c r="E590" s="101"/>
      <c r="F590" s="102"/>
      <c r="G590" s="103"/>
      <c r="H590" s="150"/>
      <c r="I590" s="55"/>
      <c r="J590" s="105"/>
      <c r="K590" s="55"/>
      <c r="L590" s="65"/>
      <c r="M590" s="55"/>
      <c r="N590" s="55"/>
      <c r="O590" s="55"/>
      <c r="P590" s="55"/>
      <c r="Q590" s="55"/>
      <c r="R590" s="55"/>
      <c r="S590" s="55"/>
      <c r="T590" s="55"/>
    </row>
    <row x14ac:dyDescent="0.25" r="591" customHeight="1" ht="17.25">
      <c r="A591" s="55"/>
      <c r="B591" s="100"/>
      <c r="C591" s="55"/>
      <c r="D591" s="101"/>
      <c r="E591" s="101"/>
      <c r="F591" s="102"/>
      <c r="G591" s="103"/>
      <c r="H591" s="150"/>
      <c r="I591" s="55"/>
      <c r="J591" s="105"/>
      <c r="K591" s="55"/>
      <c r="L591" s="65"/>
      <c r="M591" s="55"/>
      <c r="N591" s="55"/>
      <c r="O591" s="55"/>
      <c r="P591" s="55"/>
      <c r="Q591" s="55"/>
      <c r="R591" s="55"/>
      <c r="S591" s="55"/>
      <c r="T591" s="55"/>
    </row>
    <row x14ac:dyDescent="0.25" r="592" customHeight="1" ht="17.25">
      <c r="A592" s="55"/>
      <c r="B592" s="100"/>
      <c r="C592" s="55"/>
      <c r="D592" s="101"/>
      <c r="E592" s="101"/>
      <c r="F592" s="102"/>
      <c r="G592" s="103"/>
      <c r="H592" s="150"/>
      <c r="I592" s="55"/>
      <c r="J592" s="105"/>
      <c r="K592" s="55"/>
      <c r="L592" s="65"/>
      <c r="M592" s="55"/>
      <c r="N592" s="55"/>
      <c r="O592" s="55"/>
      <c r="P592" s="55"/>
      <c r="Q592" s="55"/>
      <c r="R592" s="55"/>
      <c r="S592" s="55"/>
      <c r="T592" s="55"/>
    </row>
    <row x14ac:dyDescent="0.25" r="593" customHeight="1" ht="17.25">
      <c r="A593" s="55"/>
      <c r="B593" s="100"/>
      <c r="C593" s="55"/>
      <c r="D593" s="101"/>
      <c r="E593" s="101"/>
      <c r="F593" s="102"/>
      <c r="G593" s="103"/>
      <c r="H593" s="150"/>
      <c r="I593" s="55"/>
      <c r="J593" s="105"/>
      <c r="K593" s="55"/>
      <c r="L593" s="65"/>
      <c r="M593" s="55"/>
      <c r="N593" s="55"/>
      <c r="O593" s="55"/>
      <c r="P593" s="55"/>
      <c r="Q593" s="55"/>
      <c r="R593" s="55"/>
      <c r="S593" s="55"/>
      <c r="T593" s="55"/>
    </row>
    <row x14ac:dyDescent="0.25" r="594" customHeight="1" ht="17.25">
      <c r="A594" s="55"/>
      <c r="B594" s="100"/>
      <c r="C594" s="55"/>
      <c r="D594" s="101"/>
      <c r="E594" s="101"/>
      <c r="F594" s="102"/>
      <c r="G594" s="103"/>
      <c r="H594" s="150"/>
      <c r="I594" s="55"/>
      <c r="J594" s="105"/>
      <c r="K594" s="55"/>
      <c r="L594" s="65"/>
      <c r="M594" s="55"/>
      <c r="N594" s="55"/>
      <c r="O594" s="55"/>
      <c r="P594" s="55"/>
      <c r="Q594" s="55"/>
      <c r="R594" s="55"/>
      <c r="S594" s="55"/>
      <c r="T594" s="55"/>
    </row>
    <row x14ac:dyDescent="0.25" r="595" customHeight="1" ht="17.25">
      <c r="A595" s="55"/>
      <c r="B595" s="100"/>
      <c r="C595" s="55"/>
      <c r="D595" s="101"/>
      <c r="E595" s="101"/>
      <c r="F595" s="102"/>
      <c r="G595" s="103"/>
      <c r="H595" s="150"/>
      <c r="I595" s="55"/>
      <c r="J595" s="105"/>
      <c r="K595" s="55"/>
      <c r="L595" s="65"/>
      <c r="M595" s="55"/>
      <c r="N595" s="55"/>
      <c r="O595" s="55"/>
      <c r="P595" s="55"/>
      <c r="Q595" s="55"/>
      <c r="R595" s="55"/>
      <c r="S595" s="55"/>
      <c r="T595" s="55"/>
    </row>
    <row x14ac:dyDescent="0.25" r="596" customHeight="1" ht="17.25">
      <c r="A596" s="55"/>
      <c r="B596" s="100"/>
      <c r="C596" s="55"/>
      <c r="D596" s="101"/>
      <c r="E596" s="101"/>
      <c r="F596" s="102"/>
      <c r="G596" s="103"/>
      <c r="H596" s="150"/>
      <c r="I596" s="55"/>
      <c r="J596" s="105"/>
      <c r="K596" s="55"/>
      <c r="L596" s="65"/>
      <c r="M596" s="55"/>
      <c r="N596" s="55"/>
      <c r="O596" s="55"/>
      <c r="P596" s="55"/>
      <c r="Q596" s="55"/>
      <c r="R596" s="55"/>
      <c r="S596" s="55"/>
      <c r="T596" s="55"/>
    </row>
    <row x14ac:dyDescent="0.25" r="597" customHeight="1" ht="17.25">
      <c r="A597" s="55"/>
      <c r="B597" s="100"/>
      <c r="C597" s="55"/>
      <c r="D597" s="101"/>
      <c r="E597" s="101"/>
      <c r="F597" s="102"/>
      <c r="G597" s="103"/>
      <c r="H597" s="150"/>
      <c r="I597" s="55"/>
      <c r="J597" s="105"/>
      <c r="K597" s="55"/>
      <c r="L597" s="65"/>
      <c r="M597" s="55"/>
      <c r="N597" s="55"/>
      <c r="O597" s="55"/>
      <c r="P597" s="55"/>
      <c r="Q597" s="55"/>
      <c r="R597" s="55"/>
      <c r="S597" s="55"/>
      <c r="T597" s="55"/>
    </row>
    <row x14ac:dyDescent="0.25" r="598" customHeight="1" ht="17.25">
      <c r="A598" s="55"/>
      <c r="B598" s="100"/>
      <c r="C598" s="55"/>
      <c r="D598" s="101"/>
      <c r="E598" s="101"/>
      <c r="F598" s="102"/>
      <c r="G598" s="103"/>
      <c r="H598" s="150"/>
      <c r="I598" s="55"/>
      <c r="J598" s="105"/>
      <c r="K598" s="55"/>
      <c r="L598" s="65"/>
      <c r="M598" s="55"/>
      <c r="N598" s="55"/>
      <c r="O598" s="55"/>
      <c r="P598" s="55"/>
      <c r="Q598" s="55"/>
      <c r="R598" s="55"/>
      <c r="S598" s="55"/>
      <c r="T598" s="55"/>
    </row>
    <row x14ac:dyDescent="0.25" r="599" customHeight="1" ht="17.25">
      <c r="A599" s="55"/>
      <c r="B599" s="100"/>
      <c r="C599" s="55"/>
      <c r="D599" s="101"/>
      <c r="E599" s="101"/>
      <c r="F599" s="102"/>
      <c r="G599" s="103"/>
      <c r="H599" s="150"/>
      <c r="I599" s="55"/>
      <c r="J599" s="105"/>
      <c r="K599" s="55"/>
      <c r="L599" s="65"/>
      <c r="M599" s="55"/>
      <c r="N599" s="55"/>
      <c r="O599" s="55"/>
      <c r="P599" s="55"/>
      <c r="Q599" s="55"/>
      <c r="R599" s="55"/>
      <c r="S599" s="55"/>
      <c r="T599" s="55"/>
    </row>
    <row x14ac:dyDescent="0.25" r="600" customHeight="1" ht="17.25">
      <c r="A600" s="55"/>
      <c r="B600" s="100"/>
      <c r="C600" s="55"/>
      <c r="D600" s="101"/>
      <c r="E600" s="101"/>
      <c r="F600" s="102"/>
      <c r="G600" s="103"/>
      <c r="H600" s="150"/>
      <c r="I600" s="55"/>
      <c r="J600" s="105"/>
      <c r="K600" s="55"/>
      <c r="L600" s="65"/>
      <c r="M600" s="55"/>
      <c r="N600" s="55"/>
      <c r="O600" s="55"/>
      <c r="P600" s="55"/>
      <c r="Q600" s="55"/>
      <c r="R600" s="55"/>
      <c r="S600" s="55"/>
      <c r="T600" s="55"/>
    </row>
    <row x14ac:dyDescent="0.25" r="601" customHeight="1" ht="17.25">
      <c r="A601" s="55"/>
      <c r="B601" s="100"/>
      <c r="C601" s="55"/>
      <c r="D601" s="101"/>
      <c r="E601" s="101"/>
      <c r="F601" s="102"/>
      <c r="G601" s="103"/>
      <c r="H601" s="150"/>
      <c r="I601" s="55"/>
      <c r="J601" s="105"/>
      <c r="K601" s="55"/>
      <c r="L601" s="65"/>
      <c r="M601" s="55"/>
      <c r="N601" s="55"/>
      <c r="O601" s="55"/>
      <c r="P601" s="55"/>
      <c r="Q601" s="55"/>
      <c r="R601" s="55"/>
      <c r="S601" s="55"/>
      <c r="T601" s="55"/>
    </row>
    <row x14ac:dyDescent="0.25" r="602" customHeight="1" ht="17.25">
      <c r="A602" s="55"/>
      <c r="B602" s="100"/>
      <c r="C602" s="55"/>
      <c r="D602" s="101"/>
      <c r="E602" s="101"/>
      <c r="F602" s="102"/>
      <c r="G602" s="103"/>
      <c r="H602" s="150"/>
      <c r="I602" s="55"/>
      <c r="J602" s="105"/>
      <c r="K602" s="55"/>
      <c r="L602" s="65"/>
      <c r="M602" s="55"/>
      <c r="N602" s="55"/>
      <c r="O602" s="55"/>
      <c r="P602" s="55"/>
      <c r="Q602" s="55"/>
      <c r="R602" s="55"/>
      <c r="S602" s="55"/>
      <c r="T602" s="55"/>
    </row>
    <row x14ac:dyDescent="0.25" r="603" customHeight="1" ht="17.25">
      <c r="A603" s="55"/>
      <c r="B603" s="100"/>
      <c r="C603" s="55"/>
      <c r="D603" s="101"/>
      <c r="E603" s="101"/>
      <c r="F603" s="102"/>
      <c r="G603" s="103"/>
      <c r="H603" s="150"/>
      <c r="I603" s="55"/>
      <c r="J603" s="105"/>
      <c r="K603" s="55"/>
      <c r="L603" s="65"/>
      <c r="M603" s="55"/>
      <c r="N603" s="55"/>
      <c r="O603" s="55"/>
      <c r="P603" s="55"/>
      <c r="Q603" s="55"/>
      <c r="R603" s="55"/>
      <c r="S603" s="55"/>
      <c r="T603" s="55"/>
    </row>
    <row x14ac:dyDescent="0.25" r="604" customHeight="1" ht="17.25">
      <c r="A604" s="55"/>
      <c r="B604" s="100"/>
      <c r="C604" s="55"/>
      <c r="D604" s="101"/>
      <c r="E604" s="101"/>
      <c r="F604" s="102"/>
      <c r="G604" s="103"/>
      <c r="H604" s="150"/>
      <c r="I604" s="55"/>
      <c r="J604" s="105"/>
      <c r="K604" s="55"/>
      <c r="L604" s="65"/>
      <c r="M604" s="55"/>
      <c r="N604" s="55"/>
      <c r="O604" s="55"/>
      <c r="P604" s="55"/>
      <c r="Q604" s="55"/>
      <c r="R604" s="55"/>
      <c r="S604" s="55"/>
      <c r="T604" s="55"/>
    </row>
    <row x14ac:dyDescent="0.25" r="605" customHeight="1" ht="17.25">
      <c r="A605" s="55"/>
      <c r="B605" s="100"/>
      <c r="C605" s="55"/>
      <c r="D605" s="101"/>
      <c r="E605" s="101"/>
      <c r="F605" s="102"/>
      <c r="G605" s="103"/>
      <c r="H605" s="150"/>
      <c r="I605" s="55"/>
      <c r="J605" s="105"/>
      <c r="K605" s="55"/>
      <c r="L605" s="65"/>
      <c r="M605" s="55"/>
      <c r="N605" s="55"/>
      <c r="O605" s="55"/>
      <c r="P605" s="55"/>
      <c r="Q605" s="55"/>
      <c r="R605" s="55"/>
      <c r="S605" s="55"/>
      <c r="T605" s="55"/>
    </row>
    <row x14ac:dyDescent="0.25" r="606" customHeight="1" ht="17.25">
      <c r="A606" s="55"/>
      <c r="B606" s="100"/>
      <c r="C606" s="55"/>
      <c r="D606" s="101"/>
      <c r="E606" s="101"/>
      <c r="F606" s="102"/>
      <c r="G606" s="103"/>
      <c r="H606" s="150"/>
      <c r="I606" s="55"/>
      <c r="J606" s="105"/>
      <c r="K606" s="55"/>
      <c r="L606" s="65"/>
      <c r="M606" s="55"/>
      <c r="N606" s="55"/>
      <c r="O606" s="55"/>
      <c r="P606" s="55"/>
      <c r="Q606" s="55"/>
      <c r="R606" s="55"/>
      <c r="S606" s="55"/>
      <c r="T606" s="55"/>
    </row>
    <row x14ac:dyDescent="0.25" r="607" customHeight="1" ht="17.25">
      <c r="A607" s="55"/>
      <c r="B607" s="100"/>
      <c r="C607" s="55"/>
      <c r="D607" s="101"/>
      <c r="E607" s="101"/>
      <c r="F607" s="102"/>
      <c r="G607" s="103"/>
      <c r="H607" s="150"/>
      <c r="I607" s="55"/>
      <c r="J607" s="105"/>
      <c r="K607" s="55"/>
      <c r="L607" s="65"/>
      <c r="M607" s="55"/>
      <c r="N607" s="55"/>
      <c r="O607" s="55"/>
      <c r="P607" s="55"/>
      <c r="Q607" s="55"/>
      <c r="R607" s="55"/>
      <c r="S607" s="55"/>
      <c r="T607" s="55"/>
    </row>
    <row x14ac:dyDescent="0.25" r="608" customHeight="1" ht="17.25">
      <c r="A608" s="55"/>
      <c r="B608" s="100"/>
      <c r="C608" s="55"/>
      <c r="D608" s="101"/>
      <c r="E608" s="101"/>
      <c r="F608" s="102"/>
      <c r="G608" s="103"/>
      <c r="H608" s="150"/>
      <c r="I608" s="55"/>
      <c r="J608" s="105"/>
      <c r="K608" s="55"/>
      <c r="L608" s="65"/>
      <c r="M608" s="55"/>
      <c r="N608" s="55"/>
      <c r="O608" s="55"/>
      <c r="P608" s="55"/>
      <c r="Q608" s="55"/>
      <c r="R608" s="55"/>
      <c r="S608" s="55"/>
      <c r="T608" s="55"/>
    </row>
    <row x14ac:dyDescent="0.25" r="609" customHeight="1" ht="17.25">
      <c r="A609" s="55"/>
      <c r="B609" s="100"/>
      <c r="C609" s="55"/>
      <c r="D609" s="101"/>
      <c r="E609" s="101"/>
      <c r="F609" s="102"/>
      <c r="G609" s="103"/>
      <c r="H609" s="150"/>
      <c r="I609" s="55"/>
      <c r="J609" s="105"/>
      <c r="K609" s="55"/>
      <c r="L609" s="65"/>
      <c r="M609" s="55"/>
      <c r="N609" s="55"/>
      <c r="O609" s="55"/>
      <c r="P609" s="55"/>
      <c r="Q609" s="55"/>
      <c r="R609" s="55"/>
      <c r="S609" s="55"/>
      <c r="T609" s="55"/>
    </row>
    <row x14ac:dyDescent="0.25" r="610" customHeight="1" ht="17.25">
      <c r="A610" s="55"/>
      <c r="B610" s="100"/>
      <c r="C610" s="55"/>
      <c r="D610" s="101"/>
      <c r="E610" s="101"/>
      <c r="F610" s="102"/>
      <c r="G610" s="103"/>
      <c r="H610" s="150"/>
      <c r="I610" s="55"/>
      <c r="J610" s="105"/>
      <c r="K610" s="55"/>
      <c r="L610" s="65"/>
      <c r="M610" s="55"/>
      <c r="N610" s="55"/>
      <c r="O610" s="55"/>
      <c r="P610" s="55"/>
      <c r="Q610" s="55"/>
      <c r="R610" s="55"/>
      <c r="S610" s="55"/>
      <c r="T610" s="55"/>
    </row>
    <row x14ac:dyDescent="0.25" r="611" customHeight="1" ht="17.25">
      <c r="A611" s="55"/>
      <c r="B611" s="100"/>
      <c r="C611" s="55"/>
      <c r="D611" s="101"/>
      <c r="E611" s="101"/>
      <c r="F611" s="102"/>
      <c r="G611" s="103"/>
      <c r="H611" s="150"/>
      <c r="I611" s="55"/>
      <c r="J611" s="105"/>
      <c r="K611" s="55"/>
      <c r="L611" s="65"/>
      <c r="M611" s="55"/>
      <c r="N611" s="55"/>
      <c r="O611" s="55"/>
      <c r="P611" s="55"/>
      <c r="Q611" s="55"/>
      <c r="R611" s="55"/>
      <c r="S611" s="55"/>
      <c r="T611" s="55"/>
    </row>
    <row x14ac:dyDescent="0.25" r="612" customHeight="1" ht="17.25">
      <c r="A612" s="55"/>
      <c r="B612" s="100"/>
      <c r="C612" s="55"/>
      <c r="D612" s="101"/>
      <c r="E612" s="101"/>
      <c r="F612" s="102"/>
      <c r="G612" s="103"/>
      <c r="H612" s="150"/>
      <c r="I612" s="55"/>
      <c r="J612" s="105"/>
      <c r="K612" s="55"/>
      <c r="L612" s="65"/>
      <c r="M612" s="55"/>
      <c r="N612" s="55"/>
      <c r="O612" s="55"/>
      <c r="P612" s="55"/>
      <c r="Q612" s="55"/>
      <c r="R612" s="55"/>
      <c r="S612" s="55"/>
      <c r="T612" s="55"/>
    </row>
    <row x14ac:dyDescent="0.25" r="613" customHeight="1" ht="17.25">
      <c r="A613" s="55"/>
      <c r="B613" s="100"/>
      <c r="C613" s="55"/>
      <c r="D613" s="101"/>
      <c r="E613" s="101"/>
      <c r="F613" s="102"/>
      <c r="G613" s="103"/>
      <c r="H613" s="150"/>
      <c r="I613" s="55"/>
      <c r="J613" s="105"/>
      <c r="K613" s="55"/>
      <c r="L613" s="65"/>
      <c r="M613" s="55"/>
      <c r="N613" s="55"/>
      <c r="O613" s="55"/>
      <c r="P613" s="55"/>
      <c r="Q613" s="55"/>
      <c r="R613" s="55"/>
      <c r="S613" s="55"/>
      <c r="T613" s="55"/>
    </row>
    <row x14ac:dyDescent="0.25" r="614" customHeight="1" ht="17.25">
      <c r="A614" s="55"/>
      <c r="B614" s="100"/>
      <c r="C614" s="55"/>
      <c r="D614" s="101"/>
      <c r="E614" s="101"/>
      <c r="F614" s="102"/>
      <c r="G614" s="103"/>
      <c r="H614" s="150"/>
      <c r="I614" s="55"/>
      <c r="J614" s="105"/>
      <c r="K614" s="55"/>
      <c r="L614" s="65"/>
      <c r="M614" s="55"/>
      <c r="N614" s="55"/>
      <c r="O614" s="55"/>
      <c r="P614" s="55"/>
      <c r="Q614" s="55"/>
      <c r="R614" s="55"/>
      <c r="S614" s="55"/>
      <c r="T614" s="55"/>
    </row>
    <row x14ac:dyDescent="0.25" r="615" customHeight="1" ht="17.25">
      <c r="A615" s="55"/>
      <c r="B615" s="100"/>
      <c r="C615" s="55"/>
      <c r="D615" s="101"/>
      <c r="E615" s="101"/>
      <c r="F615" s="102"/>
      <c r="G615" s="103"/>
      <c r="H615" s="150"/>
      <c r="I615" s="55"/>
      <c r="J615" s="105"/>
      <c r="K615" s="55"/>
      <c r="L615" s="65"/>
      <c r="M615" s="55"/>
      <c r="N615" s="55"/>
      <c r="O615" s="55"/>
      <c r="P615" s="55"/>
      <c r="Q615" s="55"/>
      <c r="R615" s="55"/>
      <c r="S615" s="55"/>
      <c r="T615" s="55"/>
    </row>
    <row x14ac:dyDescent="0.25" r="616" customHeight="1" ht="17.25">
      <c r="A616" s="55"/>
      <c r="B616" s="100"/>
      <c r="C616" s="55"/>
      <c r="D616" s="101"/>
      <c r="E616" s="101"/>
      <c r="F616" s="102"/>
      <c r="G616" s="103"/>
      <c r="H616" s="150"/>
      <c r="I616" s="55"/>
      <c r="J616" s="105"/>
      <c r="K616" s="55"/>
      <c r="L616" s="65"/>
      <c r="M616" s="55"/>
      <c r="N616" s="55"/>
      <c r="O616" s="55"/>
      <c r="P616" s="55"/>
      <c r="Q616" s="55"/>
      <c r="R616" s="55"/>
      <c r="S616" s="55"/>
      <c r="T616" s="55"/>
    </row>
    <row x14ac:dyDescent="0.25" r="617" customHeight="1" ht="17.25">
      <c r="A617" s="55"/>
      <c r="B617" s="100"/>
      <c r="C617" s="55"/>
      <c r="D617" s="101"/>
      <c r="E617" s="101"/>
      <c r="F617" s="102"/>
      <c r="G617" s="103"/>
      <c r="H617" s="150"/>
      <c r="I617" s="55"/>
      <c r="J617" s="105"/>
      <c r="K617" s="55"/>
      <c r="L617" s="65"/>
      <c r="M617" s="55"/>
      <c r="N617" s="55"/>
      <c r="O617" s="55"/>
      <c r="P617" s="55"/>
      <c r="Q617" s="55"/>
      <c r="R617" s="55"/>
      <c r="S617" s="55"/>
      <c r="T617" s="55"/>
    </row>
    <row x14ac:dyDescent="0.25" r="618" customHeight="1" ht="17.25">
      <c r="A618" s="55"/>
      <c r="B618" s="100"/>
      <c r="C618" s="55"/>
      <c r="D618" s="101"/>
      <c r="E618" s="101"/>
      <c r="F618" s="102"/>
      <c r="G618" s="103"/>
      <c r="H618" s="150"/>
      <c r="I618" s="55"/>
      <c r="J618" s="105"/>
      <c r="K618" s="55"/>
      <c r="L618" s="65"/>
      <c r="M618" s="55"/>
      <c r="N618" s="55"/>
      <c r="O618" s="55"/>
      <c r="P618" s="55"/>
      <c r="Q618" s="55"/>
      <c r="R618" s="55"/>
      <c r="S618" s="55"/>
      <c r="T618" s="55"/>
    </row>
    <row x14ac:dyDescent="0.25" r="619" customHeight="1" ht="17.25">
      <c r="A619" s="55"/>
      <c r="B619" s="100"/>
      <c r="C619" s="55"/>
      <c r="D619" s="101"/>
      <c r="E619" s="101"/>
      <c r="F619" s="102"/>
      <c r="G619" s="103"/>
      <c r="H619" s="150"/>
      <c r="I619" s="55"/>
      <c r="J619" s="105"/>
      <c r="K619" s="55"/>
      <c r="L619" s="65"/>
      <c r="M619" s="55"/>
      <c r="N619" s="55"/>
      <c r="O619" s="55"/>
      <c r="P619" s="55"/>
      <c r="Q619" s="55"/>
      <c r="R619" s="55"/>
      <c r="S619" s="55"/>
      <c r="T619" s="55"/>
    </row>
    <row x14ac:dyDescent="0.25" r="620" customHeight="1" ht="17.25">
      <c r="A620" s="55"/>
      <c r="B620" s="100"/>
      <c r="C620" s="55"/>
      <c r="D620" s="101"/>
      <c r="E620" s="101"/>
      <c r="F620" s="102"/>
      <c r="G620" s="103"/>
      <c r="H620" s="150"/>
      <c r="I620" s="55"/>
      <c r="J620" s="105"/>
      <c r="K620" s="55"/>
      <c r="L620" s="65"/>
      <c r="M620" s="55"/>
      <c r="N620" s="55"/>
      <c r="O620" s="55"/>
      <c r="P620" s="55"/>
      <c r="Q620" s="55"/>
      <c r="R620" s="55"/>
      <c r="S620" s="55"/>
      <c r="T620" s="55"/>
    </row>
    <row x14ac:dyDescent="0.25" r="621" customHeight="1" ht="17.25">
      <c r="A621" s="55"/>
      <c r="B621" s="100"/>
      <c r="C621" s="55"/>
      <c r="D621" s="101"/>
      <c r="E621" s="101"/>
      <c r="F621" s="102"/>
      <c r="G621" s="103"/>
      <c r="H621" s="150"/>
      <c r="I621" s="55"/>
      <c r="J621" s="105"/>
      <c r="K621" s="55"/>
      <c r="L621" s="65"/>
      <c r="M621" s="55"/>
      <c r="N621" s="55"/>
      <c r="O621" s="55"/>
      <c r="P621" s="55"/>
      <c r="Q621" s="55"/>
      <c r="R621" s="55"/>
      <c r="S621" s="55"/>
      <c r="T621" s="55"/>
    </row>
    <row x14ac:dyDescent="0.25" r="622" customHeight="1" ht="17.25">
      <c r="A622" s="55"/>
      <c r="B622" s="100"/>
      <c r="C622" s="55"/>
      <c r="D622" s="101"/>
      <c r="E622" s="101"/>
      <c r="F622" s="102"/>
      <c r="G622" s="103"/>
      <c r="H622" s="150"/>
      <c r="I622" s="55"/>
      <c r="J622" s="105"/>
      <c r="K622" s="55"/>
      <c r="L622" s="65"/>
      <c r="M622" s="55"/>
      <c r="N622" s="55"/>
      <c r="O622" s="55"/>
      <c r="P622" s="55"/>
      <c r="Q622" s="55"/>
      <c r="R622" s="55"/>
      <c r="S622" s="55"/>
      <c r="T622" s="55"/>
    </row>
    <row x14ac:dyDescent="0.25" r="623" customHeight="1" ht="17.25">
      <c r="A623" s="55"/>
      <c r="B623" s="100"/>
      <c r="C623" s="55"/>
      <c r="D623" s="101"/>
      <c r="E623" s="101"/>
      <c r="F623" s="102"/>
      <c r="G623" s="103"/>
      <c r="H623" s="150"/>
      <c r="I623" s="55"/>
      <c r="J623" s="105"/>
      <c r="K623" s="55"/>
      <c r="L623" s="65"/>
      <c r="M623" s="55"/>
      <c r="N623" s="55"/>
      <c r="O623" s="55"/>
      <c r="P623" s="55"/>
      <c r="Q623" s="55"/>
      <c r="R623" s="55"/>
      <c r="S623" s="55"/>
      <c r="T623" s="55"/>
    </row>
    <row x14ac:dyDescent="0.25" r="624" customHeight="1" ht="17.25">
      <c r="A624" s="55"/>
      <c r="B624" s="100"/>
      <c r="C624" s="55"/>
      <c r="D624" s="101"/>
      <c r="E624" s="101"/>
      <c r="F624" s="102"/>
      <c r="G624" s="103"/>
      <c r="H624" s="150"/>
      <c r="I624" s="55"/>
      <c r="J624" s="105"/>
      <c r="K624" s="55"/>
      <c r="L624" s="65"/>
      <c r="M624" s="55"/>
      <c r="N624" s="55"/>
      <c r="O624" s="55"/>
      <c r="P624" s="55"/>
      <c r="Q624" s="55"/>
      <c r="R624" s="55"/>
      <c r="S624" s="55"/>
      <c r="T624" s="55"/>
    </row>
    <row x14ac:dyDescent="0.25" r="625" customHeight="1" ht="17.25">
      <c r="A625" s="55"/>
      <c r="B625" s="100"/>
      <c r="C625" s="55"/>
      <c r="D625" s="101"/>
      <c r="E625" s="101"/>
      <c r="F625" s="102"/>
      <c r="G625" s="103"/>
      <c r="H625" s="150"/>
      <c r="I625" s="55"/>
      <c r="J625" s="105"/>
      <c r="K625" s="55"/>
      <c r="L625" s="65"/>
      <c r="M625" s="55"/>
      <c r="N625" s="55"/>
      <c r="O625" s="55"/>
      <c r="P625" s="55"/>
      <c r="Q625" s="55"/>
      <c r="R625" s="55"/>
      <c r="S625" s="55"/>
      <c r="T625" s="55"/>
    </row>
    <row x14ac:dyDescent="0.25" r="626" customHeight="1" ht="17.25">
      <c r="A626" s="55"/>
      <c r="B626" s="100"/>
      <c r="C626" s="55"/>
      <c r="D626" s="101"/>
      <c r="E626" s="101"/>
      <c r="F626" s="102"/>
      <c r="G626" s="103"/>
      <c r="H626" s="150"/>
      <c r="I626" s="55"/>
      <c r="J626" s="105"/>
      <c r="K626" s="55"/>
      <c r="L626" s="65"/>
      <c r="M626" s="55"/>
      <c r="N626" s="55"/>
      <c r="O626" s="55"/>
      <c r="P626" s="55"/>
      <c r="Q626" s="55"/>
      <c r="R626" s="55"/>
      <c r="S626" s="55"/>
      <c r="T626" s="55"/>
    </row>
    <row x14ac:dyDescent="0.25" r="627" customHeight="1" ht="17.25">
      <c r="A627" s="55"/>
      <c r="B627" s="100"/>
      <c r="C627" s="55"/>
      <c r="D627" s="101"/>
      <c r="E627" s="101"/>
      <c r="F627" s="102"/>
      <c r="G627" s="103"/>
      <c r="H627" s="150"/>
      <c r="I627" s="55"/>
      <c r="J627" s="105"/>
      <c r="K627" s="55"/>
      <c r="L627" s="65"/>
      <c r="M627" s="55"/>
      <c r="N627" s="55"/>
      <c r="O627" s="55"/>
      <c r="P627" s="55"/>
      <c r="Q627" s="55"/>
      <c r="R627" s="55"/>
      <c r="S627" s="55"/>
      <c r="T627" s="55"/>
    </row>
    <row x14ac:dyDescent="0.25" r="628" customHeight="1" ht="17.25">
      <c r="A628" s="55"/>
      <c r="B628" s="100"/>
      <c r="C628" s="55"/>
      <c r="D628" s="101"/>
      <c r="E628" s="101"/>
      <c r="F628" s="102"/>
      <c r="G628" s="103"/>
      <c r="H628" s="150"/>
      <c r="I628" s="55"/>
      <c r="J628" s="105"/>
      <c r="K628" s="55"/>
      <c r="L628" s="65"/>
      <c r="M628" s="55"/>
      <c r="N628" s="55"/>
      <c r="O628" s="55"/>
      <c r="P628" s="55"/>
      <c r="Q628" s="55"/>
      <c r="R628" s="55"/>
      <c r="S628" s="55"/>
      <c r="T628" s="55"/>
    </row>
    <row x14ac:dyDescent="0.25" r="629" customHeight="1" ht="17.25">
      <c r="A629" s="55"/>
      <c r="B629" s="100"/>
      <c r="C629" s="55"/>
      <c r="D629" s="101"/>
      <c r="E629" s="101"/>
      <c r="F629" s="102"/>
      <c r="G629" s="103"/>
      <c r="H629" s="150"/>
      <c r="I629" s="55"/>
      <c r="J629" s="105"/>
      <c r="K629" s="55"/>
      <c r="L629" s="65"/>
      <c r="M629" s="55"/>
      <c r="N629" s="55"/>
      <c r="O629" s="55"/>
      <c r="P629" s="55"/>
      <c r="Q629" s="55"/>
      <c r="R629" s="55"/>
      <c r="S629" s="55"/>
      <c r="T629" s="55"/>
    </row>
    <row x14ac:dyDescent="0.25" r="630" customHeight="1" ht="17.25">
      <c r="A630" s="55"/>
      <c r="B630" s="100"/>
      <c r="C630" s="55"/>
      <c r="D630" s="101"/>
      <c r="E630" s="101"/>
      <c r="F630" s="102"/>
      <c r="G630" s="103"/>
      <c r="H630" s="150"/>
      <c r="I630" s="55"/>
      <c r="J630" s="105"/>
      <c r="K630" s="55"/>
      <c r="L630" s="65"/>
      <c r="M630" s="55"/>
      <c r="N630" s="55"/>
      <c r="O630" s="55"/>
      <c r="P630" s="55"/>
      <c r="Q630" s="55"/>
      <c r="R630" s="55"/>
      <c r="S630" s="55"/>
      <c r="T630" s="55"/>
    </row>
    <row x14ac:dyDescent="0.25" r="631" customHeight="1" ht="17.25">
      <c r="A631" s="55"/>
      <c r="B631" s="100"/>
      <c r="C631" s="55"/>
      <c r="D631" s="101"/>
      <c r="E631" s="101"/>
      <c r="F631" s="102"/>
      <c r="G631" s="103"/>
      <c r="H631" s="150"/>
      <c r="I631" s="55"/>
      <c r="J631" s="105"/>
      <c r="K631" s="55"/>
      <c r="L631" s="65"/>
      <c r="M631" s="55"/>
      <c r="N631" s="55"/>
      <c r="O631" s="55"/>
      <c r="P631" s="55"/>
      <c r="Q631" s="55"/>
      <c r="R631" s="55"/>
      <c r="S631" s="55"/>
      <c r="T631" s="55"/>
    </row>
    <row x14ac:dyDescent="0.25" r="632" customHeight="1" ht="17.25">
      <c r="A632" s="55"/>
      <c r="B632" s="100"/>
      <c r="C632" s="55"/>
      <c r="D632" s="101"/>
      <c r="E632" s="101"/>
      <c r="F632" s="102"/>
      <c r="G632" s="103"/>
      <c r="H632" s="150"/>
      <c r="I632" s="55"/>
      <c r="J632" s="105"/>
      <c r="K632" s="55"/>
      <c r="L632" s="65"/>
      <c r="M632" s="55"/>
      <c r="N632" s="55"/>
      <c r="O632" s="55"/>
      <c r="P632" s="55"/>
      <c r="Q632" s="55"/>
      <c r="R632" s="55"/>
      <c r="S632" s="55"/>
      <c r="T632" s="55"/>
    </row>
    <row x14ac:dyDescent="0.25" r="633" customHeight="1" ht="17.25">
      <c r="A633" s="55"/>
      <c r="B633" s="100"/>
      <c r="C633" s="55"/>
      <c r="D633" s="101"/>
      <c r="E633" s="101"/>
      <c r="F633" s="102"/>
      <c r="G633" s="103"/>
      <c r="H633" s="150"/>
      <c r="I633" s="55"/>
      <c r="J633" s="105"/>
      <c r="K633" s="55"/>
      <c r="L633" s="65"/>
      <c r="M633" s="55"/>
      <c r="N633" s="55"/>
      <c r="O633" s="55"/>
      <c r="P633" s="55"/>
      <c r="Q633" s="55"/>
      <c r="R633" s="55"/>
      <c r="S633" s="55"/>
      <c r="T633" s="55"/>
    </row>
    <row x14ac:dyDescent="0.25" r="634" customHeight="1" ht="17.25">
      <c r="A634" s="55"/>
      <c r="B634" s="100"/>
      <c r="C634" s="55"/>
      <c r="D634" s="101"/>
      <c r="E634" s="101"/>
      <c r="F634" s="102"/>
      <c r="G634" s="103"/>
      <c r="H634" s="150"/>
      <c r="I634" s="55"/>
      <c r="J634" s="105"/>
      <c r="K634" s="55"/>
      <c r="L634" s="65"/>
      <c r="M634" s="55"/>
      <c r="N634" s="55"/>
      <c r="O634" s="55"/>
      <c r="P634" s="55"/>
      <c r="Q634" s="55"/>
      <c r="R634" s="55"/>
      <c r="S634" s="55"/>
      <c r="T634" s="55"/>
    </row>
    <row x14ac:dyDescent="0.25" r="635" customHeight="1" ht="17.25">
      <c r="A635" s="55"/>
      <c r="B635" s="100"/>
      <c r="C635" s="55"/>
      <c r="D635" s="101"/>
      <c r="E635" s="101"/>
      <c r="F635" s="102"/>
      <c r="G635" s="103"/>
      <c r="H635" s="150"/>
      <c r="I635" s="55"/>
      <c r="J635" s="105"/>
      <c r="K635" s="55"/>
      <c r="L635" s="65"/>
      <c r="M635" s="55"/>
      <c r="N635" s="55"/>
      <c r="O635" s="55"/>
      <c r="P635" s="55"/>
      <c r="Q635" s="55"/>
      <c r="R635" s="55"/>
      <c r="S635" s="55"/>
      <c r="T635" s="55"/>
    </row>
    <row x14ac:dyDescent="0.25" r="636" customHeight="1" ht="17.25">
      <c r="A636" s="55"/>
      <c r="B636" s="100"/>
      <c r="C636" s="55"/>
      <c r="D636" s="101"/>
      <c r="E636" s="101"/>
      <c r="F636" s="102"/>
      <c r="G636" s="103"/>
      <c r="H636" s="150"/>
      <c r="I636" s="55"/>
      <c r="J636" s="105"/>
      <c r="K636" s="55"/>
      <c r="L636" s="65"/>
      <c r="M636" s="55"/>
      <c r="N636" s="55"/>
      <c r="O636" s="55"/>
      <c r="P636" s="55"/>
      <c r="Q636" s="55"/>
      <c r="R636" s="55"/>
      <c r="S636" s="55"/>
      <c r="T636" s="55"/>
    </row>
    <row x14ac:dyDescent="0.25" r="637" customHeight="1" ht="17.25">
      <c r="A637" s="55"/>
      <c r="B637" s="100"/>
      <c r="C637" s="55"/>
      <c r="D637" s="101"/>
      <c r="E637" s="101"/>
      <c r="F637" s="102"/>
      <c r="G637" s="103"/>
      <c r="H637" s="150"/>
      <c r="I637" s="55"/>
      <c r="J637" s="105"/>
      <c r="K637" s="55"/>
      <c r="L637" s="65"/>
      <c r="M637" s="55"/>
      <c r="N637" s="55"/>
      <c r="O637" s="55"/>
      <c r="P637" s="55"/>
      <c r="Q637" s="55"/>
      <c r="R637" s="55"/>
      <c r="S637" s="55"/>
      <c r="T637" s="55"/>
    </row>
    <row x14ac:dyDescent="0.25" r="638" customHeight="1" ht="17.25">
      <c r="A638" s="55"/>
      <c r="B638" s="100"/>
      <c r="C638" s="55"/>
      <c r="D638" s="101"/>
      <c r="E638" s="101"/>
      <c r="F638" s="102"/>
      <c r="G638" s="103"/>
      <c r="H638" s="150"/>
      <c r="I638" s="55"/>
      <c r="J638" s="105"/>
      <c r="K638" s="55"/>
      <c r="L638" s="65"/>
      <c r="M638" s="55"/>
      <c r="N638" s="55"/>
      <c r="O638" s="55"/>
      <c r="P638" s="55"/>
      <c r="Q638" s="55"/>
      <c r="R638" s="55"/>
      <c r="S638" s="55"/>
      <c r="T638" s="55"/>
    </row>
    <row x14ac:dyDescent="0.25" r="639" customHeight="1" ht="17.25">
      <c r="A639" s="55"/>
      <c r="B639" s="100"/>
      <c r="C639" s="55"/>
      <c r="D639" s="101"/>
      <c r="E639" s="101"/>
      <c r="F639" s="102"/>
      <c r="G639" s="103"/>
      <c r="H639" s="150"/>
      <c r="I639" s="55"/>
      <c r="J639" s="105"/>
      <c r="K639" s="55"/>
      <c r="L639" s="65"/>
      <c r="M639" s="55"/>
      <c r="N639" s="55"/>
      <c r="O639" s="55"/>
      <c r="P639" s="55"/>
      <c r="Q639" s="55"/>
      <c r="R639" s="55"/>
      <c r="S639" s="55"/>
      <c r="T639" s="55"/>
    </row>
    <row x14ac:dyDescent="0.25" r="640" customHeight="1" ht="17.25">
      <c r="A640" s="55"/>
      <c r="B640" s="100"/>
      <c r="C640" s="55"/>
      <c r="D640" s="101"/>
      <c r="E640" s="101"/>
      <c r="F640" s="102"/>
      <c r="G640" s="103"/>
      <c r="H640" s="150"/>
      <c r="I640" s="55"/>
      <c r="J640" s="105"/>
      <c r="K640" s="55"/>
      <c r="L640" s="65"/>
      <c r="M640" s="55"/>
      <c r="N640" s="55"/>
      <c r="O640" s="55"/>
      <c r="P640" s="55"/>
      <c r="Q640" s="55"/>
      <c r="R640" s="55"/>
      <c r="S640" s="55"/>
      <c r="T640" s="55"/>
    </row>
    <row x14ac:dyDescent="0.25" r="641" customHeight="1" ht="17.25">
      <c r="A641" s="55"/>
      <c r="B641" s="100"/>
      <c r="C641" s="55"/>
      <c r="D641" s="101"/>
      <c r="E641" s="101"/>
      <c r="F641" s="102"/>
      <c r="G641" s="103"/>
      <c r="H641" s="150"/>
      <c r="I641" s="55"/>
      <c r="J641" s="105"/>
      <c r="K641" s="55"/>
      <c r="L641" s="65"/>
      <c r="M641" s="55"/>
      <c r="N641" s="55"/>
      <c r="O641" s="55"/>
      <c r="P641" s="55"/>
      <c r="Q641" s="55"/>
      <c r="R641" s="55"/>
      <c r="S641" s="55"/>
      <c r="T641" s="55"/>
    </row>
    <row x14ac:dyDescent="0.25" r="642" customHeight="1" ht="17.25">
      <c r="A642" s="55"/>
      <c r="B642" s="100"/>
      <c r="C642" s="55"/>
      <c r="D642" s="101"/>
      <c r="E642" s="101"/>
      <c r="F642" s="102"/>
      <c r="G642" s="103"/>
      <c r="H642" s="150"/>
      <c r="I642" s="55"/>
      <c r="J642" s="105"/>
      <c r="K642" s="55"/>
      <c r="L642" s="65"/>
      <c r="M642" s="55"/>
      <c r="N642" s="55"/>
      <c r="O642" s="55"/>
      <c r="P642" s="55"/>
      <c r="Q642" s="55"/>
      <c r="R642" s="55"/>
      <c r="S642" s="55"/>
      <c r="T642" s="55"/>
    </row>
    <row x14ac:dyDescent="0.25" r="643" customHeight="1" ht="17.25">
      <c r="A643" s="55"/>
      <c r="B643" s="100"/>
      <c r="C643" s="55"/>
      <c r="D643" s="101"/>
      <c r="E643" s="101"/>
      <c r="F643" s="102"/>
      <c r="G643" s="103"/>
      <c r="H643" s="150"/>
      <c r="I643" s="55"/>
      <c r="J643" s="105"/>
      <c r="K643" s="55"/>
      <c r="L643" s="65"/>
      <c r="M643" s="55"/>
      <c r="N643" s="55"/>
      <c r="O643" s="55"/>
      <c r="P643" s="55"/>
      <c r="Q643" s="55"/>
      <c r="R643" s="55"/>
      <c r="S643" s="55"/>
      <c r="T643" s="55"/>
    </row>
    <row x14ac:dyDescent="0.25" r="644" customHeight="1" ht="17.25">
      <c r="A644" s="55"/>
      <c r="B644" s="100"/>
      <c r="C644" s="55"/>
      <c r="D644" s="101"/>
      <c r="E644" s="101"/>
      <c r="F644" s="102"/>
      <c r="G644" s="103"/>
      <c r="H644" s="150"/>
      <c r="I644" s="55"/>
      <c r="J644" s="105"/>
      <c r="K644" s="55"/>
      <c r="L644" s="65"/>
      <c r="M644" s="55"/>
      <c r="N644" s="55"/>
      <c r="O644" s="55"/>
      <c r="P644" s="55"/>
      <c r="Q644" s="55"/>
      <c r="R644" s="55"/>
      <c r="S644" s="55"/>
      <c r="T644" s="55"/>
    </row>
    <row x14ac:dyDescent="0.25" r="645" customHeight="1" ht="17.25">
      <c r="A645" s="55"/>
      <c r="B645" s="100"/>
      <c r="C645" s="55"/>
      <c r="D645" s="101"/>
      <c r="E645" s="101"/>
      <c r="F645" s="102"/>
      <c r="G645" s="103"/>
      <c r="H645" s="150"/>
      <c r="I645" s="55"/>
      <c r="J645" s="105"/>
      <c r="K645" s="55"/>
      <c r="L645" s="65"/>
      <c r="M645" s="55"/>
      <c r="N645" s="55"/>
      <c r="O645" s="55"/>
      <c r="P645" s="55"/>
      <c r="Q645" s="55"/>
      <c r="R645" s="55"/>
      <c r="S645" s="55"/>
      <c r="T645" s="55"/>
    </row>
    <row x14ac:dyDescent="0.25" r="646" customHeight="1" ht="17.25">
      <c r="A646" s="55"/>
      <c r="B646" s="100"/>
      <c r="C646" s="55"/>
      <c r="D646" s="101"/>
      <c r="E646" s="101"/>
      <c r="F646" s="102"/>
      <c r="G646" s="103"/>
      <c r="H646" s="150"/>
      <c r="I646" s="55"/>
      <c r="J646" s="105"/>
      <c r="K646" s="55"/>
      <c r="L646" s="65"/>
      <c r="M646" s="55"/>
      <c r="N646" s="55"/>
      <c r="O646" s="55"/>
      <c r="P646" s="55"/>
      <c r="Q646" s="55"/>
      <c r="R646" s="55"/>
      <c r="S646" s="55"/>
      <c r="T646" s="55"/>
    </row>
    <row x14ac:dyDescent="0.25" r="647" customHeight="1" ht="17.25">
      <c r="A647" s="55"/>
      <c r="B647" s="100"/>
      <c r="C647" s="55"/>
      <c r="D647" s="101"/>
      <c r="E647" s="101"/>
      <c r="F647" s="102"/>
      <c r="G647" s="103"/>
      <c r="H647" s="150"/>
      <c r="I647" s="55"/>
      <c r="J647" s="105"/>
      <c r="K647" s="55"/>
      <c r="L647" s="65"/>
      <c r="M647" s="55"/>
      <c r="N647" s="55"/>
      <c r="O647" s="55"/>
      <c r="P647" s="55"/>
      <c r="Q647" s="55"/>
      <c r="R647" s="55"/>
      <c r="S647" s="55"/>
      <c r="T647" s="55"/>
    </row>
    <row x14ac:dyDescent="0.25" r="648" customHeight="1" ht="17.25">
      <c r="A648" s="55"/>
      <c r="B648" s="100"/>
      <c r="C648" s="55"/>
      <c r="D648" s="101"/>
      <c r="E648" s="101"/>
      <c r="F648" s="102"/>
      <c r="G648" s="103"/>
      <c r="H648" s="150"/>
      <c r="I648" s="55"/>
      <c r="J648" s="105"/>
      <c r="K648" s="55"/>
      <c r="L648" s="65"/>
      <c r="M648" s="55"/>
      <c r="N648" s="55"/>
      <c r="O648" s="55"/>
      <c r="P648" s="55"/>
      <c r="Q648" s="55"/>
      <c r="R648" s="55"/>
      <c r="S648" s="55"/>
      <c r="T648" s="55"/>
    </row>
    <row x14ac:dyDescent="0.25" r="649" customHeight="1" ht="17.25">
      <c r="A649" s="55"/>
      <c r="B649" s="100"/>
      <c r="C649" s="55"/>
      <c r="D649" s="101"/>
      <c r="E649" s="101"/>
      <c r="F649" s="102"/>
      <c r="G649" s="103"/>
      <c r="H649" s="150"/>
      <c r="I649" s="55"/>
      <c r="J649" s="105"/>
      <c r="K649" s="55"/>
      <c r="L649" s="65"/>
      <c r="M649" s="55"/>
      <c r="N649" s="55"/>
      <c r="O649" s="55"/>
      <c r="P649" s="55"/>
      <c r="Q649" s="55"/>
      <c r="R649" s="55"/>
      <c r="S649" s="55"/>
      <c r="T649" s="55"/>
    </row>
    <row x14ac:dyDescent="0.25" r="650" customHeight="1" ht="17.25">
      <c r="A650" s="55"/>
      <c r="B650" s="100"/>
      <c r="C650" s="55"/>
      <c r="D650" s="101"/>
      <c r="E650" s="101"/>
      <c r="F650" s="102"/>
      <c r="G650" s="103"/>
      <c r="H650" s="150"/>
      <c r="I650" s="55"/>
      <c r="J650" s="105"/>
      <c r="K650" s="55"/>
      <c r="L650" s="65"/>
      <c r="M650" s="55"/>
      <c r="N650" s="55"/>
      <c r="O650" s="55"/>
      <c r="P650" s="55"/>
      <c r="Q650" s="55"/>
      <c r="R650" s="55"/>
      <c r="S650" s="55"/>
      <c r="T650" s="55"/>
    </row>
    <row x14ac:dyDescent="0.25" r="651" customHeight="1" ht="17.25">
      <c r="A651" s="55"/>
      <c r="B651" s="100"/>
      <c r="C651" s="55"/>
      <c r="D651" s="101"/>
      <c r="E651" s="101"/>
      <c r="F651" s="102"/>
      <c r="G651" s="103"/>
      <c r="H651" s="150"/>
      <c r="I651" s="55"/>
      <c r="J651" s="105"/>
      <c r="K651" s="55"/>
      <c r="L651" s="65"/>
      <c r="M651" s="55"/>
      <c r="N651" s="55"/>
      <c r="O651" s="55"/>
      <c r="P651" s="55"/>
      <c r="Q651" s="55"/>
      <c r="R651" s="55"/>
      <c r="S651" s="55"/>
      <c r="T651" s="55"/>
    </row>
    <row x14ac:dyDescent="0.25" r="652" customHeight="1" ht="17.25">
      <c r="A652" s="55"/>
      <c r="B652" s="100"/>
      <c r="C652" s="55"/>
      <c r="D652" s="101"/>
      <c r="E652" s="101"/>
      <c r="F652" s="102"/>
      <c r="G652" s="103"/>
      <c r="H652" s="150"/>
      <c r="I652" s="55"/>
      <c r="J652" s="105"/>
      <c r="K652" s="55"/>
      <c r="L652" s="65"/>
      <c r="M652" s="55"/>
      <c r="N652" s="55"/>
      <c r="O652" s="55"/>
      <c r="P652" s="55"/>
      <c r="Q652" s="55"/>
      <c r="R652" s="55"/>
      <c r="S652" s="55"/>
      <c r="T652" s="55"/>
    </row>
    <row x14ac:dyDescent="0.25" r="653" customHeight="1" ht="17.25">
      <c r="A653" s="55"/>
      <c r="B653" s="100"/>
      <c r="C653" s="55"/>
      <c r="D653" s="101"/>
      <c r="E653" s="101"/>
      <c r="F653" s="102"/>
      <c r="G653" s="103"/>
      <c r="H653" s="150"/>
      <c r="I653" s="55"/>
      <c r="J653" s="105"/>
      <c r="K653" s="55"/>
      <c r="L653" s="65"/>
      <c r="M653" s="55"/>
      <c r="N653" s="55"/>
      <c r="O653" s="55"/>
      <c r="P653" s="55"/>
      <c r="Q653" s="55"/>
      <c r="R653" s="55"/>
      <c r="S653" s="55"/>
      <c r="T653" s="55"/>
    </row>
    <row x14ac:dyDescent="0.25" r="654" customHeight="1" ht="17.25">
      <c r="A654" s="55"/>
      <c r="B654" s="100"/>
      <c r="C654" s="55"/>
      <c r="D654" s="101"/>
      <c r="E654" s="101"/>
      <c r="F654" s="102"/>
      <c r="G654" s="103"/>
      <c r="H654" s="150"/>
      <c r="I654" s="55"/>
      <c r="J654" s="105"/>
      <c r="K654" s="55"/>
      <c r="L654" s="65"/>
      <c r="M654" s="55"/>
      <c r="N654" s="55"/>
      <c r="O654" s="55"/>
      <c r="P654" s="55"/>
      <c r="Q654" s="55"/>
      <c r="R654" s="55"/>
      <c r="S654" s="55"/>
      <c r="T654" s="55"/>
    </row>
    <row x14ac:dyDescent="0.25" r="655" customHeight="1" ht="17.25">
      <c r="A655" s="55"/>
      <c r="B655" s="100"/>
      <c r="C655" s="55"/>
      <c r="D655" s="101"/>
      <c r="E655" s="101"/>
      <c r="F655" s="102"/>
      <c r="G655" s="103"/>
      <c r="H655" s="150"/>
      <c r="I655" s="55"/>
      <c r="J655" s="105"/>
      <c r="K655" s="55"/>
      <c r="L655" s="65"/>
      <c r="M655" s="55"/>
      <c r="N655" s="55"/>
      <c r="O655" s="55"/>
      <c r="P655" s="55"/>
      <c r="Q655" s="55"/>
      <c r="R655" s="55"/>
      <c r="S655" s="55"/>
      <c r="T655" s="55"/>
    </row>
    <row x14ac:dyDescent="0.25" r="656" customHeight="1" ht="17.25">
      <c r="A656" s="55"/>
      <c r="B656" s="100"/>
      <c r="C656" s="55"/>
      <c r="D656" s="101"/>
      <c r="E656" s="101"/>
      <c r="F656" s="102"/>
      <c r="G656" s="103"/>
      <c r="H656" s="150"/>
      <c r="I656" s="55"/>
      <c r="J656" s="105"/>
      <c r="K656" s="55"/>
      <c r="L656" s="65"/>
      <c r="M656" s="55"/>
      <c r="N656" s="55"/>
      <c r="O656" s="55"/>
      <c r="P656" s="55"/>
      <c r="Q656" s="55"/>
      <c r="R656" s="55"/>
      <c r="S656" s="55"/>
      <c r="T656" s="55"/>
    </row>
    <row x14ac:dyDescent="0.25" r="657" customHeight="1" ht="17.25">
      <c r="A657" s="55"/>
      <c r="B657" s="100"/>
      <c r="C657" s="55"/>
      <c r="D657" s="101"/>
      <c r="E657" s="101"/>
      <c r="F657" s="102"/>
      <c r="G657" s="103"/>
      <c r="H657" s="150"/>
      <c r="I657" s="55"/>
      <c r="J657" s="105"/>
      <c r="K657" s="55"/>
      <c r="L657" s="65"/>
      <c r="M657" s="55"/>
      <c r="N657" s="55"/>
      <c r="O657" s="55"/>
      <c r="P657" s="55"/>
      <c r="Q657" s="55"/>
      <c r="R657" s="55"/>
      <c r="S657" s="55"/>
      <c r="T657" s="55"/>
    </row>
    <row x14ac:dyDescent="0.25" r="658" customHeight="1" ht="17.25">
      <c r="A658" s="55"/>
      <c r="B658" s="100"/>
      <c r="C658" s="55"/>
      <c r="D658" s="101"/>
      <c r="E658" s="101"/>
      <c r="F658" s="102"/>
      <c r="G658" s="103"/>
      <c r="H658" s="150"/>
      <c r="I658" s="55"/>
      <c r="J658" s="105"/>
      <c r="K658" s="55"/>
      <c r="L658" s="65"/>
      <c r="M658" s="55"/>
      <c r="N658" s="55"/>
      <c r="O658" s="55"/>
      <c r="P658" s="55"/>
      <c r="Q658" s="55"/>
      <c r="R658" s="55"/>
      <c r="S658" s="55"/>
      <c r="T658" s="55"/>
    </row>
    <row x14ac:dyDescent="0.25" r="659" customHeight="1" ht="17.25">
      <c r="A659" s="55"/>
      <c r="B659" s="100"/>
      <c r="C659" s="55"/>
      <c r="D659" s="101"/>
      <c r="E659" s="101"/>
      <c r="F659" s="102"/>
      <c r="G659" s="103"/>
      <c r="H659" s="150"/>
      <c r="I659" s="55"/>
      <c r="J659" s="105"/>
      <c r="K659" s="55"/>
      <c r="L659" s="65"/>
      <c r="M659" s="55"/>
      <c r="N659" s="55"/>
      <c r="O659" s="55"/>
      <c r="P659" s="55"/>
      <c r="Q659" s="55"/>
      <c r="R659" s="55"/>
      <c r="S659" s="55"/>
      <c r="T659" s="55"/>
    </row>
    <row x14ac:dyDescent="0.25" r="660" customHeight="1" ht="17.25">
      <c r="A660" s="55"/>
      <c r="B660" s="100"/>
      <c r="C660" s="55"/>
      <c r="D660" s="101"/>
      <c r="E660" s="101"/>
      <c r="F660" s="102"/>
      <c r="G660" s="103"/>
      <c r="H660" s="150"/>
      <c r="I660" s="55"/>
      <c r="J660" s="105"/>
      <c r="K660" s="55"/>
      <c r="L660" s="65"/>
      <c r="M660" s="55"/>
      <c r="N660" s="55"/>
      <c r="O660" s="55"/>
      <c r="P660" s="55"/>
      <c r="Q660" s="55"/>
      <c r="R660" s="55"/>
      <c r="S660" s="55"/>
      <c r="T660" s="55"/>
    </row>
    <row x14ac:dyDescent="0.25" r="661" customHeight="1" ht="17.25">
      <c r="A661" s="55"/>
      <c r="B661" s="100"/>
      <c r="C661" s="55"/>
      <c r="D661" s="101"/>
      <c r="E661" s="101"/>
      <c r="F661" s="102"/>
      <c r="G661" s="103"/>
      <c r="H661" s="150"/>
      <c r="I661" s="55"/>
      <c r="J661" s="105"/>
      <c r="K661" s="55"/>
      <c r="L661" s="65"/>
      <c r="M661" s="55"/>
      <c r="N661" s="55"/>
      <c r="O661" s="55"/>
      <c r="P661" s="55"/>
      <c r="Q661" s="55"/>
      <c r="R661" s="55"/>
      <c r="S661" s="55"/>
      <c r="T661" s="55"/>
    </row>
    <row x14ac:dyDescent="0.25" r="662" customHeight="1" ht="17.25">
      <c r="A662" s="55"/>
      <c r="B662" s="100"/>
      <c r="C662" s="55"/>
      <c r="D662" s="101"/>
      <c r="E662" s="101"/>
      <c r="F662" s="102"/>
      <c r="G662" s="103"/>
      <c r="H662" s="150"/>
      <c r="I662" s="55"/>
      <c r="J662" s="105"/>
      <c r="K662" s="55"/>
      <c r="L662" s="65"/>
      <c r="M662" s="55"/>
      <c r="N662" s="55"/>
      <c r="O662" s="55"/>
      <c r="P662" s="55"/>
      <c r="Q662" s="55"/>
      <c r="R662" s="55"/>
      <c r="S662" s="55"/>
      <c r="T662" s="55"/>
    </row>
    <row x14ac:dyDescent="0.25" r="663" customHeight="1" ht="17.25">
      <c r="A663" s="55"/>
      <c r="B663" s="100"/>
      <c r="C663" s="55"/>
      <c r="D663" s="101"/>
      <c r="E663" s="101"/>
      <c r="F663" s="102"/>
      <c r="G663" s="103"/>
      <c r="H663" s="150"/>
      <c r="I663" s="55"/>
      <c r="J663" s="105"/>
      <c r="K663" s="55"/>
      <c r="L663" s="65"/>
      <c r="M663" s="55"/>
      <c r="N663" s="55"/>
      <c r="O663" s="55"/>
      <c r="P663" s="55"/>
      <c r="Q663" s="55"/>
      <c r="R663" s="55"/>
      <c r="S663" s="55"/>
      <c r="T663" s="55"/>
    </row>
    <row x14ac:dyDescent="0.25" r="664" customHeight="1" ht="17.25">
      <c r="A664" s="55"/>
      <c r="B664" s="100"/>
      <c r="C664" s="55"/>
      <c r="D664" s="101"/>
      <c r="E664" s="101"/>
      <c r="F664" s="102"/>
      <c r="G664" s="103"/>
      <c r="H664" s="150"/>
      <c r="I664" s="55"/>
      <c r="J664" s="105"/>
      <c r="K664" s="55"/>
      <c r="L664" s="65"/>
      <c r="M664" s="55"/>
      <c r="N664" s="55"/>
      <c r="O664" s="55"/>
      <c r="P664" s="55"/>
      <c r="Q664" s="55"/>
      <c r="R664" s="55"/>
      <c r="S664" s="55"/>
      <c r="T664" s="55"/>
    </row>
    <row x14ac:dyDescent="0.25" r="665" customHeight="1" ht="17.25">
      <c r="A665" s="55"/>
      <c r="B665" s="100"/>
      <c r="C665" s="55"/>
      <c r="D665" s="101"/>
      <c r="E665" s="101"/>
      <c r="F665" s="102"/>
      <c r="G665" s="103"/>
      <c r="H665" s="150"/>
      <c r="I665" s="55"/>
      <c r="J665" s="105"/>
      <c r="K665" s="55"/>
      <c r="L665" s="65"/>
      <c r="M665" s="55"/>
      <c r="N665" s="55"/>
      <c r="O665" s="55"/>
      <c r="P665" s="55"/>
      <c r="Q665" s="55"/>
      <c r="R665" s="55"/>
      <c r="S665" s="55"/>
      <c r="T665" s="55"/>
    </row>
    <row x14ac:dyDescent="0.25" r="666" customHeight="1" ht="17.25">
      <c r="A666" s="55"/>
      <c r="B666" s="100"/>
      <c r="C666" s="55"/>
      <c r="D666" s="101"/>
      <c r="E666" s="101"/>
      <c r="F666" s="102"/>
      <c r="G666" s="103"/>
      <c r="H666" s="150"/>
      <c r="I666" s="55"/>
      <c r="J666" s="105"/>
      <c r="K666" s="55"/>
      <c r="L666" s="65"/>
      <c r="M666" s="55"/>
      <c r="N666" s="55"/>
      <c r="O666" s="55"/>
      <c r="P666" s="55"/>
      <c r="Q666" s="55"/>
      <c r="R666" s="55"/>
      <c r="S666" s="55"/>
      <c r="T666" s="55"/>
    </row>
    <row x14ac:dyDescent="0.25" r="667" customHeight="1" ht="17.25">
      <c r="A667" s="55"/>
      <c r="B667" s="100"/>
      <c r="C667" s="55"/>
      <c r="D667" s="101"/>
      <c r="E667" s="101"/>
      <c r="F667" s="102"/>
      <c r="G667" s="103"/>
      <c r="H667" s="150"/>
      <c r="I667" s="55"/>
      <c r="J667" s="105"/>
      <c r="K667" s="55"/>
      <c r="L667" s="65"/>
      <c r="M667" s="55"/>
      <c r="N667" s="55"/>
      <c r="O667" s="55"/>
      <c r="P667" s="55"/>
      <c r="Q667" s="55"/>
      <c r="R667" s="55"/>
      <c r="S667" s="55"/>
      <c r="T667" s="55"/>
    </row>
    <row x14ac:dyDescent="0.25" r="668" customHeight="1" ht="17.25">
      <c r="A668" s="55"/>
      <c r="B668" s="100"/>
      <c r="C668" s="55"/>
      <c r="D668" s="101"/>
      <c r="E668" s="101"/>
      <c r="F668" s="102"/>
      <c r="G668" s="103"/>
      <c r="H668" s="150"/>
      <c r="I668" s="55"/>
      <c r="J668" s="105"/>
      <c r="K668" s="55"/>
      <c r="L668" s="65"/>
      <c r="M668" s="55"/>
      <c r="N668" s="55"/>
      <c r="O668" s="55"/>
      <c r="P668" s="55"/>
      <c r="Q668" s="55"/>
      <c r="R668" s="55"/>
      <c r="S668" s="55"/>
      <c r="T668" s="55"/>
    </row>
    <row x14ac:dyDescent="0.25" r="669" customHeight="1" ht="17.25">
      <c r="A669" s="55"/>
      <c r="B669" s="100"/>
      <c r="C669" s="55"/>
      <c r="D669" s="101"/>
      <c r="E669" s="101"/>
      <c r="F669" s="102"/>
      <c r="G669" s="103"/>
      <c r="H669" s="150"/>
      <c r="I669" s="55"/>
      <c r="J669" s="105"/>
      <c r="K669" s="55"/>
      <c r="L669" s="65"/>
      <c r="M669" s="55"/>
      <c r="N669" s="55"/>
      <c r="O669" s="55"/>
      <c r="P669" s="55"/>
      <c r="Q669" s="55"/>
      <c r="R669" s="55"/>
      <c r="S669" s="55"/>
      <c r="T669" s="55"/>
    </row>
    <row x14ac:dyDescent="0.25" r="670" customHeight="1" ht="17.25">
      <c r="A670" s="55"/>
      <c r="B670" s="100"/>
      <c r="C670" s="55"/>
      <c r="D670" s="101"/>
      <c r="E670" s="101"/>
      <c r="F670" s="102"/>
      <c r="G670" s="103"/>
      <c r="H670" s="150"/>
      <c r="I670" s="55"/>
      <c r="J670" s="105"/>
      <c r="K670" s="55"/>
      <c r="L670" s="65"/>
      <c r="M670" s="55"/>
      <c r="N670" s="55"/>
      <c r="O670" s="55"/>
      <c r="P670" s="55"/>
      <c r="Q670" s="55"/>
      <c r="R670" s="55"/>
      <c r="S670" s="55"/>
      <c r="T670" s="55"/>
    </row>
    <row x14ac:dyDescent="0.25" r="671" customHeight="1" ht="17.25">
      <c r="A671" s="55"/>
      <c r="B671" s="100"/>
      <c r="C671" s="55"/>
      <c r="D671" s="101"/>
      <c r="E671" s="101"/>
      <c r="F671" s="102"/>
      <c r="G671" s="103"/>
      <c r="H671" s="150"/>
      <c r="I671" s="55"/>
      <c r="J671" s="105"/>
      <c r="K671" s="55"/>
      <c r="L671" s="65"/>
      <c r="M671" s="55"/>
      <c r="N671" s="55"/>
      <c r="O671" s="55"/>
      <c r="P671" s="55"/>
      <c r="Q671" s="55"/>
      <c r="R671" s="55"/>
      <c r="S671" s="55"/>
      <c r="T671" s="55"/>
    </row>
    <row x14ac:dyDescent="0.25" r="672" customHeight="1" ht="17.25">
      <c r="A672" s="55"/>
      <c r="B672" s="100"/>
      <c r="C672" s="55"/>
      <c r="D672" s="101"/>
      <c r="E672" s="101"/>
      <c r="F672" s="102"/>
      <c r="G672" s="103"/>
      <c r="H672" s="150"/>
      <c r="I672" s="55"/>
      <c r="J672" s="105"/>
      <c r="K672" s="55"/>
      <c r="L672" s="65"/>
      <c r="M672" s="55"/>
      <c r="N672" s="55"/>
      <c r="O672" s="55"/>
      <c r="P672" s="55"/>
      <c r="Q672" s="55"/>
      <c r="R672" s="55"/>
      <c r="S672" s="55"/>
      <c r="T672" s="55"/>
    </row>
    <row x14ac:dyDescent="0.25" r="673" customHeight="1" ht="17.25">
      <c r="A673" s="55"/>
      <c r="B673" s="100"/>
      <c r="C673" s="55"/>
      <c r="D673" s="101"/>
      <c r="E673" s="101"/>
      <c r="F673" s="102"/>
      <c r="G673" s="103"/>
      <c r="H673" s="150"/>
      <c r="I673" s="55"/>
      <c r="J673" s="105"/>
      <c r="K673" s="55"/>
      <c r="L673" s="65"/>
      <c r="M673" s="55"/>
      <c r="N673" s="55"/>
      <c r="O673" s="55"/>
      <c r="P673" s="55"/>
      <c r="Q673" s="55"/>
      <c r="R673" s="55"/>
      <c r="S673" s="55"/>
      <c r="T673" s="55"/>
    </row>
    <row x14ac:dyDescent="0.25" r="674" customHeight="1" ht="17.25">
      <c r="A674" s="55"/>
      <c r="B674" s="100"/>
      <c r="C674" s="55"/>
      <c r="D674" s="101"/>
      <c r="E674" s="101"/>
      <c r="F674" s="102"/>
      <c r="G674" s="103"/>
      <c r="H674" s="150"/>
      <c r="I674" s="55"/>
      <c r="J674" s="105"/>
      <c r="K674" s="55"/>
      <c r="L674" s="65"/>
      <c r="M674" s="55"/>
      <c r="N674" s="55"/>
      <c r="O674" s="55"/>
      <c r="P674" s="55"/>
      <c r="Q674" s="55"/>
      <c r="R674" s="55"/>
      <c r="S674" s="55"/>
      <c r="T674" s="55"/>
    </row>
    <row x14ac:dyDescent="0.25" r="675" customHeight="1" ht="17.25">
      <c r="A675" s="55"/>
      <c r="B675" s="100"/>
      <c r="C675" s="55"/>
      <c r="D675" s="101"/>
      <c r="E675" s="101"/>
      <c r="F675" s="102"/>
      <c r="G675" s="103"/>
      <c r="H675" s="150"/>
      <c r="I675" s="55"/>
      <c r="J675" s="105"/>
      <c r="K675" s="55"/>
      <c r="L675" s="65"/>
      <c r="M675" s="55"/>
      <c r="N675" s="55"/>
      <c r="O675" s="55"/>
      <c r="P675" s="55"/>
      <c r="Q675" s="55"/>
      <c r="R675" s="55"/>
      <c r="S675" s="55"/>
      <c r="T675" s="55"/>
    </row>
    <row x14ac:dyDescent="0.25" r="676" customHeight="1" ht="17.25">
      <c r="A676" s="55"/>
      <c r="B676" s="100"/>
      <c r="C676" s="55"/>
      <c r="D676" s="101"/>
      <c r="E676" s="101"/>
      <c r="F676" s="102"/>
      <c r="G676" s="103"/>
      <c r="H676" s="150"/>
      <c r="I676" s="55"/>
      <c r="J676" s="105"/>
      <c r="K676" s="55"/>
      <c r="L676" s="65"/>
      <c r="M676" s="55"/>
      <c r="N676" s="55"/>
      <c r="O676" s="55"/>
      <c r="P676" s="55"/>
      <c r="Q676" s="55"/>
      <c r="R676" s="55"/>
      <c r="S676" s="55"/>
      <c r="T676" s="55"/>
    </row>
    <row x14ac:dyDescent="0.25" r="677" customHeight="1" ht="17.25">
      <c r="A677" s="55"/>
      <c r="B677" s="100"/>
      <c r="C677" s="55"/>
      <c r="D677" s="101"/>
      <c r="E677" s="101"/>
      <c r="F677" s="102"/>
      <c r="G677" s="103"/>
      <c r="H677" s="150"/>
      <c r="I677" s="55"/>
      <c r="J677" s="105"/>
      <c r="K677" s="55"/>
      <c r="L677" s="65"/>
      <c r="M677" s="55"/>
      <c r="N677" s="55"/>
      <c r="O677" s="55"/>
      <c r="P677" s="55"/>
      <c r="Q677" s="55"/>
      <c r="R677" s="55"/>
      <c r="S677" s="55"/>
      <c r="T677" s="55"/>
    </row>
    <row x14ac:dyDescent="0.25" r="678" customHeight="1" ht="17.25">
      <c r="A678" s="55"/>
      <c r="B678" s="100"/>
      <c r="C678" s="55"/>
      <c r="D678" s="101"/>
      <c r="E678" s="101"/>
      <c r="F678" s="102"/>
      <c r="G678" s="103"/>
      <c r="H678" s="150"/>
      <c r="I678" s="55"/>
      <c r="J678" s="105"/>
      <c r="K678" s="55"/>
      <c r="L678" s="65"/>
      <c r="M678" s="55"/>
      <c r="N678" s="55"/>
      <c r="O678" s="55"/>
      <c r="P678" s="55"/>
      <c r="Q678" s="55"/>
      <c r="R678" s="55"/>
      <c r="S678" s="55"/>
      <c r="T678" s="55"/>
    </row>
    <row x14ac:dyDescent="0.25" r="679" customHeight="1" ht="17.25">
      <c r="A679" s="55"/>
      <c r="B679" s="100"/>
      <c r="C679" s="55"/>
      <c r="D679" s="101"/>
      <c r="E679" s="101"/>
      <c r="F679" s="102"/>
      <c r="G679" s="103"/>
      <c r="H679" s="150"/>
      <c r="I679" s="55"/>
      <c r="J679" s="105"/>
      <c r="K679" s="55"/>
      <c r="L679" s="65"/>
      <c r="M679" s="55"/>
      <c r="N679" s="55"/>
      <c r="O679" s="55"/>
      <c r="P679" s="55"/>
      <c r="Q679" s="55"/>
      <c r="R679" s="55"/>
      <c r="S679" s="55"/>
      <c r="T679" s="55"/>
    </row>
    <row x14ac:dyDescent="0.25" r="680" customHeight="1" ht="17.25">
      <c r="A680" s="55"/>
      <c r="B680" s="100"/>
      <c r="C680" s="55"/>
      <c r="D680" s="101"/>
      <c r="E680" s="101"/>
      <c r="F680" s="102"/>
      <c r="G680" s="103"/>
      <c r="H680" s="150"/>
      <c r="I680" s="55"/>
      <c r="J680" s="105"/>
      <c r="K680" s="55"/>
      <c r="L680" s="65"/>
      <c r="M680" s="55"/>
      <c r="N680" s="55"/>
      <c r="O680" s="55"/>
      <c r="P680" s="55"/>
      <c r="Q680" s="55"/>
      <c r="R680" s="55"/>
      <c r="S680" s="55"/>
      <c r="T680" s="55"/>
    </row>
    <row x14ac:dyDescent="0.25" r="681" customHeight="1" ht="17.25">
      <c r="A681" s="55"/>
      <c r="B681" s="100"/>
      <c r="C681" s="55"/>
      <c r="D681" s="101"/>
      <c r="E681" s="101"/>
      <c r="F681" s="102"/>
      <c r="G681" s="103"/>
      <c r="H681" s="150"/>
      <c r="I681" s="55"/>
      <c r="J681" s="105"/>
      <c r="K681" s="55"/>
      <c r="L681" s="65"/>
      <c r="M681" s="55"/>
      <c r="N681" s="55"/>
      <c r="O681" s="55"/>
      <c r="P681" s="55"/>
      <c r="Q681" s="55"/>
      <c r="R681" s="55"/>
      <c r="S681" s="55"/>
      <c r="T681" s="55"/>
    </row>
    <row x14ac:dyDescent="0.25" r="682" customHeight="1" ht="17.25">
      <c r="A682" s="55"/>
      <c r="B682" s="100"/>
      <c r="C682" s="55"/>
      <c r="D682" s="101"/>
      <c r="E682" s="101"/>
      <c r="F682" s="102"/>
      <c r="G682" s="103"/>
      <c r="H682" s="150"/>
      <c r="I682" s="55"/>
      <c r="J682" s="105"/>
      <c r="K682" s="55"/>
      <c r="L682" s="65"/>
      <c r="M682" s="55"/>
      <c r="N682" s="55"/>
      <c r="O682" s="55"/>
      <c r="P682" s="55"/>
      <c r="Q682" s="55"/>
      <c r="R682" s="55"/>
      <c r="S682" s="55"/>
      <c r="T682" s="55"/>
    </row>
    <row x14ac:dyDescent="0.25" r="683" customHeight="1" ht="17.25">
      <c r="A683" s="55"/>
      <c r="B683" s="100"/>
      <c r="C683" s="55"/>
      <c r="D683" s="101"/>
      <c r="E683" s="101"/>
      <c r="F683" s="102"/>
      <c r="G683" s="103"/>
      <c r="H683" s="150"/>
      <c r="I683" s="55"/>
      <c r="J683" s="105"/>
      <c r="K683" s="55"/>
      <c r="L683" s="65"/>
      <c r="M683" s="55"/>
      <c r="N683" s="55"/>
      <c r="O683" s="55"/>
      <c r="P683" s="55"/>
      <c r="Q683" s="55"/>
      <c r="R683" s="55"/>
      <c r="S683" s="55"/>
      <c r="T683" s="55"/>
    </row>
    <row x14ac:dyDescent="0.25" r="684" customHeight="1" ht="17.25">
      <c r="A684" s="55"/>
      <c r="B684" s="100"/>
      <c r="C684" s="55"/>
      <c r="D684" s="101"/>
      <c r="E684" s="101"/>
      <c r="F684" s="102"/>
      <c r="G684" s="103"/>
      <c r="H684" s="150"/>
      <c r="I684" s="55"/>
      <c r="J684" s="105"/>
      <c r="K684" s="55"/>
      <c r="L684" s="65"/>
      <c r="M684" s="55"/>
      <c r="N684" s="55"/>
      <c r="O684" s="55"/>
      <c r="P684" s="55"/>
      <c r="Q684" s="55"/>
      <c r="R684" s="55"/>
      <c r="S684" s="55"/>
      <c r="T684" s="55"/>
    </row>
    <row x14ac:dyDescent="0.25" r="685" customHeight="1" ht="17.25">
      <c r="A685" s="55"/>
      <c r="B685" s="100"/>
      <c r="C685" s="55"/>
      <c r="D685" s="101"/>
      <c r="E685" s="101"/>
      <c r="F685" s="102"/>
      <c r="G685" s="103"/>
      <c r="H685" s="150"/>
      <c r="I685" s="55"/>
      <c r="J685" s="105"/>
      <c r="K685" s="55"/>
      <c r="L685" s="65"/>
      <c r="M685" s="55"/>
      <c r="N685" s="55"/>
      <c r="O685" s="55"/>
      <c r="P685" s="55"/>
      <c r="Q685" s="55"/>
      <c r="R685" s="55"/>
      <c r="S685" s="55"/>
      <c r="T685" s="55"/>
    </row>
    <row x14ac:dyDescent="0.25" r="686" customHeight="1" ht="17.25">
      <c r="A686" s="55"/>
      <c r="B686" s="100"/>
      <c r="C686" s="55"/>
      <c r="D686" s="101"/>
      <c r="E686" s="101"/>
      <c r="F686" s="102"/>
      <c r="G686" s="103"/>
      <c r="H686" s="150"/>
      <c r="I686" s="55"/>
      <c r="J686" s="105"/>
      <c r="K686" s="55"/>
      <c r="L686" s="65"/>
      <c r="M686" s="55"/>
      <c r="N686" s="55"/>
      <c r="O686" s="55"/>
      <c r="P686" s="55"/>
      <c r="Q686" s="55"/>
      <c r="R686" s="55"/>
      <c r="S686" s="55"/>
      <c r="T686" s="55"/>
    </row>
    <row x14ac:dyDescent="0.25" r="687" customHeight="1" ht="17.25">
      <c r="A687" s="55"/>
      <c r="B687" s="100"/>
      <c r="C687" s="55"/>
      <c r="D687" s="101"/>
      <c r="E687" s="101"/>
      <c r="F687" s="102"/>
      <c r="G687" s="103"/>
      <c r="H687" s="150"/>
      <c r="I687" s="55"/>
      <c r="J687" s="105"/>
      <c r="K687" s="55"/>
      <c r="L687" s="65"/>
      <c r="M687" s="55"/>
      <c r="N687" s="55"/>
      <c r="O687" s="55"/>
      <c r="P687" s="55"/>
      <c r="Q687" s="55"/>
      <c r="R687" s="55"/>
      <c r="S687" s="55"/>
      <c r="T687" s="55"/>
    </row>
    <row x14ac:dyDescent="0.25" r="688" customHeight="1" ht="17.25">
      <c r="A688" s="55"/>
      <c r="B688" s="100"/>
      <c r="C688" s="55"/>
      <c r="D688" s="101"/>
      <c r="E688" s="101"/>
      <c r="F688" s="102"/>
      <c r="G688" s="103"/>
      <c r="H688" s="150"/>
      <c r="I688" s="55"/>
      <c r="J688" s="105"/>
      <c r="K688" s="55"/>
      <c r="L688" s="65"/>
      <c r="M688" s="55"/>
      <c r="N688" s="55"/>
      <c r="O688" s="55"/>
      <c r="P688" s="55"/>
      <c r="Q688" s="55"/>
      <c r="R688" s="55"/>
      <c r="S688" s="55"/>
      <c r="T688" s="55"/>
    </row>
    <row x14ac:dyDescent="0.25" r="689" customHeight="1" ht="17.25">
      <c r="A689" s="55"/>
      <c r="B689" s="100"/>
      <c r="C689" s="55"/>
      <c r="D689" s="101"/>
      <c r="E689" s="101"/>
      <c r="F689" s="102"/>
      <c r="G689" s="103"/>
      <c r="H689" s="150"/>
      <c r="I689" s="55"/>
      <c r="J689" s="105"/>
      <c r="K689" s="55"/>
      <c r="L689" s="65"/>
      <c r="M689" s="55"/>
      <c r="N689" s="55"/>
      <c r="O689" s="55"/>
      <c r="P689" s="55"/>
      <c r="Q689" s="55"/>
      <c r="R689" s="55"/>
      <c r="S689" s="55"/>
      <c r="T689" s="55"/>
    </row>
    <row x14ac:dyDescent="0.25" r="690" customHeight="1" ht="17.25">
      <c r="A690" s="55"/>
      <c r="B690" s="100"/>
      <c r="C690" s="55"/>
      <c r="D690" s="101"/>
      <c r="E690" s="101"/>
      <c r="F690" s="102"/>
      <c r="G690" s="103"/>
      <c r="H690" s="150"/>
      <c r="I690" s="55"/>
      <c r="J690" s="105"/>
      <c r="K690" s="55"/>
      <c r="L690" s="65"/>
      <c r="M690" s="55"/>
      <c r="N690" s="55"/>
      <c r="O690" s="55"/>
      <c r="P690" s="55"/>
      <c r="Q690" s="55"/>
      <c r="R690" s="55"/>
      <c r="S690" s="55"/>
      <c r="T690" s="55"/>
    </row>
    <row x14ac:dyDescent="0.25" r="691" customHeight="1" ht="17.25">
      <c r="A691" s="55"/>
      <c r="B691" s="100"/>
      <c r="C691" s="55"/>
      <c r="D691" s="101"/>
      <c r="E691" s="101"/>
      <c r="F691" s="102"/>
      <c r="G691" s="103"/>
      <c r="H691" s="150"/>
      <c r="I691" s="55"/>
      <c r="J691" s="105"/>
      <c r="K691" s="55"/>
      <c r="L691" s="65"/>
      <c r="M691" s="55"/>
      <c r="N691" s="55"/>
      <c r="O691" s="55"/>
      <c r="P691" s="55"/>
      <c r="Q691" s="55"/>
      <c r="R691" s="55"/>
      <c r="S691" s="55"/>
      <c r="T691" s="55"/>
    </row>
    <row x14ac:dyDescent="0.25" r="692" customHeight="1" ht="17.25">
      <c r="A692" s="55"/>
      <c r="B692" s="100"/>
      <c r="C692" s="55"/>
      <c r="D692" s="101"/>
      <c r="E692" s="101"/>
      <c r="F692" s="102"/>
      <c r="G692" s="103"/>
      <c r="H692" s="150"/>
      <c r="I692" s="55"/>
      <c r="J692" s="105"/>
      <c r="K692" s="55"/>
      <c r="L692" s="65"/>
      <c r="M692" s="55"/>
      <c r="N692" s="55"/>
      <c r="O692" s="55"/>
      <c r="P692" s="55"/>
      <c r="Q692" s="55"/>
      <c r="R692" s="55"/>
      <c r="S692" s="55"/>
      <c r="T692" s="55"/>
    </row>
    <row x14ac:dyDescent="0.25" r="693" customHeight="1" ht="17.25">
      <c r="A693" s="55"/>
      <c r="B693" s="100"/>
      <c r="C693" s="55"/>
      <c r="D693" s="101"/>
      <c r="E693" s="101"/>
      <c r="F693" s="102"/>
      <c r="G693" s="103"/>
      <c r="H693" s="150"/>
      <c r="I693" s="55"/>
      <c r="J693" s="105"/>
      <c r="K693" s="55"/>
      <c r="L693" s="65"/>
      <c r="M693" s="55"/>
      <c r="N693" s="55"/>
      <c r="O693" s="55"/>
      <c r="P693" s="55"/>
      <c r="Q693" s="55"/>
      <c r="R693" s="55"/>
      <c r="S693" s="55"/>
      <c r="T693" s="55"/>
    </row>
    <row x14ac:dyDescent="0.25" r="694" customHeight="1" ht="17.25">
      <c r="A694" s="55"/>
      <c r="B694" s="100"/>
      <c r="C694" s="55"/>
      <c r="D694" s="101"/>
      <c r="E694" s="101"/>
      <c r="F694" s="102"/>
      <c r="G694" s="103"/>
      <c r="H694" s="150"/>
      <c r="I694" s="55"/>
      <c r="J694" s="105"/>
      <c r="K694" s="55"/>
      <c r="L694" s="65"/>
      <c r="M694" s="55"/>
      <c r="N694" s="55"/>
      <c r="O694" s="55"/>
      <c r="P694" s="55"/>
      <c r="Q694" s="55"/>
      <c r="R694" s="55"/>
      <c r="S694" s="55"/>
      <c r="T694" s="55"/>
    </row>
    <row x14ac:dyDescent="0.25" r="695" customHeight="1" ht="17.25">
      <c r="A695" s="55"/>
      <c r="B695" s="100"/>
      <c r="C695" s="55"/>
      <c r="D695" s="101"/>
      <c r="E695" s="101"/>
      <c r="F695" s="102"/>
      <c r="G695" s="103"/>
      <c r="H695" s="150"/>
      <c r="I695" s="55"/>
      <c r="J695" s="105"/>
      <c r="K695" s="55"/>
      <c r="L695" s="65"/>
      <c r="M695" s="55"/>
      <c r="N695" s="55"/>
      <c r="O695" s="55"/>
      <c r="P695" s="55"/>
      <c r="Q695" s="55"/>
      <c r="R695" s="55"/>
      <c r="S695" s="55"/>
      <c r="T695" s="55"/>
    </row>
    <row x14ac:dyDescent="0.25" r="696" customHeight="1" ht="17.25">
      <c r="A696" s="55"/>
      <c r="B696" s="100"/>
      <c r="C696" s="55"/>
      <c r="D696" s="101"/>
      <c r="E696" s="101"/>
      <c r="F696" s="102"/>
      <c r="G696" s="103"/>
      <c r="H696" s="150"/>
      <c r="I696" s="55"/>
      <c r="J696" s="105"/>
      <c r="K696" s="55"/>
      <c r="L696" s="65"/>
      <c r="M696" s="55"/>
      <c r="N696" s="55"/>
      <c r="O696" s="55"/>
      <c r="P696" s="55"/>
      <c r="Q696" s="55"/>
      <c r="R696" s="55"/>
      <c r="S696" s="55"/>
      <c r="T696" s="55"/>
    </row>
    <row x14ac:dyDescent="0.25" r="697" customHeight="1" ht="17.25">
      <c r="A697" s="55"/>
      <c r="B697" s="100"/>
      <c r="C697" s="55"/>
      <c r="D697" s="101"/>
      <c r="E697" s="101"/>
      <c r="F697" s="102"/>
      <c r="G697" s="103"/>
      <c r="H697" s="150"/>
      <c r="I697" s="55"/>
      <c r="J697" s="105"/>
      <c r="K697" s="55"/>
      <c r="L697" s="65"/>
      <c r="M697" s="55"/>
      <c r="N697" s="55"/>
      <c r="O697" s="55"/>
      <c r="P697" s="55"/>
      <c r="Q697" s="55"/>
      <c r="R697" s="55"/>
      <c r="S697" s="55"/>
      <c r="T697" s="55"/>
    </row>
    <row x14ac:dyDescent="0.25" r="698" customHeight="1" ht="17.25">
      <c r="A698" s="55"/>
      <c r="B698" s="100"/>
      <c r="C698" s="55"/>
      <c r="D698" s="101"/>
      <c r="E698" s="101"/>
      <c r="F698" s="102"/>
      <c r="G698" s="103"/>
      <c r="H698" s="150"/>
      <c r="I698" s="55"/>
      <c r="J698" s="105"/>
      <c r="K698" s="55"/>
      <c r="L698" s="65"/>
      <c r="M698" s="55"/>
      <c r="N698" s="55"/>
      <c r="O698" s="55"/>
      <c r="P698" s="55"/>
      <c r="Q698" s="55"/>
      <c r="R698" s="55"/>
      <c r="S698" s="55"/>
      <c r="T698" s="55"/>
    </row>
    <row x14ac:dyDescent="0.25" r="699" customHeight="1" ht="17.25">
      <c r="A699" s="55"/>
      <c r="B699" s="100"/>
      <c r="C699" s="55"/>
      <c r="D699" s="101"/>
      <c r="E699" s="101"/>
      <c r="F699" s="102"/>
      <c r="G699" s="103"/>
      <c r="H699" s="150"/>
      <c r="I699" s="55"/>
      <c r="J699" s="105"/>
      <c r="K699" s="55"/>
      <c r="L699" s="65"/>
      <c r="M699" s="55"/>
      <c r="N699" s="55"/>
      <c r="O699" s="55"/>
      <c r="P699" s="55"/>
      <c r="Q699" s="55"/>
      <c r="R699" s="55"/>
      <c r="S699" s="55"/>
      <c r="T699" s="55"/>
    </row>
    <row x14ac:dyDescent="0.25" r="700" customHeight="1" ht="17.25">
      <c r="A700" s="55"/>
      <c r="B700" s="100"/>
      <c r="C700" s="55"/>
      <c r="D700" s="101"/>
      <c r="E700" s="101"/>
      <c r="F700" s="102"/>
      <c r="G700" s="103"/>
      <c r="H700" s="150"/>
      <c r="I700" s="55"/>
      <c r="J700" s="105"/>
      <c r="K700" s="55"/>
      <c r="L700" s="65"/>
      <c r="M700" s="55"/>
      <c r="N700" s="55"/>
      <c r="O700" s="55"/>
      <c r="P700" s="55"/>
      <c r="Q700" s="55"/>
      <c r="R700" s="55"/>
      <c r="S700" s="55"/>
      <c r="T700" s="55"/>
    </row>
    <row x14ac:dyDescent="0.25" r="701" customHeight="1" ht="17.25">
      <c r="A701" s="55"/>
      <c r="B701" s="100"/>
      <c r="C701" s="55"/>
      <c r="D701" s="101"/>
      <c r="E701" s="101"/>
      <c r="F701" s="102"/>
      <c r="G701" s="103"/>
      <c r="H701" s="150"/>
      <c r="I701" s="55"/>
      <c r="J701" s="105"/>
      <c r="K701" s="55"/>
      <c r="L701" s="65"/>
      <c r="M701" s="55"/>
      <c r="N701" s="55"/>
      <c r="O701" s="55"/>
      <c r="P701" s="55"/>
      <c r="Q701" s="55"/>
      <c r="R701" s="55"/>
      <c r="S701" s="55"/>
      <c r="T701" s="55"/>
    </row>
    <row x14ac:dyDescent="0.25" r="702" customHeight="1" ht="17.25">
      <c r="A702" s="55"/>
      <c r="B702" s="100"/>
      <c r="C702" s="55"/>
      <c r="D702" s="101"/>
      <c r="E702" s="101"/>
      <c r="F702" s="102"/>
      <c r="G702" s="103"/>
      <c r="H702" s="150"/>
      <c r="I702" s="55"/>
      <c r="J702" s="105"/>
      <c r="K702" s="55"/>
      <c r="L702" s="65"/>
      <c r="M702" s="55"/>
      <c r="N702" s="55"/>
      <c r="O702" s="55"/>
      <c r="P702" s="55"/>
      <c r="Q702" s="55"/>
      <c r="R702" s="55"/>
      <c r="S702" s="55"/>
      <c r="T702" s="55"/>
    </row>
    <row x14ac:dyDescent="0.25" r="703" customHeight="1" ht="17.25">
      <c r="A703" s="55"/>
      <c r="B703" s="100"/>
      <c r="C703" s="55"/>
      <c r="D703" s="101"/>
      <c r="E703" s="101"/>
      <c r="F703" s="102"/>
      <c r="G703" s="103"/>
      <c r="H703" s="150"/>
      <c r="I703" s="55"/>
      <c r="J703" s="105"/>
      <c r="K703" s="55"/>
      <c r="L703" s="65"/>
      <c r="M703" s="55"/>
      <c r="N703" s="55"/>
      <c r="O703" s="55"/>
      <c r="P703" s="55"/>
      <c r="Q703" s="55"/>
      <c r="R703" s="55"/>
      <c r="S703" s="55"/>
      <c r="T703" s="55"/>
    </row>
    <row x14ac:dyDescent="0.25" r="704" customHeight="1" ht="17.25">
      <c r="A704" s="55"/>
      <c r="B704" s="100"/>
      <c r="C704" s="55"/>
      <c r="D704" s="101"/>
      <c r="E704" s="101"/>
      <c r="F704" s="102"/>
      <c r="G704" s="103"/>
      <c r="H704" s="150"/>
      <c r="I704" s="55"/>
      <c r="J704" s="105"/>
      <c r="K704" s="55"/>
      <c r="L704" s="65"/>
      <c r="M704" s="55"/>
      <c r="N704" s="55"/>
      <c r="O704" s="55"/>
      <c r="P704" s="55"/>
      <c r="Q704" s="55"/>
      <c r="R704" s="55"/>
      <c r="S704" s="55"/>
      <c r="T704" s="55"/>
    </row>
    <row x14ac:dyDescent="0.25" r="705" customHeight="1" ht="17.25">
      <c r="A705" s="55"/>
      <c r="B705" s="100"/>
      <c r="C705" s="55"/>
      <c r="D705" s="101"/>
      <c r="E705" s="101"/>
      <c r="F705" s="102"/>
      <c r="G705" s="103"/>
      <c r="H705" s="150"/>
      <c r="I705" s="55"/>
      <c r="J705" s="105"/>
      <c r="K705" s="55"/>
      <c r="L705" s="65"/>
      <c r="M705" s="55"/>
      <c r="N705" s="55"/>
      <c r="O705" s="55"/>
      <c r="P705" s="55"/>
      <c r="Q705" s="55"/>
      <c r="R705" s="55"/>
      <c r="S705" s="55"/>
      <c r="T705" s="55"/>
    </row>
    <row x14ac:dyDescent="0.25" r="706" customHeight="1" ht="17.25">
      <c r="A706" s="55"/>
      <c r="B706" s="100"/>
      <c r="C706" s="55"/>
      <c r="D706" s="101"/>
      <c r="E706" s="101"/>
      <c r="F706" s="102"/>
      <c r="G706" s="103"/>
      <c r="H706" s="150"/>
      <c r="I706" s="55"/>
      <c r="J706" s="105"/>
      <c r="K706" s="55"/>
      <c r="L706" s="65"/>
      <c r="M706" s="55"/>
      <c r="N706" s="55"/>
      <c r="O706" s="55"/>
      <c r="P706" s="55"/>
      <c r="Q706" s="55"/>
      <c r="R706" s="55"/>
      <c r="S706" s="55"/>
      <c r="T706" s="55"/>
    </row>
    <row x14ac:dyDescent="0.25" r="707" customHeight="1" ht="17.25">
      <c r="A707" s="55"/>
      <c r="B707" s="100"/>
      <c r="C707" s="55"/>
      <c r="D707" s="101"/>
      <c r="E707" s="101"/>
      <c r="F707" s="102"/>
      <c r="G707" s="103"/>
      <c r="H707" s="150"/>
      <c r="I707" s="55"/>
      <c r="J707" s="105"/>
      <c r="K707" s="55"/>
      <c r="L707" s="65"/>
      <c r="M707" s="55"/>
      <c r="N707" s="55"/>
      <c r="O707" s="55"/>
      <c r="P707" s="55"/>
      <c r="Q707" s="55"/>
      <c r="R707" s="55"/>
      <c r="S707" s="55"/>
      <c r="T707" s="55"/>
    </row>
    <row x14ac:dyDescent="0.25" r="708" customHeight="1" ht="17.25">
      <c r="A708" s="55"/>
      <c r="B708" s="100"/>
      <c r="C708" s="55"/>
      <c r="D708" s="101"/>
      <c r="E708" s="101"/>
      <c r="F708" s="102"/>
      <c r="G708" s="103"/>
      <c r="H708" s="150"/>
      <c r="I708" s="55"/>
      <c r="J708" s="105"/>
      <c r="K708" s="55"/>
      <c r="L708" s="65"/>
      <c r="M708" s="55"/>
      <c r="N708" s="55"/>
      <c r="O708" s="55"/>
      <c r="P708" s="55"/>
      <c r="Q708" s="55"/>
      <c r="R708" s="55"/>
      <c r="S708" s="55"/>
      <c r="T708" s="55"/>
    </row>
    <row x14ac:dyDescent="0.25" r="709" customHeight="1" ht="17.25">
      <c r="A709" s="55"/>
      <c r="B709" s="100"/>
      <c r="C709" s="55"/>
      <c r="D709" s="101"/>
      <c r="E709" s="101"/>
      <c r="F709" s="102"/>
      <c r="G709" s="103"/>
      <c r="H709" s="150"/>
      <c r="I709" s="55"/>
      <c r="J709" s="105"/>
      <c r="K709" s="55"/>
      <c r="L709" s="65"/>
      <c r="M709" s="55"/>
      <c r="N709" s="55"/>
      <c r="O709" s="55"/>
      <c r="P709" s="55"/>
      <c r="Q709" s="55"/>
      <c r="R709" s="55"/>
      <c r="S709" s="55"/>
      <c r="T709" s="55"/>
    </row>
    <row x14ac:dyDescent="0.25" r="710" customHeight="1" ht="17.25">
      <c r="A710" s="55"/>
      <c r="B710" s="100"/>
      <c r="C710" s="55"/>
      <c r="D710" s="101"/>
      <c r="E710" s="101"/>
      <c r="F710" s="102"/>
      <c r="G710" s="103"/>
      <c r="H710" s="150"/>
      <c r="I710" s="55"/>
      <c r="J710" s="105"/>
      <c r="K710" s="55"/>
      <c r="L710" s="65"/>
      <c r="M710" s="55"/>
      <c r="N710" s="55"/>
      <c r="O710" s="55"/>
      <c r="P710" s="55"/>
      <c r="Q710" s="55"/>
      <c r="R710" s="55"/>
      <c r="S710" s="55"/>
      <c r="T710" s="55"/>
    </row>
    <row x14ac:dyDescent="0.25" r="711" customHeight="1" ht="17.25">
      <c r="A711" s="55"/>
      <c r="B711" s="100"/>
      <c r="C711" s="55"/>
      <c r="D711" s="101"/>
      <c r="E711" s="101"/>
      <c r="F711" s="102"/>
      <c r="G711" s="103"/>
      <c r="H711" s="150"/>
      <c r="I711" s="55"/>
      <c r="J711" s="105"/>
      <c r="K711" s="55"/>
      <c r="L711" s="65"/>
      <c r="M711" s="55"/>
      <c r="N711" s="55"/>
      <c r="O711" s="55"/>
      <c r="P711" s="55"/>
      <c r="Q711" s="55"/>
      <c r="R711" s="55"/>
      <c r="S711" s="55"/>
      <c r="T711" s="55"/>
    </row>
    <row x14ac:dyDescent="0.25" r="712" customHeight="1" ht="17.25">
      <c r="A712" s="55"/>
      <c r="B712" s="100"/>
      <c r="C712" s="55"/>
      <c r="D712" s="101"/>
      <c r="E712" s="101"/>
      <c r="F712" s="102"/>
      <c r="G712" s="103"/>
      <c r="H712" s="150"/>
      <c r="I712" s="55"/>
      <c r="J712" s="105"/>
      <c r="K712" s="55"/>
      <c r="L712" s="65"/>
      <c r="M712" s="55"/>
      <c r="N712" s="55"/>
      <c r="O712" s="55"/>
      <c r="P712" s="55"/>
      <c r="Q712" s="55"/>
      <c r="R712" s="55"/>
      <c r="S712" s="55"/>
      <c r="T712" s="55"/>
    </row>
    <row x14ac:dyDescent="0.25" r="713" customHeight="1" ht="17.25">
      <c r="A713" s="55"/>
      <c r="B713" s="100"/>
      <c r="C713" s="55"/>
      <c r="D713" s="101"/>
      <c r="E713" s="101"/>
      <c r="F713" s="102"/>
      <c r="G713" s="103"/>
      <c r="H713" s="150"/>
      <c r="I713" s="55"/>
      <c r="J713" s="105"/>
      <c r="K713" s="55"/>
      <c r="L713" s="65"/>
      <c r="M713" s="55"/>
      <c r="N713" s="55"/>
      <c r="O713" s="55"/>
      <c r="P713" s="55"/>
      <c r="Q713" s="55"/>
      <c r="R713" s="55"/>
      <c r="S713" s="55"/>
      <c r="T713" s="55"/>
    </row>
    <row x14ac:dyDescent="0.25" r="714" customHeight="1" ht="17.25">
      <c r="A714" s="55"/>
      <c r="B714" s="100"/>
      <c r="C714" s="55"/>
      <c r="D714" s="101"/>
      <c r="E714" s="101"/>
      <c r="F714" s="102"/>
      <c r="G714" s="103"/>
      <c r="H714" s="150"/>
      <c r="I714" s="55"/>
      <c r="J714" s="105"/>
      <c r="K714" s="55"/>
      <c r="L714" s="65"/>
      <c r="M714" s="55"/>
      <c r="N714" s="55"/>
      <c r="O714" s="55"/>
      <c r="P714" s="55"/>
      <c r="Q714" s="55"/>
      <c r="R714" s="55"/>
      <c r="S714" s="55"/>
      <c r="T714" s="55"/>
    </row>
    <row x14ac:dyDescent="0.25" r="715" customHeight="1" ht="17.25">
      <c r="A715" s="55"/>
      <c r="B715" s="100"/>
      <c r="C715" s="55"/>
      <c r="D715" s="101"/>
      <c r="E715" s="101"/>
      <c r="F715" s="102"/>
      <c r="G715" s="103"/>
      <c r="H715" s="150"/>
      <c r="I715" s="55"/>
      <c r="J715" s="105"/>
      <c r="K715" s="55"/>
      <c r="L715" s="65"/>
      <c r="M715" s="55"/>
      <c r="N715" s="55"/>
      <c r="O715" s="55"/>
      <c r="P715" s="55"/>
      <c r="Q715" s="55"/>
      <c r="R715" s="55"/>
      <c r="S715" s="55"/>
      <c r="T715" s="55"/>
    </row>
    <row x14ac:dyDescent="0.25" r="716" customHeight="1" ht="17.25">
      <c r="A716" s="55"/>
      <c r="B716" s="100"/>
      <c r="C716" s="55"/>
      <c r="D716" s="101"/>
      <c r="E716" s="101"/>
      <c r="F716" s="102"/>
      <c r="G716" s="103"/>
      <c r="H716" s="150"/>
      <c r="I716" s="55"/>
      <c r="J716" s="105"/>
      <c r="K716" s="55"/>
      <c r="L716" s="65"/>
      <c r="M716" s="55"/>
      <c r="N716" s="55"/>
      <c r="O716" s="55"/>
      <c r="P716" s="55"/>
      <c r="Q716" s="55"/>
      <c r="R716" s="55"/>
      <c r="S716" s="55"/>
      <c r="T716" s="55"/>
    </row>
    <row x14ac:dyDescent="0.25" r="717" customHeight="1" ht="17.25">
      <c r="A717" s="55"/>
      <c r="B717" s="100"/>
      <c r="C717" s="55"/>
      <c r="D717" s="101"/>
      <c r="E717" s="101"/>
      <c r="F717" s="102"/>
      <c r="G717" s="103"/>
      <c r="H717" s="150"/>
      <c r="I717" s="55"/>
      <c r="J717" s="105"/>
      <c r="K717" s="55"/>
      <c r="L717" s="65"/>
      <c r="M717" s="55"/>
      <c r="N717" s="55"/>
      <c r="O717" s="55"/>
      <c r="P717" s="55"/>
      <c r="Q717" s="55"/>
      <c r="R717" s="55"/>
      <c r="S717" s="55"/>
      <c r="T717" s="55"/>
    </row>
    <row x14ac:dyDescent="0.25" r="718" customHeight="1" ht="17.25">
      <c r="A718" s="55"/>
      <c r="B718" s="100"/>
      <c r="C718" s="55"/>
      <c r="D718" s="101"/>
      <c r="E718" s="101"/>
      <c r="F718" s="102"/>
      <c r="G718" s="103"/>
      <c r="H718" s="150"/>
      <c r="I718" s="55"/>
      <c r="J718" s="105"/>
      <c r="K718" s="55"/>
      <c r="L718" s="65"/>
      <c r="M718" s="55"/>
      <c r="N718" s="55"/>
      <c r="O718" s="55"/>
      <c r="P718" s="55"/>
      <c r="Q718" s="55"/>
      <c r="R718" s="55"/>
      <c r="S718" s="55"/>
      <c r="T718" s="55"/>
    </row>
    <row x14ac:dyDescent="0.25" r="719" customHeight="1" ht="17.25">
      <c r="A719" s="55"/>
      <c r="B719" s="100"/>
      <c r="C719" s="55"/>
      <c r="D719" s="101"/>
      <c r="E719" s="101"/>
      <c r="F719" s="102"/>
      <c r="G719" s="103"/>
      <c r="H719" s="150"/>
      <c r="I719" s="55"/>
      <c r="J719" s="105"/>
      <c r="K719" s="55"/>
      <c r="L719" s="65"/>
      <c r="M719" s="55"/>
      <c r="N719" s="55"/>
      <c r="O719" s="55"/>
      <c r="P719" s="55"/>
      <c r="Q719" s="55"/>
      <c r="R719" s="55"/>
      <c r="S719" s="55"/>
      <c r="T719" s="55"/>
    </row>
    <row x14ac:dyDescent="0.25" r="720" customHeight="1" ht="17.25">
      <c r="A720" s="55"/>
      <c r="B720" s="100"/>
      <c r="C720" s="55"/>
      <c r="D720" s="101"/>
      <c r="E720" s="101"/>
      <c r="F720" s="102"/>
      <c r="G720" s="103"/>
      <c r="H720" s="150"/>
      <c r="I720" s="55"/>
      <c r="J720" s="105"/>
      <c r="K720" s="55"/>
      <c r="L720" s="65"/>
      <c r="M720" s="55"/>
      <c r="N720" s="55"/>
      <c r="O720" s="55"/>
      <c r="P720" s="55"/>
      <c r="Q720" s="55"/>
      <c r="R720" s="55"/>
      <c r="S720" s="55"/>
      <c r="T720" s="55"/>
    </row>
    <row x14ac:dyDescent="0.25" r="721" customHeight="1" ht="17.25">
      <c r="A721" s="55"/>
      <c r="B721" s="100"/>
      <c r="C721" s="55"/>
      <c r="D721" s="101"/>
      <c r="E721" s="101"/>
      <c r="F721" s="102"/>
      <c r="G721" s="103"/>
      <c r="H721" s="150"/>
      <c r="I721" s="55"/>
      <c r="J721" s="105"/>
      <c r="K721" s="55"/>
      <c r="L721" s="65"/>
      <c r="M721" s="55"/>
      <c r="N721" s="55"/>
      <c r="O721" s="55"/>
      <c r="P721" s="55"/>
      <c r="Q721" s="55"/>
      <c r="R721" s="55"/>
      <c r="S721" s="55"/>
      <c r="T721" s="55"/>
    </row>
    <row x14ac:dyDescent="0.25" r="722" customHeight="1" ht="17.25">
      <c r="A722" s="55"/>
      <c r="B722" s="100"/>
      <c r="C722" s="55"/>
      <c r="D722" s="101"/>
      <c r="E722" s="101"/>
      <c r="F722" s="102"/>
      <c r="G722" s="103"/>
      <c r="H722" s="150"/>
      <c r="I722" s="55"/>
      <c r="J722" s="105"/>
      <c r="K722" s="55"/>
      <c r="L722" s="65"/>
      <c r="M722" s="55"/>
      <c r="N722" s="55"/>
      <c r="O722" s="55"/>
      <c r="P722" s="55"/>
      <c r="Q722" s="55"/>
      <c r="R722" s="55"/>
      <c r="S722" s="55"/>
      <c r="T722" s="55"/>
    </row>
    <row x14ac:dyDescent="0.25" r="723" customHeight="1" ht="17.25">
      <c r="A723" s="55"/>
      <c r="B723" s="100"/>
      <c r="C723" s="55"/>
      <c r="D723" s="101"/>
      <c r="E723" s="101"/>
      <c r="F723" s="102"/>
      <c r="G723" s="103"/>
      <c r="H723" s="150"/>
      <c r="I723" s="55"/>
      <c r="J723" s="105"/>
      <c r="K723" s="55"/>
      <c r="L723" s="65"/>
      <c r="M723" s="55"/>
      <c r="N723" s="55"/>
      <c r="O723" s="55"/>
      <c r="P723" s="55"/>
      <c r="Q723" s="55"/>
      <c r="R723" s="55"/>
      <c r="S723" s="55"/>
      <c r="T723" s="55"/>
    </row>
    <row x14ac:dyDescent="0.25" r="724" customHeight="1" ht="17.25">
      <c r="A724" s="55"/>
      <c r="B724" s="100"/>
      <c r="C724" s="55"/>
      <c r="D724" s="101"/>
      <c r="E724" s="101"/>
      <c r="F724" s="102"/>
      <c r="G724" s="103"/>
      <c r="H724" s="150"/>
      <c r="I724" s="55"/>
      <c r="J724" s="105"/>
      <c r="K724" s="55"/>
      <c r="L724" s="65"/>
      <c r="M724" s="55"/>
      <c r="N724" s="55"/>
      <c r="O724" s="55"/>
      <c r="P724" s="55"/>
      <c r="Q724" s="55"/>
      <c r="R724" s="55"/>
      <c r="S724" s="55"/>
      <c r="T724" s="55"/>
    </row>
    <row x14ac:dyDescent="0.25" r="725" customHeight="1" ht="17.25">
      <c r="A725" s="55"/>
      <c r="B725" s="100"/>
      <c r="C725" s="55"/>
      <c r="D725" s="101"/>
      <c r="E725" s="101"/>
      <c r="F725" s="102"/>
      <c r="G725" s="103"/>
      <c r="H725" s="150"/>
      <c r="I725" s="55"/>
      <c r="J725" s="105"/>
      <c r="K725" s="55"/>
      <c r="L725" s="65"/>
      <c r="M725" s="55"/>
      <c r="N725" s="55"/>
      <c r="O725" s="55"/>
      <c r="P725" s="55"/>
      <c r="Q725" s="55"/>
      <c r="R725" s="55"/>
      <c r="S725" s="55"/>
      <c r="T725" s="55"/>
    </row>
    <row x14ac:dyDescent="0.25" r="726" customHeight="1" ht="17.25">
      <c r="A726" s="55"/>
      <c r="B726" s="100"/>
      <c r="C726" s="55"/>
      <c r="D726" s="101"/>
      <c r="E726" s="101"/>
      <c r="F726" s="102"/>
      <c r="G726" s="103"/>
      <c r="H726" s="150"/>
      <c r="I726" s="55"/>
      <c r="J726" s="105"/>
      <c r="K726" s="55"/>
      <c r="L726" s="65"/>
      <c r="M726" s="55"/>
      <c r="N726" s="55"/>
      <c r="O726" s="55"/>
      <c r="P726" s="55"/>
      <c r="Q726" s="55"/>
      <c r="R726" s="55"/>
      <c r="S726" s="55"/>
      <c r="T726" s="55"/>
    </row>
    <row x14ac:dyDescent="0.25" r="727" customHeight="1" ht="17.25">
      <c r="A727" s="55"/>
      <c r="B727" s="100"/>
      <c r="C727" s="55"/>
      <c r="D727" s="101"/>
      <c r="E727" s="101"/>
      <c r="F727" s="102"/>
      <c r="G727" s="103"/>
      <c r="H727" s="150"/>
      <c r="I727" s="55"/>
      <c r="J727" s="105"/>
      <c r="K727" s="55"/>
      <c r="L727" s="65"/>
      <c r="M727" s="55"/>
      <c r="N727" s="55"/>
      <c r="O727" s="55"/>
      <c r="P727" s="55"/>
      <c r="Q727" s="55"/>
      <c r="R727" s="55"/>
      <c r="S727" s="55"/>
      <c r="T727" s="55"/>
    </row>
    <row x14ac:dyDescent="0.25" r="728" customHeight="1" ht="17.25">
      <c r="A728" s="55"/>
      <c r="B728" s="100"/>
      <c r="C728" s="55"/>
      <c r="D728" s="101"/>
      <c r="E728" s="101"/>
      <c r="F728" s="102"/>
      <c r="G728" s="103"/>
      <c r="H728" s="150"/>
      <c r="I728" s="55"/>
      <c r="J728" s="105"/>
      <c r="K728" s="55"/>
      <c r="L728" s="65"/>
      <c r="M728" s="55"/>
      <c r="N728" s="55"/>
      <c r="O728" s="55"/>
      <c r="P728" s="55"/>
      <c r="Q728" s="55"/>
      <c r="R728" s="55"/>
      <c r="S728" s="55"/>
      <c r="T728" s="55"/>
    </row>
    <row x14ac:dyDescent="0.25" r="729" customHeight="1" ht="17.25">
      <c r="A729" s="55"/>
      <c r="B729" s="100"/>
      <c r="C729" s="55"/>
      <c r="D729" s="101"/>
      <c r="E729" s="101"/>
      <c r="F729" s="102"/>
      <c r="G729" s="103"/>
      <c r="H729" s="150"/>
      <c r="I729" s="55"/>
      <c r="J729" s="105"/>
      <c r="K729" s="55"/>
      <c r="L729" s="65"/>
      <c r="M729" s="55"/>
      <c r="N729" s="55"/>
      <c r="O729" s="55"/>
      <c r="P729" s="55"/>
      <c r="Q729" s="55"/>
      <c r="R729" s="55"/>
      <c r="S729" s="55"/>
      <c r="T729" s="55"/>
    </row>
    <row x14ac:dyDescent="0.25" r="730" customHeight="1" ht="17.25">
      <c r="A730" s="55"/>
      <c r="B730" s="100"/>
      <c r="C730" s="55"/>
      <c r="D730" s="101"/>
      <c r="E730" s="101"/>
      <c r="F730" s="102"/>
      <c r="G730" s="103"/>
      <c r="H730" s="150"/>
      <c r="I730" s="55"/>
      <c r="J730" s="105"/>
      <c r="K730" s="55"/>
      <c r="L730" s="65"/>
      <c r="M730" s="55"/>
      <c r="N730" s="55"/>
      <c r="O730" s="55"/>
      <c r="P730" s="55"/>
      <c r="Q730" s="55"/>
      <c r="R730" s="55"/>
      <c r="S730" s="55"/>
      <c r="T730" s="55"/>
    </row>
    <row x14ac:dyDescent="0.25" r="731" customHeight="1" ht="17.25">
      <c r="A731" s="55"/>
      <c r="B731" s="100"/>
      <c r="C731" s="55"/>
      <c r="D731" s="101"/>
      <c r="E731" s="101"/>
      <c r="F731" s="102"/>
      <c r="G731" s="103"/>
      <c r="H731" s="150"/>
      <c r="I731" s="55"/>
      <c r="J731" s="105"/>
      <c r="K731" s="55"/>
      <c r="L731" s="65"/>
      <c r="M731" s="55"/>
      <c r="N731" s="55"/>
      <c r="O731" s="55"/>
      <c r="P731" s="55"/>
      <c r="Q731" s="55"/>
      <c r="R731" s="55"/>
      <c r="S731" s="55"/>
      <c r="T731" s="55"/>
    </row>
    <row x14ac:dyDescent="0.25" r="732" customHeight="1" ht="17.25">
      <c r="A732" s="55"/>
      <c r="B732" s="100"/>
      <c r="C732" s="55"/>
      <c r="D732" s="101"/>
      <c r="E732" s="101"/>
      <c r="F732" s="102"/>
      <c r="G732" s="103"/>
      <c r="H732" s="150"/>
      <c r="I732" s="55"/>
      <c r="J732" s="105"/>
      <c r="K732" s="55"/>
      <c r="L732" s="65"/>
      <c r="M732" s="55"/>
      <c r="N732" s="55"/>
      <c r="O732" s="55"/>
      <c r="P732" s="55"/>
      <c r="Q732" s="55"/>
      <c r="R732" s="55"/>
      <c r="S732" s="55"/>
      <c r="T732" s="55"/>
    </row>
    <row x14ac:dyDescent="0.25" r="733" customHeight="1" ht="17.25">
      <c r="A733" s="55"/>
      <c r="B733" s="100"/>
      <c r="C733" s="55"/>
      <c r="D733" s="101"/>
      <c r="E733" s="101"/>
      <c r="F733" s="102"/>
      <c r="G733" s="103"/>
      <c r="H733" s="150"/>
      <c r="I733" s="55"/>
      <c r="J733" s="105"/>
      <c r="K733" s="55"/>
      <c r="L733" s="65"/>
      <c r="M733" s="55"/>
      <c r="N733" s="55"/>
      <c r="O733" s="55"/>
      <c r="P733" s="55"/>
      <c r="Q733" s="55"/>
      <c r="R733" s="55"/>
      <c r="S733" s="55"/>
      <c r="T733" s="55"/>
    </row>
    <row x14ac:dyDescent="0.25" r="734" customHeight="1" ht="17.25">
      <c r="A734" s="55"/>
      <c r="B734" s="100"/>
      <c r="C734" s="55"/>
      <c r="D734" s="101"/>
      <c r="E734" s="101"/>
      <c r="F734" s="102"/>
      <c r="G734" s="103"/>
      <c r="H734" s="150"/>
      <c r="I734" s="55"/>
      <c r="J734" s="105"/>
      <c r="K734" s="55"/>
      <c r="L734" s="65"/>
      <c r="M734" s="55"/>
      <c r="N734" s="55"/>
      <c r="O734" s="55"/>
      <c r="P734" s="55"/>
      <c r="Q734" s="55"/>
      <c r="R734" s="55"/>
      <c r="S734" s="55"/>
      <c r="T734" s="55"/>
    </row>
    <row x14ac:dyDescent="0.25" r="735" customHeight="1" ht="17.25">
      <c r="A735" s="55"/>
      <c r="B735" s="100"/>
      <c r="C735" s="55"/>
      <c r="D735" s="101"/>
      <c r="E735" s="101"/>
      <c r="F735" s="102"/>
      <c r="G735" s="103"/>
      <c r="H735" s="150"/>
      <c r="I735" s="55"/>
      <c r="J735" s="105"/>
      <c r="K735" s="55"/>
      <c r="L735" s="65"/>
      <c r="M735" s="55"/>
      <c r="N735" s="55"/>
      <c r="O735" s="55"/>
      <c r="P735" s="55"/>
      <c r="Q735" s="55"/>
      <c r="R735" s="55"/>
      <c r="S735" s="55"/>
      <c r="T735" s="55"/>
    </row>
    <row x14ac:dyDescent="0.25" r="736" customHeight="1" ht="17.25">
      <c r="A736" s="55"/>
      <c r="B736" s="100"/>
      <c r="C736" s="55"/>
      <c r="D736" s="101"/>
      <c r="E736" s="101"/>
      <c r="F736" s="102"/>
      <c r="G736" s="103"/>
      <c r="H736" s="150"/>
      <c r="I736" s="55"/>
      <c r="J736" s="105"/>
      <c r="K736" s="55"/>
      <c r="L736" s="65"/>
      <c r="M736" s="55"/>
      <c r="N736" s="55"/>
      <c r="O736" s="55"/>
      <c r="P736" s="55"/>
      <c r="Q736" s="55"/>
      <c r="R736" s="55"/>
      <c r="S736" s="55"/>
      <c r="T736" s="55"/>
    </row>
    <row x14ac:dyDescent="0.25" r="737" customHeight="1" ht="17.25">
      <c r="A737" s="55"/>
      <c r="B737" s="100"/>
      <c r="C737" s="55"/>
      <c r="D737" s="101"/>
      <c r="E737" s="101"/>
      <c r="F737" s="102"/>
      <c r="G737" s="103"/>
      <c r="H737" s="150"/>
      <c r="I737" s="55"/>
      <c r="J737" s="105"/>
      <c r="K737" s="55"/>
      <c r="L737" s="65"/>
      <c r="M737" s="55"/>
      <c r="N737" s="55"/>
      <c r="O737" s="55"/>
      <c r="P737" s="55"/>
      <c r="Q737" s="55"/>
      <c r="R737" s="55"/>
      <c r="S737" s="55"/>
      <c r="T737" s="55"/>
    </row>
    <row x14ac:dyDescent="0.25" r="738" customHeight="1" ht="17.25">
      <c r="A738" s="55"/>
      <c r="B738" s="100"/>
      <c r="C738" s="55"/>
      <c r="D738" s="101"/>
      <c r="E738" s="101"/>
      <c r="F738" s="102"/>
      <c r="G738" s="103"/>
      <c r="H738" s="150"/>
      <c r="I738" s="55"/>
      <c r="J738" s="105"/>
      <c r="K738" s="55"/>
      <c r="L738" s="65"/>
      <c r="M738" s="55"/>
      <c r="N738" s="55"/>
      <c r="O738" s="55"/>
      <c r="P738" s="55"/>
      <c r="Q738" s="55"/>
      <c r="R738" s="55"/>
      <c r="S738" s="55"/>
      <c r="T738" s="55"/>
    </row>
    <row x14ac:dyDescent="0.25" r="739" customHeight="1" ht="17.25">
      <c r="A739" s="55"/>
      <c r="B739" s="100"/>
      <c r="C739" s="55"/>
      <c r="D739" s="101"/>
      <c r="E739" s="101"/>
      <c r="F739" s="102"/>
      <c r="G739" s="103"/>
      <c r="H739" s="150"/>
      <c r="I739" s="55"/>
      <c r="J739" s="105"/>
      <c r="K739" s="55"/>
      <c r="L739" s="65"/>
      <c r="M739" s="55"/>
      <c r="N739" s="55"/>
      <c r="O739" s="55"/>
      <c r="P739" s="55"/>
      <c r="Q739" s="55"/>
      <c r="R739" s="55"/>
      <c r="S739" s="55"/>
      <c r="T739" s="55"/>
    </row>
    <row x14ac:dyDescent="0.25" r="740" customHeight="1" ht="17.25">
      <c r="A740" s="55"/>
      <c r="B740" s="100"/>
      <c r="C740" s="55"/>
      <c r="D740" s="101"/>
      <c r="E740" s="101"/>
      <c r="F740" s="102"/>
      <c r="G740" s="103"/>
      <c r="H740" s="150"/>
      <c r="I740" s="55"/>
      <c r="J740" s="105"/>
      <c r="K740" s="55"/>
      <c r="L740" s="65"/>
      <c r="M740" s="55"/>
      <c r="N740" s="55"/>
      <c r="O740" s="55"/>
      <c r="P740" s="55"/>
      <c r="Q740" s="55"/>
      <c r="R740" s="55"/>
      <c r="S740" s="55"/>
      <c r="T740" s="55"/>
    </row>
    <row x14ac:dyDescent="0.25" r="741" customHeight="1" ht="17.25">
      <c r="A741" s="55"/>
      <c r="B741" s="100"/>
      <c r="C741" s="55"/>
      <c r="D741" s="101"/>
      <c r="E741" s="101"/>
      <c r="F741" s="102"/>
      <c r="G741" s="103"/>
      <c r="H741" s="150"/>
      <c r="I741" s="55"/>
      <c r="J741" s="105"/>
      <c r="K741" s="55"/>
      <c r="L741" s="65"/>
      <c r="M741" s="55"/>
      <c r="N741" s="55"/>
      <c r="O741" s="55"/>
      <c r="P741" s="55"/>
      <c r="Q741" s="55"/>
      <c r="R741" s="55"/>
      <c r="S741" s="55"/>
      <c r="T741" s="55"/>
    </row>
    <row x14ac:dyDescent="0.25" r="742" customHeight="1" ht="17.25">
      <c r="A742" s="55"/>
      <c r="B742" s="100"/>
      <c r="C742" s="55"/>
      <c r="D742" s="101"/>
      <c r="E742" s="101"/>
      <c r="F742" s="102"/>
      <c r="G742" s="103"/>
      <c r="H742" s="150"/>
      <c r="I742" s="55"/>
      <c r="J742" s="105"/>
      <c r="K742" s="55"/>
      <c r="L742" s="65"/>
      <c r="M742" s="55"/>
      <c r="N742" s="55"/>
      <c r="O742" s="55"/>
      <c r="P742" s="55"/>
      <c r="Q742" s="55"/>
      <c r="R742" s="55"/>
      <c r="S742" s="55"/>
      <c r="T742" s="55"/>
    </row>
    <row x14ac:dyDescent="0.25" r="743" customHeight="1" ht="17.25">
      <c r="A743" s="55"/>
      <c r="B743" s="100"/>
      <c r="C743" s="55"/>
      <c r="D743" s="101"/>
      <c r="E743" s="101"/>
      <c r="F743" s="102"/>
      <c r="G743" s="103"/>
      <c r="H743" s="150"/>
      <c r="I743" s="55"/>
      <c r="J743" s="105"/>
      <c r="K743" s="55"/>
      <c r="L743" s="65"/>
      <c r="M743" s="55"/>
      <c r="N743" s="55"/>
      <c r="O743" s="55"/>
      <c r="P743" s="55"/>
      <c r="Q743" s="55"/>
      <c r="R743" s="55"/>
      <c r="S743" s="55"/>
      <c r="T743" s="55"/>
    </row>
    <row x14ac:dyDescent="0.25" r="744" customHeight="1" ht="17.25">
      <c r="A744" s="55"/>
      <c r="B744" s="100"/>
      <c r="C744" s="55"/>
      <c r="D744" s="101"/>
      <c r="E744" s="101"/>
      <c r="F744" s="102"/>
      <c r="G744" s="103"/>
      <c r="H744" s="150"/>
      <c r="I744" s="55"/>
      <c r="J744" s="105"/>
      <c r="K744" s="55"/>
      <c r="L744" s="65"/>
      <c r="M744" s="55"/>
      <c r="N744" s="55"/>
      <c r="O744" s="55"/>
      <c r="P744" s="55"/>
      <c r="Q744" s="55"/>
      <c r="R744" s="55"/>
      <c r="S744" s="55"/>
      <c r="T744" s="55"/>
    </row>
    <row x14ac:dyDescent="0.25" r="745" customHeight="1" ht="17.25">
      <c r="A745" s="55"/>
      <c r="B745" s="100"/>
      <c r="C745" s="55"/>
      <c r="D745" s="101"/>
      <c r="E745" s="101"/>
      <c r="F745" s="102"/>
      <c r="G745" s="103"/>
      <c r="H745" s="150"/>
      <c r="I745" s="55"/>
      <c r="J745" s="105"/>
      <c r="K745" s="55"/>
      <c r="L745" s="65"/>
      <c r="M745" s="55"/>
      <c r="N745" s="55"/>
      <c r="O745" s="55"/>
      <c r="P745" s="55"/>
      <c r="Q745" s="55"/>
      <c r="R745" s="55"/>
      <c r="S745" s="55"/>
      <c r="T745" s="55"/>
    </row>
    <row x14ac:dyDescent="0.25" r="746" customHeight="1" ht="17.25">
      <c r="A746" s="55"/>
      <c r="B746" s="100"/>
      <c r="C746" s="55"/>
      <c r="D746" s="101"/>
      <c r="E746" s="101"/>
      <c r="F746" s="102"/>
      <c r="G746" s="103"/>
      <c r="H746" s="150"/>
      <c r="I746" s="55"/>
      <c r="J746" s="105"/>
      <c r="K746" s="55"/>
      <c r="L746" s="65"/>
      <c r="M746" s="55"/>
      <c r="N746" s="55"/>
      <c r="O746" s="55"/>
      <c r="P746" s="55"/>
      <c r="Q746" s="55"/>
      <c r="R746" s="55"/>
      <c r="S746" s="55"/>
      <c r="T746" s="55"/>
    </row>
    <row x14ac:dyDescent="0.25" r="747" customHeight="1" ht="17.25">
      <c r="A747" s="55"/>
      <c r="B747" s="100"/>
      <c r="C747" s="55"/>
      <c r="D747" s="101"/>
      <c r="E747" s="101"/>
      <c r="F747" s="102"/>
      <c r="G747" s="103"/>
      <c r="H747" s="150"/>
      <c r="I747" s="55"/>
      <c r="J747" s="105"/>
      <c r="K747" s="55"/>
      <c r="L747" s="65"/>
      <c r="M747" s="55"/>
      <c r="N747" s="55"/>
      <c r="O747" s="55"/>
      <c r="P747" s="55"/>
      <c r="Q747" s="55"/>
      <c r="R747" s="55"/>
      <c r="S747" s="55"/>
      <c r="T747" s="55"/>
    </row>
    <row x14ac:dyDescent="0.25" r="748" customHeight="1" ht="17.25">
      <c r="A748" s="55"/>
      <c r="B748" s="100"/>
      <c r="C748" s="55"/>
      <c r="D748" s="101"/>
      <c r="E748" s="101"/>
      <c r="F748" s="102"/>
      <c r="G748" s="103"/>
      <c r="H748" s="150"/>
      <c r="I748" s="55"/>
      <c r="J748" s="105"/>
      <c r="K748" s="55"/>
      <c r="L748" s="65"/>
      <c r="M748" s="55"/>
      <c r="N748" s="55"/>
      <c r="O748" s="55"/>
      <c r="P748" s="55"/>
      <c r="Q748" s="55"/>
      <c r="R748" s="55"/>
      <c r="S748" s="55"/>
      <c r="T748" s="55"/>
    </row>
    <row x14ac:dyDescent="0.25" r="749" customHeight="1" ht="17.25">
      <c r="A749" s="55"/>
      <c r="B749" s="100"/>
      <c r="C749" s="55"/>
      <c r="D749" s="101"/>
      <c r="E749" s="101"/>
      <c r="F749" s="102"/>
      <c r="G749" s="103"/>
      <c r="H749" s="150"/>
      <c r="I749" s="55"/>
      <c r="J749" s="105"/>
      <c r="K749" s="55"/>
      <c r="L749" s="65"/>
      <c r="M749" s="55"/>
      <c r="N749" s="55"/>
      <c r="O749" s="55"/>
      <c r="P749" s="55"/>
      <c r="Q749" s="55"/>
      <c r="R749" s="55"/>
      <c r="S749" s="55"/>
      <c r="T749" s="55"/>
    </row>
    <row x14ac:dyDescent="0.25" r="750" customHeight="1" ht="17.25">
      <c r="A750" s="55"/>
      <c r="B750" s="100"/>
      <c r="C750" s="55"/>
      <c r="D750" s="101"/>
      <c r="E750" s="101"/>
      <c r="F750" s="102"/>
      <c r="G750" s="103"/>
      <c r="H750" s="150"/>
      <c r="I750" s="55"/>
      <c r="J750" s="105"/>
      <c r="K750" s="55"/>
      <c r="L750" s="65"/>
      <c r="M750" s="55"/>
      <c r="N750" s="55"/>
      <c r="O750" s="55"/>
      <c r="P750" s="55"/>
      <c r="Q750" s="55"/>
      <c r="R750" s="55"/>
      <c r="S750" s="55"/>
      <c r="T750" s="55"/>
    </row>
    <row x14ac:dyDescent="0.25" r="751" customHeight="1" ht="17.25">
      <c r="A751" s="55"/>
      <c r="B751" s="100"/>
      <c r="C751" s="55"/>
      <c r="D751" s="101"/>
      <c r="E751" s="101"/>
      <c r="F751" s="102"/>
      <c r="G751" s="103"/>
      <c r="H751" s="150"/>
      <c r="I751" s="55"/>
      <c r="J751" s="105"/>
      <c r="K751" s="55"/>
      <c r="L751" s="65"/>
      <c r="M751" s="55"/>
      <c r="N751" s="55"/>
      <c r="O751" s="55"/>
      <c r="P751" s="55"/>
      <c r="Q751" s="55"/>
      <c r="R751" s="55"/>
      <c r="S751" s="55"/>
      <c r="T751" s="55"/>
    </row>
    <row x14ac:dyDescent="0.25" r="752" customHeight="1" ht="17.25">
      <c r="A752" s="55"/>
      <c r="B752" s="100"/>
      <c r="C752" s="55"/>
      <c r="D752" s="101"/>
      <c r="E752" s="101"/>
      <c r="F752" s="102"/>
      <c r="G752" s="103"/>
      <c r="H752" s="150"/>
      <c r="I752" s="55"/>
      <c r="J752" s="105"/>
      <c r="K752" s="55"/>
      <c r="L752" s="65"/>
      <c r="M752" s="55"/>
      <c r="N752" s="55"/>
      <c r="O752" s="55"/>
      <c r="P752" s="55"/>
      <c r="Q752" s="55"/>
      <c r="R752" s="55"/>
      <c r="S752" s="55"/>
      <c r="T752" s="55"/>
    </row>
    <row x14ac:dyDescent="0.25" r="753" customHeight="1" ht="17.25">
      <c r="A753" s="55"/>
      <c r="B753" s="100"/>
      <c r="C753" s="55"/>
      <c r="D753" s="101"/>
      <c r="E753" s="101"/>
      <c r="F753" s="102"/>
      <c r="G753" s="103"/>
      <c r="H753" s="150"/>
      <c r="I753" s="55"/>
      <c r="J753" s="105"/>
      <c r="K753" s="55"/>
      <c r="L753" s="65"/>
      <c r="M753" s="55"/>
      <c r="N753" s="55"/>
      <c r="O753" s="55"/>
      <c r="P753" s="55"/>
      <c r="Q753" s="55"/>
      <c r="R753" s="55"/>
      <c r="S753" s="55"/>
      <c r="T753" s="55"/>
    </row>
    <row x14ac:dyDescent="0.25" r="754" customHeight="1" ht="17.25">
      <c r="A754" s="55"/>
      <c r="B754" s="100"/>
      <c r="C754" s="55"/>
      <c r="D754" s="101"/>
      <c r="E754" s="101"/>
      <c r="F754" s="102"/>
      <c r="G754" s="103"/>
      <c r="H754" s="150"/>
      <c r="I754" s="55"/>
      <c r="J754" s="105"/>
      <c r="K754" s="55"/>
      <c r="L754" s="65"/>
      <c r="M754" s="55"/>
      <c r="N754" s="55"/>
      <c r="O754" s="55"/>
      <c r="P754" s="55"/>
      <c r="Q754" s="55"/>
      <c r="R754" s="55"/>
      <c r="S754" s="55"/>
      <c r="T754" s="55"/>
    </row>
    <row x14ac:dyDescent="0.25" r="755" customHeight="1" ht="17.25">
      <c r="A755" s="55"/>
      <c r="B755" s="100"/>
      <c r="C755" s="55"/>
      <c r="D755" s="101"/>
      <c r="E755" s="101"/>
      <c r="F755" s="102"/>
      <c r="G755" s="103"/>
      <c r="H755" s="150"/>
      <c r="I755" s="55"/>
      <c r="J755" s="105"/>
      <c r="K755" s="55"/>
      <c r="L755" s="65"/>
      <c r="M755" s="55"/>
      <c r="N755" s="55"/>
      <c r="O755" s="55"/>
      <c r="P755" s="55"/>
      <c r="Q755" s="55"/>
      <c r="R755" s="55"/>
      <c r="S755" s="55"/>
      <c r="T755" s="55"/>
    </row>
    <row x14ac:dyDescent="0.25" r="756" customHeight="1" ht="17.25">
      <c r="A756" s="55"/>
      <c r="B756" s="100"/>
      <c r="C756" s="55"/>
      <c r="D756" s="101"/>
      <c r="E756" s="101"/>
      <c r="F756" s="102"/>
      <c r="G756" s="103"/>
      <c r="H756" s="150"/>
      <c r="I756" s="55"/>
      <c r="J756" s="105"/>
      <c r="K756" s="55"/>
      <c r="L756" s="65"/>
      <c r="M756" s="55"/>
      <c r="N756" s="55"/>
      <c r="O756" s="55"/>
      <c r="P756" s="55"/>
      <c r="Q756" s="55"/>
      <c r="R756" s="55"/>
      <c r="S756" s="55"/>
      <c r="T756" s="55"/>
    </row>
    <row x14ac:dyDescent="0.25" r="757" customHeight="1" ht="17.25">
      <c r="A757" s="55"/>
      <c r="B757" s="100"/>
      <c r="C757" s="55"/>
      <c r="D757" s="101"/>
      <c r="E757" s="101"/>
      <c r="F757" s="102"/>
      <c r="G757" s="103"/>
      <c r="H757" s="150"/>
      <c r="I757" s="55"/>
      <c r="J757" s="105"/>
      <c r="K757" s="55"/>
      <c r="L757" s="65"/>
      <c r="M757" s="55"/>
      <c r="N757" s="55"/>
      <c r="O757" s="55"/>
      <c r="P757" s="55"/>
      <c r="Q757" s="55"/>
      <c r="R757" s="55"/>
      <c r="S757" s="55"/>
      <c r="T757" s="55"/>
    </row>
    <row x14ac:dyDescent="0.25" r="758" customHeight="1" ht="17.25">
      <c r="A758" s="55"/>
      <c r="B758" s="100"/>
      <c r="C758" s="55"/>
      <c r="D758" s="101"/>
      <c r="E758" s="101"/>
      <c r="F758" s="102"/>
      <c r="G758" s="103"/>
      <c r="H758" s="150"/>
      <c r="I758" s="55"/>
      <c r="J758" s="105"/>
      <c r="K758" s="55"/>
      <c r="L758" s="65"/>
      <c r="M758" s="55"/>
      <c r="N758" s="55"/>
      <c r="O758" s="55"/>
      <c r="P758" s="55"/>
      <c r="Q758" s="55"/>
      <c r="R758" s="55"/>
      <c r="S758" s="55"/>
      <c r="T758" s="55"/>
    </row>
    <row x14ac:dyDescent="0.25" r="759" customHeight="1" ht="17.25">
      <c r="A759" s="55"/>
      <c r="B759" s="100"/>
      <c r="C759" s="55"/>
      <c r="D759" s="101"/>
      <c r="E759" s="101"/>
      <c r="F759" s="102"/>
      <c r="G759" s="103"/>
      <c r="H759" s="150"/>
      <c r="I759" s="55"/>
      <c r="J759" s="105"/>
      <c r="K759" s="55"/>
      <c r="L759" s="65"/>
      <c r="M759" s="55"/>
      <c r="N759" s="55"/>
      <c r="O759" s="55"/>
      <c r="P759" s="55"/>
      <c r="Q759" s="55"/>
      <c r="R759" s="55"/>
      <c r="S759" s="55"/>
      <c r="T759" s="55"/>
    </row>
    <row x14ac:dyDescent="0.25" r="760" customHeight="1" ht="17.25">
      <c r="A760" s="55"/>
      <c r="B760" s="100"/>
      <c r="C760" s="55"/>
      <c r="D760" s="101"/>
      <c r="E760" s="101"/>
      <c r="F760" s="102"/>
      <c r="G760" s="103"/>
      <c r="H760" s="150"/>
      <c r="I760" s="55"/>
      <c r="J760" s="105"/>
      <c r="K760" s="55"/>
      <c r="L760" s="65"/>
      <c r="M760" s="55"/>
      <c r="N760" s="55"/>
      <c r="O760" s="55"/>
      <c r="P760" s="55"/>
      <c r="Q760" s="55"/>
      <c r="R760" s="55"/>
      <c r="S760" s="55"/>
      <c r="T760" s="55"/>
    </row>
    <row x14ac:dyDescent="0.25" r="761" customHeight="1" ht="17.25">
      <c r="A761" s="55"/>
      <c r="B761" s="100"/>
      <c r="C761" s="55"/>
      <c r="D761" s="101"/>
      <c r="E761" s="101"/>
      <c r="F761" s="102"/>
      <c r="G761" s="103"/>
      <c r="H761" s="150"/>
      <c r="I761" s="55"/>
      <c r="J761" s="105"/>
      <c r="K761" s="55"/>
      <c r="L761" s="65"/>
      <c r="M761" s="55"/>
      <c r="N761" s="55"/>
      <c r="O761" s="55"/>
      <c r="P761" s="55"/>
      <c r="Q761" s="55"/>
      <c r="R761" s="55"/>
      <c r="S761" s="55"/>
      <c r="T761" s="55"/>
    </row>
    <row x14ac:dyDescent="0.25" r="762" customHeight="1" ht="17.25">
      <c r="A762" s="55"/>
      <c r="B762" s="100"/>
      <c r="C762" s="55"/>
      <c r="D762" s="101"/>
      <c r="E762" s="101"/>
      <c r="F762" s="102"/>
      <c r="G762" s="103"/>
      <c r="H762" s="150"/>
      <c r="I762" s="55"/>
      <c r="J762" s="105"/>
      <c r="K762" s="55"/>
      <c r="L762" s="65"/>
      <c r="M762" s="55"/>
      <c r="N762" s="55"/>
      <c r="O762" s="55"/>
      <c r="P762" s="55"/>
      <c r="Q762" s="55"/>
      <c r="R762" s="55"/>
      <c r="S762" s="55"/>
      <c r="T762" s="55"/>
    </row>
    <row x14ac:dyDescent="0.25" r="763" customHeight="1" ht="17.25">
      <c r="A763" s="55"/>
      <c r="B763" s="100"/>
      <c r="C763" s="55"/>
      <c r="D763" s="101"/>
      <c r="E763" s="101"/>
      <c r="F763" s="102"/>
      <c r="G763" s="103"/>
      <c r="H763" s="150"/>
      <c r="I763" s="55"/>
      <c r="J763" s="105"/>
      <c r="K763" s="55"/>
      <c r="L763" s="65"/>
      <c r="M763" s="55"/>
      <c r="N763" s="55"/>
      <c r="O763" s="55"/>
      <c r="P763" s="55"/>
      <c r="Q763" s="55"/>
      <c r="R763" s="55"/>
      <c r="S763" s="55"/>
      <c r="T763" s="55"/>
    </row>
    <row x14ac:dyDescent="0.25" r="764" customHeight="1" ht="17.25">
      <c r="A764" s="55"/>
      <c r="B764" s="100"/>
      <c r="C764" s="55"/>
      <c r="D764" s="101"/>
      <c r="E764" s="101"/>
      <c r="F764" s="102"/>
      <c r="G764" s="103"/>
      <c r="H764" s="150"/>
      <c r="I764" s="55"/>
      <c r="J764" s="105"/>
      <c r="K764" s="55"/>
      <c r="L764" s="65"/>
      <c r="M764" s="55"/>
      <c r="N764" s="55"/>
      <c r="O764" s="55"/>
      <c r="P764" s="55"/>
      <c r="Q764" s="55"/>
      <c r="R764" s="55"/>
      <c r="S764" s="55"/>
      <c r="T764" s="55"/>
    </row>
    <row x14ac:dyDescent="0.25" r="765" customHeight="1" ht="17.25">
      <c r="A765" s="55"/>
      <c r="B765" s="100"/>
      <c r="C765" s="55"/>
      <c r="D765" s="101"/>
      <c r="E765" s="101"/>
      <c r="F765" s="102"/>
      <c r="G765" s="103"/>
      <c r="H765" s="150"/>
      <c r="I765" s="55"/>
      <c r="J765" s="105"/>
      <c r="K765" s="55"/>
      <c r="L765" s="65"/>
      <c r="M765" s="55"/>
      <c r="N765" s="55"/>
      <c r="O765" s="55"/>
      <c r="P765" s="55"/>
      <c r="Q765" s="55"/>
      <c r="R765" s="55"/>
      <c r="S765" s="55"/>
      <c r="T765" s="55"/>
    </row>
    <row x14ac:dyDescent="0.25" r="766" customHeight="1" ht="17.25">
      <c r="A766" s="55"/>
      <c r="B766" s="100"/>
      <c r="C766" s="55"/>
      <c r="D766" s="101"/>
      <c r="E766" s="101"/>
      <c r="F766" s="102"/>
      <c r="G766" s="103"/>
      <c r="H766" s="150"/>
      <c r="I766" s="55"/>
      <c r="J766" s="105"/>
      <c r="K766" s="55"/>
      <c r="L766" s="65"/>
      <c r="M766" s="55"/>
      <c r="N766" s="55"/>
      <c r="O766" s="55"/>
      <c r="P766" s="55"/>
      <c r="Q766" s="55"/>
      <c r="R766" s="55"/>
      <c r="S766" s="55"/>
      <c r="T766" s="55"/>
    </row>
    <row x14ac:dyDescent="0.25" r="767" customHeight="1" ht="17.25">
      <c r="A767" s="55"/>
      <c r="B767" s="100"/>
      <c r="C767" s="55"/>
      <c r="D767" s="101"/>
      <c r="E767" s="101"/>
      <c r="F767" s="102"/>
      <c r="G767" s="103"/>
      <c r="H767" s="150"/>
      <c r="I767" s="55"/>
      <c r="J767" s="105"/>
      <c r="K767" s="55"/>
      <c r="L767" s="65"/>
      <c r="M767" s="55"/>
      <c r="N767" s="55"/>
      <c r="O767" s="55"/>
      <c r="P767" s="55"/>
      <c r="Q767" s="55"/>
      <c r="R767" s="55"/>
      <c r="S767" s="55"/>
      <c r="T767" s="55"/>
    </row>
    <row x14ac:dyDescent="0.25" r="768" customHeight="1" ht="17.25">
      <c r="A768" s="55"/>
      <c r="B768" s="100"/>
      <c r="C768" s="55"/>
      <c r="D768" s="101"/>
      <c r="E768" s="101"/>
      <c r="F768" s="102"/>
      <c r="G768" s="103"/>
      <c r="H768" s="150"/>
      <c r="I768" s="55"/>
      <c r="J768" s="105"/>
      <c r="K768" s="55"/>
      <c r="L768" s="65"/>
      <c r="M768" s="55"/>
      <c r="N768" s="55"/>
      <c r="O768" s="55"/>
      <c r="P768" s="55"/>
      <c r="Q768" s="55"/>
      <c r="R768" s="55"/>
      <c r="S768" s="55"/>
      <c r="T768" s="55"/>
    </row>
    <row x14ac:dyDescent="0.25" r="769" customHeight="1" ht="17.25">
      <c r="A769" s="55"/>
      <c r="B769" s="100"/>
      <c r="C769" s="55"/>
      <c r="D769" s="101"/>
      <c r="E769" s="101"/>
      <c r="F769" s="102"/>
      <c r="G769" s="103"/>
      <c r="H769" s="150"/>
      <c r="I769" s="55"/>
      <c r="J769" s="105"/>
      <c r="K769" s="55"/>
      <c r="L769" s="65"/>
      <c r="M769" s="55"/>
      <c r="N769" s="55"/>
      <c r="O769" s="55"/>
      <c r="P769" s="55"/>
      <c r="Q769" s="55"/>
      <c r="R769" s="55"/>
      <c r="S769" s="55"/>
      <c r="T769" s="55"/>
    </row>
    <row x14ac:dyDescent="0.25" r="770" customHeight="1" ht="17.25">
      <c r="A770" s="55"/>
      <c r="B770" s="100"/>
      <c r="C770" s="55"/>
      <c r="D770" s="101"/>
      <c r="E770" s="101"/>
      <c r="F770" s="102"/>
      <c r="G770" s="103"/>
      <c r="H770" s="150"/>
      <c r="I770" s="55"/>
      <c r="J770" s="105"/>
      <c r="K770" s="55"/>
      <c r="L770" s="65"/>
      <c r="M770" s="55"/>
      <c r="N770" s="55"/>
      <c r="O770" s="55"/>
      <c r="P770" s="55"/>
      <c r="Q770" s="55"/>
      <c r="R770" s="55"/>
      <c r="S770" s="55"/>
      <c r="T770" s="55"/>
    </row>
    <row x14ac:dyDescent="0.25" r="771" customHeight="1" ht="17.25">
      <c r="A771" s="55"/>
      <c r="B771" s="100"/>
      <c r="C771" s="55"/>
      <c r="D771" s="101"/>
      <c r="E771" s="101"/>
      <c r="F771" s="102"/>
      <c r="G771" s="103"/>
      <c r="H771" s="150"/>
      <c r="I771" s="55"/>
      <c r="J771" s="105"/>
      <c r="K771" s="55"/>
      <c r="L771" s="65"/>
      <c r="M771" s="55"/>
      <c r="N771" s="55"/>
      <c r="O771" s="55"/>
      <c r="P771" s="55"/>
      <c r="Q771" s="55"/>
      <c r="R771" s="55"/>
      <c r="S771" s="55"/>
      <c r="T771" s="55"/>
    </row>
    <row x14ac:dyDescent="0.25" r="772" customHeight="1" ht="17.25">
      <c r="A772" s="55"/>
      <c r="B772" s="100"/>
      <c r="C772" s="55"/>
      <c r="D772" s="101"/>
      <c r="E772" s="101"/>
      <c r="F772" s="102"/>
      <c r="G772" s="103"/>
      <c r="H772" s="150"/>
      <c r="I772" s="55"/>
      <c r="J772" s="105"/>
      <c r="K772" s="55"/>
      <c r="L772" s="65"/>
      <c r="M772" s="55"/>
      <c r="N772" s="55"/>
      <c r="O772" s="55"/>
      <c r="P772" s="55"/>
      <c r="Q772" s="55"/>
      <c r="R772" s="55"/>
      <c r="S772" s="55"/>
      <c r="T772" s="55"/>
    </row>
    <row x14ac:dyDescent="0.25" r="773" customHeight="1" ht="17.25">
      <c r="A773" s="55"/>
      <c r="B773" s="100"/>
      <c r="C773" s="55"/>
      <c r="D773" s="101"/>
      <c r="E773" s="101"/>
      <c r="F773" s="102"/>
      <c r="G773" s="103"/>
      <c r="H773" s="150"/>
      <c r="I773" s="55"/>
      <c r="J773" s="105"/>
      <c r="K773" s="55"/>
      <c r="L773" s="65"/>
      <c r="M773" s="55"/>
      <c r="N773" s="55"/>
      <c r="O773" s="55"/>
      <c r="P773" s="55"/>
      <c r="Q773" s="55"/>
      <c r="R773" s="55"/>
      <c r="S773" s="55"/>
      <c r="T773" s="55"/>
    </row>
    <row x14ac:dyDescent="0.25" r="774" customHeight="1" ht="17.25">
      <c r="A774" s="55"/>
      <c r="B774" s="100"/>
      <c r="C774" s="55"/>
      <c r="D774" s="101"/>
      <c r="E774" s="101"/>
      <c r="F774" s="102"/>
      <c r="G774" s="103"/>
      <c r="H774" s="150"/>
      <c r="I774" s="55"/>
      <c r="J774" s="105"/>
      <c r="K774" s="55"/>
      <c r="L774" s="65"/>
      <c r="M774" s="55"/>
      <c r="N774" s="55"/>
      <c r="O774" s="55"/>
      <c r="P774" s="55"/>
      <c r="Q774" s="55"/>
      <c r="R774" s="55"/>
      <c r="S774" s="55"/>
      <c r="T774" s="55"/>
    </row>
    <row x14ac:dyDescent="0.25" r="775" customHeight="1" ht="17.25">
      <c r="A775" s="55"/>
      <c r="B775" s="100"/>
      <c r="C775" s="55"/>
      <c r="D775" s="101"/>
      <c r="E775" s="101"/>
      <c r="F775" s="102"/>
      <c r="G775" s="103"/>
      <c r="H775" s="150"/>
      <c r="I775" s="55"/>
      <c r="J775" s="105"/>
      <c r="K775" s="55"/>
      <c r="L775" s="65"/>
      <c r="M775" s="55"/>
      <c r="N775" s="55"/>
      <c r="O775" s="55"/>
      <c r="P775" s="55"/>
      <c r="Q775" s="55"/>
      <c r="R775" s="55"/>
      <c r="S775" s="55"/>
      <c r="T775" s="55"/>
    </row>
    <row x14ac:dyDescent="0.25" r="776" customHeight="1" ht="17.25">
      <c r="A776" s="55"/>
      <c r="B776" s="100"/>
      <c r="C776" s="55"/>
      <c r="D776" s="101"/>
      <c r="E776" s="101"/>
      <c r="F776" s="102"/>
      <c r="G776" s="103"/>
      <c r="H776" s="150"/>
      <c r="I776" s="55"/>
      <c r="J776" s="105"/>
      <c r="K776" s="55"/>
      <c r="L776" s="65"/>
      <c r="M776" s="55"/>
      <c r="N776" s="55"/>
      <c r="O776" s="55"/>
      <c r="P776" s="55"/>
      <c r="Q776" s="55"/>
      <c r="R776" s="55"/>
      <c r="S776" s="55"/>
      <c r="T776" s="55"/>
    </row>
    <row x14ac:dyDescent="0.25" r="777" customHeight="1" ht="17.25">
      <c r="A777" s="55"/>
      <c r="B777" s="100"/>
      <c r="C777" s="55"/>
      <c r="D777" s="101"/>
      <c r="E777" s="101"/>
      <c r="F777" s="102"/>
      <c r="G777" s="103"/>
      <c r="H777" s="150"/>
      <c r="I777" s="55"/>
      <c r="J777" s="105"/>
      <c r="K777" s="55"/>
      <c r="L777" s="65"/>
      <c r="M777" s="55"/>
      <c r="N777" s="55"/>
      <c r="O777" s="55"/>
      <c r="P777" s="55"/>
      <c r="Q777" s="55"/>
      <c r="R777" s="55"/>
      <c r="S777" s="55"/>
      <c r="T777" s="55"/>
    </row>
    <row x14ac:dyDescent="0.25" r="778" customHeight="1" ht="17.25">
      <c r="A778" s="55"/>
      <c r="B778" s="100"/>
      <c r="C778" s="55"/>
      <c r="D778" s="101"/>
      <c r="E778" s="101"/>
      <c r="F778" s="102"/>
      <c r="G778" s="103"/>
      <c r="H778" s="150"/>
      <c r="I778" s="55"/>
      <c r="J778" s="105"/>
      <c r="K778" s="55"/>
      <c r="L778" s="65"/>
      <c r="M778" s="55"/>
      <c r="N778" s="55"/>
      <c r="O778" s="55"/>
      <c r="P778" s="55"/>
      <c r="Q778" s="55"/>
      <c r="R778" s="55"/>
      <c r="S778" s="55"/>
      <c r="T778" s="55"/>
    </row>
    <row x14ac:dyDescent="0.25" r="779" customHeight="1" ht="17.25">
      <c r="A779" s="55"/>
      <c r="B779" s="100"/>
      <c r="C779" s="55"/>
      <c r="D779" s="101"/>
      <c r="E779" s="101"/>
      <c r="F779" s="102"/>
      <c r="G779" s="103"/>
      <c r="H779" s="150"/>
      <c r="I779" s="55"/>
      <c r="J779" s="105"/>
      <c r="K779" s="55"/>
      <c r="L779" s="65"/>
      <c r="M779" s="55"/>
      <c r="N779" s="55"/>
      <c r="O779" s="55"/>
      <c r="P779" s="55"/>
      <c r="Q779" s="55"/>
      <c r="R779" s="55"/>
      <c r="S779" s="55"/>
      <c r="T779" s="55"/>
    </row>
    <row x14ac:dyDescent="0.25" r="780" customHeight="1" ht="17.25">
      <c r="A780" s="55"/>
      <c r="B780" s="100"/>
      <c r="C780" s="55"/>
      <c r="D780" s="101"/>
      <c r="E780" s="101"/>
      <c r="F780" s="102"/>
      <c r="G780" s="103"/>
      <c r="H780" s="150"/>
      <c r="I780" s="55"/>
      <c r="J780" s="105"/>
      <c r="K780" s="55"/>
      <c r="L780" s="65"/>
      <c r="M780" s="55"/>
      <c r="N780" s="55"/>
      <c r="O780" s="55"/>
      <c r="P780" s="55"/>
      <c r="Q780" s="55"/>
      <c r="R780" s="55"/>
      <c r="S780" s="55"/>
      <c r="T780" s="55"/>
    </row>
    <row x14ac:dyDescent="0.25" r="781" customHeight="1" ht="17.25">
      <c r="A781" s="55"/>
      <c r="B781" s="100"/>
      <c r="C781" s="55"/>
      <c r="D781" s="101"/>
      <c r="E781" s="101"/>
      <c r="F781" s="102"/>
      <c r="G781" s="103"/>
      <c r="H781" s="150"/>
      <c r="I781" s="55"/>
      <c r="J781" s="105"/>
      <c r="K781" s="55"/>
      <c r="L781" s="65"/>
      <c r="M781" s="55"/>
      <c r="N781" s="55"/>
      <c r="O781" s="55"/>
      <c r="P781" s="55"/>
      <c r="Q781" s="55"/>
      <c r="R781" s="55"/>
      <c r="S781" s="55"/>
      <c r="T781" s="55"/>
    </row>
    <row x14ac:dyDescent="0.25" r="782" customHeight="1" ht="17.25">
      <c r="A782" s="55"/>
      <c r="B782" s="100"/>
      <c r="C782" s="55"/>
      <c r="D782" s="101"/>
      <c r="E782" s="101"/>
      <c r="F782" s="102"/>
      <c r="G782" s="103"/>
      <c r="H782" s="150"/>
      <c r="I782" s="55"/>
      <c r="J782" s="105"/>
      <c r="K782" s="55"/>
      <c r="L782" s="65"/>
      <c r="M782" s="55"/>
      <c r="N782" s="55"/>
      <c r="O782" s="55"/>
      <c r="P782" s="55"/>
      <c r="Q782" s="55"/>
      <c r="R782" s="55"/>
      <c r="S782" s="55"/>
      <c r="T782" s="55"/>
    </row>
    <row x14ac:dyDescent="0.25" r="783" customHeight="1" ht="17.25">
      <c r="A783" s="55"/>
      <c r="B783" s="100"/>
      <c r="C783" s="55"/>
      <c r="D783" s="101"/>
      <c r="E783" s="101"/>
      <c r="F783" s="102"/>
      <c r="G783" s="103"/>
      <c r="H783" s="150"/>
      <c r="I783" s="55"/>
      <c r="J783" s="105"/>
      <c r="K783" s="55"/>
      <c r="L783" s="65"/>
      <c r="M783" s="55"/>
      <c r="N783" s="55"/>
      <c r="O783" s="55"/>
      <c r="P783" s="55"/>
      <c r="Q783" s="55"/>
      <c r="R783" s="55"/>
      <c r="S783" s="55"/>
      <c r="T783" s="55"/>
    </row>
    <row x14ac:dyDescent="0.25" r="784" customHeight="1" ht="17.25">
      <c r="A784" s="55"/>
      <c r="B784" s="100"/>
      <c r="C784" s="55"/>
      <c r="D784" s="101"/>
      <c r="E784" s="101"/>
      <c r="F784" s="102"/>
      <c r="G784" s="103"/>
      <c r="H784" s="150"/>
      <c r="I784" s="55"/>
      <c r="J784" s="105"/>
      <c r="K784" s="55"/>
      <c r="L784" s="65"/>
      <c r="M784" s="55"/>
      <c r="N784" s="55"/>
      <c r="O784" s="55"/>
      <c r="P784" s="55"/>
      <c r="Q784" s="55"/>
      <c r="R784" s="55"/>
      <c r="S784" s="55"/>
      <c r="T784" s="55"/>
    </row>
    <row x14ac:dyDescent="0.25" r="785" customHeight="1" ht="17.25">
      <c r="A785" s="55"/>
      <c r="B785" s="100"/>
      <c r="C785" s="55"/>
      <c r="D785" s="101"/>
      <c r="E785" s="101"/>
      <c r="F785" s="102"/>
      <c r="G785" s="103"/>
      <c r="H785" s="150"/>
      <c r="I785" s="55"/>
      <c r="J785" s="105"/>
      <c r="K785" s="55"/>
      <c r="L785" s="65"/>
      <c r="M785" s="55"/>
      <c r="N785" s="55"/>
      <c r="O785" s="55"/>
      <c r="P785" s="55"/>
      <c r="Q785" s="55"/>
      <c r="R785" s="55"/>
      <c r="S785" s="55"/>
      <c r="T785" s="55"/>
    </row>
    <row x14ac:dyDescent="0.25" r="786" customHeight="1" ht="17.25">
      <c r="A786" s="55"/>
      <c r="B786" s="100"/>
      <c r="C786" s="55"/>
      <c r="D786" s="101"/>
      <c r="E786" s="101"/>
      <c r="F786" s="102"/>
      <c r="G786" s="103"/>
      <c r="H786" s="150"/>
      <c r="I786" s="55"/>
      <c r="J786" s="105"/>
      <c r="K786" s="55"/>
      <c r="L786" s="65"/>
      <c r="M786" s="55"/>
      <c r="N786" s="55"/>
      <c r="O786" s="55"/>
      <c r="P786" s="55"/>
      <c r="Q786" s="55"/>
      <c r="R786" s="55"/>
      <c r="S786" s="55"/>
      <c r="T786" s="55"/>
    </row>
    <row x14ac:dyDescent="0.25" r="787" customHeight="1" ht="17.25">
      <c r="A787" s="55"/>
      <c r="B787" s="100"/>
      <c r="C787" s="55"/>
      <c r="D787" s="101"/>
      <c r="E787" s="101"/>
      <c r="F787" s="102"/>
      <c r="G787" s="103"/>
      <c r="H787" s="150"/>
      <c r="I787" s="55"/>
      <c r="J787" s="105"/>
      <c r="K787" s="55"/>
      <c r="L787" s="65"/>
      <c r="M787" s="55"/>
      <c r="N787" s="55"/>
      <c r="O787" s="55"/>
      <c r="P787" s="55"/>
      <c r="Q787" s="55"/>
      <c r="R787" s="55"/>
      <c r="S787" s="55"/>
      <c r="T787" s="55"/>
    </row>
    <row x14ac:dyDescent="0.25" r="788" customHeight="1" ht="17.25">
      <c r="A788" s="55"/>
      <c r="B788" s="100"/>
      <c r="C788" s="55"/>
      <c r="D788" s="101"/>
      <c r="E788" s="101"/>
      <c r="F788" s="102"/>
      <c r="G788" s="103"/>
      <c r="H788" s="150"/>
      <c r="I788" s="55"/>
      <c r="J788" s="105"/>
      <c r="K788" s="55"/>
      <c r="L788" s="65"/>
      <c r="M788" s="55"/>
      <c r="N788" s="55"/>
      <c r="O788" s="55"/>
      <c r="P788" s="55"/>
      <c r="Q788" s="55"/>
      <c r="R788" s="55"/>
      <c r="S788" s="55"/>
      <c r="T788" s="55"/>
    </row>
    <row x14ac:dyDescent="0.25" r="789" customHeight="1" ht="17.25">
      <c r="A789" s="55"/>
      <c r="B789" s="100"/>
      <c r="C789" s="55"/>
      <c r="D789" s="101"/>
      <c r="E789" s="101"/>
      <c r="F789" s="102"/>
      <c r="G789" s="103"/>
      <c r="H789" s="150"/>
      <c r="I789" s="55"/>
      <c r="J789" s="105"/>
      <c r="K789" s="55"/>
      <c r="L789" s="65"/>
      <c r="M789" s="55"/>
      <c r="N789" s="55"/>
      <c r="O789" s="55"/>
      <c r="P789" s="55"/>
      <c r="Q789" s="55"/>
      <c r="R789" s="55"/>
      <c r="S789" s="55"/>
      <c r="T789" s="55"/>
    </row>
    <row x14ac:dyDescent="0.25" r="790" customHeight="1" ht="17.25">
      <c r="A790" s="55"/>
      <c r="B790" s="100"/>
      <c r="C790" s="55"/>
      <c r="D790" s="101"/>
      <c r="E790" s="101"/>
      <c r="F790" s="102"/>
      <c r="G790" s="103"/>
      <c r="H790" s="150"/>
      <c r="I790" s="55"/>
      <c r="J790" s="105"/>
      <c r="K790" s="55"/>
      <c r="L790" s="65"/>
      <c r="M790" s="55"/>
      <c r="N790" s="55"/>
      <c r="O790" s="55"/>
      <c r="P790" s="55"/>
      <c r="Q790" s="55"/>
      <c r="R790" s="55"/>
      <c r="S790" s="55"/>
      <c r="T790" s="55"/>
    </row>
    <row x14ac:dyDescent="0.25" r="791" customHeight="1" ht="17.25">
      <c r="A791" s="55"/>
      <c r="B791" s="100"/>
      <c r="C791" s="55"/>
      <c r="D791" s="101"/>
      <c r="E791" s="101"/>
      <c r="F791" s="102"/>
      <c r="G791" s="103"/>
      <c r="H791" s="150"/>
      <c r="I791" s="55"/>
      <c r="J791" s="105"/>
      <c r="K791" s="55"/>
      <c r="L791" s="65"/>
      <c r="M791" s="55"/>
      <c r="N791" s="55"/>
      <c r="O791" s="55"/>
      <c r="P791" s="55"/>
      <c r="Q791" s="55"/>
      <c r="R791" s="55"/>
      <c r="S791" s="55"/>
      <c r="T791" s="55"/>
    </row>
    <row x14ac:dyDescent="0.25" r="792" customHeight="1" ht="17.25">
      <c r="A792" s="55"/>
      <c r="B792" s="100"/>
      <c r="C792" s="55"/>
      <c r="D792" s="101"/>
      <c r="E792" s="101"/>
      <c r="F792" s="102"/>
      <c r="G792" s="103"/>
      <c r="H792" s="150"/>
      <c r="I792" s="55"/>
      <c r="J792" s="105"/>
      <c r="K792" s="55"/>
      <c r="L792" s="65"/>
      <c r="M792" s="55"/>
      <c r="N792" s="55"/>
      <c r="O792" s="55"/>
      <c r="P792" s="55"/>
      <c r="Q792" s="55"/>
      <c r="R792" s="55"/>
      <c r="S792" s="55"/>
      <c r="T792" s="55"/>
    </row>
    <row x14ac:dyDescent="0.25" r="793" customHeight="1" ht="17.25">
      <c r="A793" s="55"/>
      <c r="B793" s="100"/>
      <c r="C793" s="55"/>
      <c r="D793" s="101"/>
      <c r="E793" s="101"/>
      <c r="F793" s="102"/>
      <c r="G793" s="103"/>
      <c r="H793" s="150"/>
      <c r="I793" s="55"/>
      <c r="J793" s="105"/>
      <c r="K793" s="55"/>
      <c r="L793" s="65"/>
      <c r="M793" s="55"/>
      <c r="N793" s="55"/>
      <c r="O793" s="55"/>
      <c r="P793" s="55"/>
      <c r="Q793" s="55"/>
      <c r="R793" s="55"/>
      <c r="S793" s="55"/>
      <c r="T793" s="55"/>
    </row>
    <row x14ac:dyDescent="0.25" r="794" customHeight="1" ht="17.25">
      <c r="A794" s="55"/>
      <c r="B794" s="100"/>
      <c r="C794" s="55"/>
      <c r="D794" s="101"/>
      <c r="E794" s="101"/>
      <c r="F794" s="102"/>
      <c r="G794" s="103"/>
      <c r="H794" s="150"/>
      <c r="I794" s="55"/>
      <c r="J794" s="105"/>
      <c r="K794" s="55"/>
      <c r="L794" s="65"/>
      <c r="M794" s="55"/>
      <c r="N794" s="55"/>
      <c r="O794" s="55"/>
      <c r="P794" s="55"/>
      <c r="Q794" s="55"/>
      <c r="R794" s="55"/>
      <c r="S794" s="55"/>
      <c r="T794" s="55"/>
    </row>
    <row x14ac:dyDescent="0.25" r="795" customHeight="1" ht="17.25">
      <c r="A795" s="55"/>
      <c r="B795" s="100"/>
      <c r="C795" s="55"/>
      <c r="D795" s="101"/>
      <c r="E795" s="101"/>
      <c r="F795" s="102"/>
      <c r="G795" s="103"/>
      <c r="H795" s="150"/>
      <c r="I795" s="55"/>
      <c r="J795" s="105"/>
      <c r="K795" s="55"/>
      <c r="L795" s="65"/>
      <c r="M795" s="55"/>
      <c r="N795" s="55"/>
      <c r="O795" s="55"/>
      <c r="P795" s="55"/>
      <c r="Q795" s="55"/>
      <c r="R795" s="55"/>
      <c r="S795" s="55"/>
      <c r="T795" s="55"/>
    </row>
    <row x14ac:dyDescent="0.25" r="796" customHeight="1" ht="17.25">
      <c r="A796" s="55"/>
      <c r="B796" s="100"/>
      <c r="C796" s="55"/>
      <c r="D796" s="101"/>
      <c r="E796" s="101"/>
      <c r="F796" s="102"/>
      <c r="G796" s="103"/>
      <c r="H796" s="150"/>
      <c r="I796" s="55"/>
      <c r="J796" s="105"/>
      <c r="K796" s="55"/>
      <c r="L796" s="65"/>
      <c r="M796" s="55"/>
      <c r="N796" s="55"/>
      <c r="O796" s="55"/>
      <c r="P796" s="55"/>
      <c r="Q796" s="55"/>
      <c r="R796" s="55"/>
      <c r="S796" s="55"/>
      <c r="T796" s="55"/>
    </row>
    <row x14ac:dyDescent="0.25" r="797" customHeight="1" ht="17.25">
      <c r="A797" s="55"/>
      <c r="B797" s="100"/>
      <c r="C797" s="55"/>
      <c r="D797" s="101"/>
      <c r="E797" s="101"/>
      <c r="F797" s="102"/>
      <c r="G797" s="103"/>
      <c r="H797" s="150"/>
      <c r="I797" s="55"/>
      <c r="J797" s="105"/>
      <c r="K797" s="55"/>
      <c r="L797" s="65"/>
      <c r="M797" s="55"/>
      <c r="N797" s="55"/>
      <c r="O797" s="55"/>
      <c r="P797" s="55"/>
      <c r="Q797" s="55"/>
      <c r="R797" s="55"/>
      <c r="S797" s="55"/>
      <c r="T797" s="55"/>
    </row>
    <row x14ac:dyDescent="0.25" r="798" customHeight="1" ht="17.25">
      <c r="A798" s="55"/>
      <c r="B798" s="100"/>
      <c r="C798" s="55"/>
      <c r="D798" s="101"/>
      <c r="E798" s="101"/>
      <c r="F798" s="102"/>
      <c r="G798" s="103"/>
      <c r="H798" s="150"/>
      <c r="I798" s="55"/>
      <c r="J798" s="105"/>
      <c r="K798" s="55"/>
      <c r="L798" s="65"/>
      <c r="M798" s="55"/>
      <c r="N798" s="55"/>
      <c r="O798" s="55"/>
      <c r="P798" s="55"/>
      <c r="Q798" s="55"/>
      <c r="R798" s="55"/>
      <c r="S798" s="55"/>
      <c r="T798" s="55"/>
    </row>
    <row x14ac:dyDescent="0.25" r="799" customHeight="1" ht="17.25">
      <c r="A799" s="55"/>
      <c r="B799" s="100"/>
      <c r="C799" s="55"/>
      <c r="D799" s="101"/>
      <c r="E799" s="101"/>
      <c r="F799" s="102"/>
      <c r="G799" s="103"/>
      <c r="H799" s="150"/>
      <c r="I799" s="55"/>
      <c r="J799" s="105"/>
      <c r="K799" s="55"/>
      <c r="L799" s="65"/>
      <c r="M799" s="55"/>
      <c r="N799" s="55"/>
      <c r="O799" s="55"/>
      <c r="P799" s="55"/>
      <c r="Q799" s="55"/>
      <c r="R799" s="55"/>
      <c r="S799" s="55"/>
      <c r="T799" s="55"/>
    </row>
    <row x14ac:dyDescent="0.25" r="800" customHeight="1" ht="17.25">
      <c r="A800" s="55"/>
      <c r="B800" s="100"/>
      <c r="C800" s="55"/>
      <c r="D800" s="101"/>
      <c r="E800" s="101"/>
      <c r="F800" s="102"/>
      <c r="G800" s="103"/>
      <c r="H800" s="150"/>
      <c r="I800" s="55"/>
      <c r="J800" s="105"/>
      <c r="K800" s="55"/>
      <c r="L800" s="65"/>
      <c r="M800" s="55"/>
      <c r="N800" s="55"/>
      <c r="O800" s="55"/>
      <c r="P800" s="55"/>
      <c r="Q800" s="55"/>
      <c r="R800" s="55"/>
      <c r="S800" s="55"/>
      <c r="T800" s="55"/>
    </row>
    <row x14ac:dyDescent="0.25" r="801" customHeight="1" ht="17.25">
      <c r="A801" s="55"/>
      <c r="B801" s="100"/>
      <c r="C801" s="55"/>
      <c r="D801" s="101"/>
      <c r="E801" s="101"/>
      <c r="F801" s="102"/>
      <c r="G801" s="103"/>
      <c r="H801" s="150"/>
      <c r="I801" s="55"/>
      <c r="J801" s="105"/>
      <c r="K801" s="55"/>
      <c r="L801" s="65"/>
      <c r="M801" s="55"/>
      <c r="N801" s="55"/>
      <c r="O801" s="55"/>
      <c r="P801" s="55"/>
      <c r="Q801" s="55"/>
      <c r="R801" s="55"/>
      <c r="S801" s="55"/>
      <c r="T801" s="55"/>
    </row>
    <row x14ac:dyDescent="0.25" r="802" customHeight="1" ht="17.25">
      <c r="A802" s="55"/>
      <c r="B802" s="100"/>
      <c r="C802" s="55"/>
      <c r="D802" s="101"/>
      <c r="E802" s="101"/>
      <c r="F802" s="102"/>
      <c r="G802" s="103"/>
      <c r="H802" s="150"/>
      <c r="I802" s="55"/>
      <c r="J802" s="105"/>
      <c r="K802" s="55"/>
      <c r="L802" s="65"/>
      <c r="M802" s="55"/>
      <c r="N802" s="55"/>
      <c r="O802" s="55"/>
      <c r="P802" s="55"/>
      <c r="Q802" s="55"/>
      <c r="R802" s="55"/>
      <c r="S802" s="55"/>
      <c r="T802" s="55"/>
    </row>
    <row x14ac:dyDescent="0.25" r="803" customHeight="1" ht="17.25">
      <c r="A803" s="55"/>
      <c r="B803" s="100"/>
      <c r="C803" s="55"/>
      <c r="D803" s="101"/>
      <c r="E803" s="101"/>
      <c r="F803" s="102"/>
      <c r="G803" s="103"/>
      <c r="H803" s="150"/>
      <c r="I803" s="55"/>
      <c r="J803" s="105"/>
      <c r="K803" s="55"/>
      <c r="L803" s="65"/>
      <c r="M803" s="55"/>
      <c r="N803" s="55"/>
      <c r="O803" s="55"/>
      <c r="P803" s="55"/>
      <c r="Q803" s="55"/>
      <c r="R803" s="55"/>
      <c r="S803" s="55"/>
      <c r="T803" s="55"/>
    </row>
    <row x14ac:dyDescent="0.25" r="804" customHeight="1" ht="17.25">
      <c r="A804" s="55"/>
      <c r="B804" s="100"/>
      <c r="C804" s="55"/>
      <c r="D804" s="101"/>
      <c r="E804" s="101"/>
      <c r="F804" s="102"/>
      <c r="G804" s="103"/>
      <c r="H804" s="150"/>
      <c r="I804" s="55"/>
      <c r="J804" s="105"/>
      <c r="K804" s="55"/>
      <c r="L804" s="65"/>
      <c r="M804" s="55"/>
      <c r="N804" s="55"/>
      <c r="O804" s="55"/>
      <c r="P804" s="55"/>
      <c r="Q804" s="55"/>
      <c r="R804" s="55"/>
      <c r="S804" s="55"/>
      <c r="T804" s="55"/>
    </row>
    <row x14ac:dyDescent="0.25" r="805" customHeight="1" ht="17.25">
      <c r="A805" s="55"/>
      <c r="B805" s="100"/>
      <c r="C805" s="55"/>
      <c r="D805" s="101"/>
      <c r="E805" s="101"/>
      <c r="F805" s="102"/>
      <c r="G805" s="103"/>
      <c r="H805" s="150"/>
      <c r="I805" s="55"/>
      <c r="J805" s="105"/>
      <c r="K805" s="55"/>
      <c r="L805" s="65"/>
      <c r="M805" s="55"/>
      <c r="N805" s="55"/>
      <c r="O805" s="55"/>
      <c r="P805" s="55"/>
      <c r="Q805" s="55"/>
      <c r="R805" s="55"/>
      <c r="S805" s="55"/>
      <c r="T805" s="55"/>
    </row>
    <row x14ac:dyDescent="0.25" r="806" customHeight="1" ht="17.25">
      <c r="A806" s="55"/>
      <c r="B806" s="100"/>
      <c r="C806" s="55"/>
      <c r="D806" s="101"/>
      <c r="E806" s="101"/>
      <c r="F806" s="102"/>
      <c r="G806" s="103"/>
      <c r="H806" s="150"/>
      <c r="I806" s="55"/>
      <c r="J806" s="105"/>
      <c r="K806" s="55"/>
      <c r="L806" s="65"/>
      <c r="M806" s="55"/>
      <c r="N806" s="55"/>
      <c r="O806" s="55"/>
      <c r="P806" s="55"/>
      <c r="Q806" s="55"/>
      <c r="R806" s="55"/>
      <c r="S806" s="55"/>
      <c r="T806" s="55"/>
    </row>
    <row x14ac:dyDescent="0.25" r="807" customHeight="1" ht="17.25">
      <c r="A807" s="55"/>
      <c r="B807" s="100"/>
      <c r="C807" s="55"/>
      <c r="D807" s="101"/>
      <c r="E807" s="101"/>
      <c r="F807" s="102"/>
      <c r="G807" s="103"/>
      <c r="H807" s="150"/>
      <c r="I807" s="55"/>
      <c r="J807" s="105"/>
      <c r="K807" s="55"/>
      <c r="L807" s="65"/>
      <c r="M807" s="55"/>
      <c r="N807" s="55"/>
      <c r="O807" s="55"/>
      <c r="P807" s="55"/>
      <c r="Q807" s="55"/>
      <c r="R807" s="55"/>
      <c r="S807" s="55"/>
      <c r="T807" s="55"/>
    </row>
    <row x14ac:dyDescent="0.25" r="808" customHeight="1" ht="17.25">
      <c r="A808" s="55"/>
      <c r="B808" s="100"/>
      <c r="C808" s="55"/>
      <c r="D808" s="101"/>
      <c r="E808" s="101"/>
      <c r="F808" s="102"/>
      <c r="G808" s="103"/>
      <c r="H808" s="150"/>
      <c r="I808" s="55"/>
      <c r="J808" s="105"/>
      <c r="K808" s="55"/>
      <c r="L808" s="65"/>
      <c r="M808" s="55"/>
      <c r="N808" s="55"/>
      <c r="O808" s="55"/>
      <c r="P808" s="55"/>
      <c r="Q808" s="55"/>
      <c r="R808" s="55"/>
      <c r="S808" s="55"/>
      <c r="T808" s="55"/>
    </row>
    <row x14ac:dyDescent="0.25" r="809" customHeight="1" ht="17.25">
      <c r="A809" s="55"/>
      <c r="B809" s="100"/>
      <c r="C809" s="55"/>
      <c r="D809" s="101"/>
      <c r="E809" s="101"/>
      <c r="F809" s="102"/>
      <c r="G809" s="103"/>
      <c r="H809" s="150"/>
      <c r="I809" s="55"/>
      <c r="J809" s="105"/>
      <c r="K809" s="55"/>
      <c r="L809" s="65"/>
      <c r="M809" s="55"/>
      <c r="N809" s="55"/>
      <c r="O809" s="55"/>
      <c r="P809" s="55"/>
      <c r="Q809" s="55"/>
      <c r="R809" s="55"/>
      <c r="S809" s="55"/>
      <c r="T809" s="55"/>
    </row>
    <row x14ac:dyDescent="0.25" r="810" customHeight="1" ht="17.25">
      <c r="A810" s="55"/>
      <c r="B810" s="100"/>
      <c r="C810" s="55"/>
      <c r="D810" s="101"/>
      <c r="E810" s="101"/>
      <c r="F810" s="102"/>
      <c r="G810" s="103"/>
      <c r="H810" s="150"/>
      <c r="I810" s="55"/>
      <c r="J810" s="105"/>
      <c r="K810" s="55"/>
      <c r="L810" s="65"/>
      <c r="M810" s="55"/>
      <c r="N810" s="55"/>
      <c r="O810" s="55"/>
      <c r="P810" s="55"/>
      <c r="Q810" s="55"/>
      <c r="R810" s="55"/>
      <c r="S810" s="55"/>
      <c r="T810" s="55"/>
    </row>
    <row x14ac:dyDescent="0.25" r="811" customHeight="1" ht="17.25">
      <c r="A811" s="55"/>
      <c r="B811" s="100"/>
      <c r="C811" s="55"/>
      <c r="D811" s="101"/>
      <c r="E811" s="101"/>
      <c r="F811" s="102"/>
      <c r="G811" s="103"/>
      <c r="H811" s="150"/>
      <c r="I811" s="55"/>
      <c r="J811" s="105"/>
      <c r="K811" s="55"/>
      <c r="L811" s="65"/>
      <c r="M811" s="55"/>
      <c r="N811" s="55"/>
      <c r="O811" s="55"/>
      <c r="P811" s="55"/>
      <c r="Q811" s="55"/>
      <c r="R811" s="55"/>
      <c r="S811" s="55"/>
      <c r="T811" s="55"/>
    </row>
    <row x14ac:dyDescent="0.25" r="812" customHeight="1" ht="17.25">
      <c r="A812" s="55"/>
      <c r="B812" s="100"/>
      <c r="C812" s="55"/>
      <c r="D812" s="101"/>
      <c r="E812" s="101"/>
      <c r="F812" s="102"/>
      <c r="G812" s="103"/>
      <c r="H812" s="150"/>
      <c r="I812" s="55"/>
      <c r="J812" s="105"/>
      <c r="K812" s="55"/>
      <c r="L812" s="65"/>
      <c r="M812" s="55"/>
      <c r="N812" s="55"/>
      <c r="O812" s="55"/>
      <c r="P812" s="55"/>
      <c r="Q812" s="55"/>
      <c r="R812" s="55"/>
      <c r="S812" s="55"/>
      <c r="T812" s="55"/>
    </row>
    <row x14ac:dyDescent="0.25" r="813" customHeight="1" ht="17.25">
      <c r="A813" s="55"/>
      <c r="B813" s="100"/>
      <c r="C813" s="55"/>
      <c r="D813" s="101"/>
      <c r="E813" s="101"/>
      <c r="F813" s="102"/>
      <c r="G813" s="103"/>
      <c r="H813" s="150"/>
      <c r="I813" s="55"/>
      <c r="J813" s="105"/>
      <c r="K813" s="55"/>
      <c r="L813" s="65"/>
      <c r="M813" s="55"/>
      <c r="N813" s="55"/>
      <c r="O813" s="55"/>
      <c r="P813" s="55"/>
      <c r="Q813" s="55"/>
      <c r="R813" s="55"/>
      <c r="S813" s="55"/>
      <c r="T813" s="55"/>
    </row>
    <row x14ac:dyDescent="0.25" r="814" customHeight="1" ht="17.25">
      <c r="A814" s="55"/>
      <c r="B814" s="100"/>
      <c r="C814" s="55"/>
      <c r="D814" s="101"/>
      <c r="E814" s="101"/>
      <c r="F814" s="102"/>
      <c r="G814" s="103"/>
      <c r="H814" s="150"/>
      <c r="I814" s="55"/>
      <c r="J814" s="105"/>
      <c r="K814" s="55"/>
      <c r="L814" s="65"/>
      <c r="M814" s="55"/>
      <c r="N814" s="55"/>
      <c r="O814" s="55"/>
      <c r="P814" s="55"/>
      <c r="Q814" s="55"/>
      <c r="R814" s="55"/>
      <c r="S814" s="55"/>
      <c r="T814" s="55"/>
    </row>
    <row x14ac:dyDescent="0.25" r="815" customHeight="1" ht="17.25">
      <c r="A815" s="55"/>
      <c r="B815" s="100"/>
      <c r="C815" s="55"/>
      <c r="D815" s="101"/>
      <c r="E815" s="101"/>
      <c r="F815" s="102"/>
      <c r="G815" s="103"/>
      <c r="H815" s="150"/>
      <c r="I815" s="55"/>
      <c r="J815" s="105"/>
      <c r="K815" s="55"/>
      <c r="L815" s="65"/>
      <c r="M815" s="55"/>
      <c r="N815" s="55"/>
      <c r="O815" s="55"/>
      <c r="P815" s="55"/>
      <c r="Q815" s="55"/>
      <c r="R815" s="55"/>
      <c r="S815" s="55"/>
      <c r="T815" s="55"/>
    </row>
    <row x14ac:dyDescent="0.25" r="816" customHeight="1" ht="17.25">
      <c r="A816" s="55"/>
      <c r="B816" s="100"/>
      <c r="C816" s="55"/>
      <c r="D816" s="101"/>
      <c r="E816" s="101"/>
      <c r="F816" s="102"/>
      <c r="G816" s="103"/>
      <c r="H816" s="150"/>
      <c r="I816" s="55"/>
      <c r="J816" s="105"/>
      <c r="K816" s="55"/>
      <c r="L816" s="65"/>
      <c r="M816" s="55"/>
      <c r="N816" s="55"/>
      <c r="O816" s="55"/>
      <c r="P816" s="55"/>
      <c r="Q816" s="55"/>
      <c r="R816" s="55"/>
      <c r="S816" s="55"/>
      <c r="T816" s="55"/>
    </row>
    <row x14ac:dyDescent="0.25" r="817" customHeight="1" ht="17.25">
      <c r="A817" s="55"/>
      <c r="B817" s="100"/>
      <c r="C817" s="55"/>
      <c r="D817" s="101"/>
      <c r="E817" s="101"/>
      <c r="F817" s="102"/>
      <c r="G817" s="103"/>
      <c r="H817" s="150"/>
      <c r="I817" s="55"/>
      <c r="J817" s="105"/>
      <c r="K817" s="55"/>
      <c r="L817" s="65"/>
      <c r="M817" s="55"/>
      <c r="N817" s="55"/>
      <c r="O817" s="55"/>
      <c r="P817" s="55"/>
      <c r="Q817" s="55"/>
      <c r="R817" s="55"/>
      <c r="S817" s="55"/>
      <c r="T817" s="55"/>
    </row>
    <row x14ac:dyDescent="0.25" r="818" customHeight="1" ht="17.25">
      <c r="A818" s="55"/>
      <c r="B818" s="100"/>
      <c r="C818" s="55"/>
      <c r="D818" s="101"/>
      <c r="E818" s="101"/>
      <c r="F818" s="102"/>
      <c r="G818" s="103"/>
      <c r="H818" s="150"/>
      <c r="I818" s="55"/>
      <c r="J818" s="105"/>
      <c r="K818" s="55"/>
      <c r="L818" s="65"/>
      <c r="M818" s="55"/>
      <c r="N818" s="55"/>
      <c r="O818" s="55"/>
      <c r="P818" s="55"/>
      <c r="Q818" s="55"/>
      <c r="R818" s="55"/>
      <c r="S818" s="55"/>
      <c r="T818" s="55"/>
    </row>
    <row x14ac:dyDescent="0.25" r="819" customHeight="1" ht="17.25">
      <c r="A819" s="55"/>
      <c r="B819" s="100"/>
      <c r="C819" s="55"/>
      <c r="D819" s="101"/>
      <c r="E819" s="101"/>
      <c r="F819" s="102"/>
      <c r="G819" s="103"/>
      <c r="H819" s="150"/>
      <c r="I819" s="55"/>
      <c r="J819" s="105"/>
      <c r="K819" s="55"/>
      <c r="L819" s="65"/>
      <c r="M819" s="55"/>
      <c r="N819" s="55"/>
      <c r="O819" s="55"/>
      <c r="P819" s="55"/>
      <c r="Q819" s="55"/>
      <c r="R819" s="55"/>
      <c r="S819" s="55"/>
      <c r="T819" s="55"/>
    </row>
    <row x14ac:dyDescent="0.25" r="820" customHeight="1" ht="17.25">
      <c r="A820" s="55"/>
      <c r="B820" s="100"/>
      <c r="C820" s="55"/>
      <c r="D820" s="101"/>
      <c r="E820" s="101"/>
      <c r="F820" s="102"/>
      <c r="G820" s="103"/>
      <c r="H820" s="150"/>
      <c r="I820" s="55"/>
      <c r="J820" s="105"/>
      <c r="K820" s="55"/>
      <c r="L820" s="65"/>
      <c r="M820" s="55"/>
      <c r="N820" s="55"/>
      <c r="O820" s="55"/>
      <c r="P820" s="55"/>
      <c r="Q820" s="55"/>
      <c r="R820" s="55"/>
      <c r="S820" s="55"/>
      <c r="T820" s="55"/>
    </row>
    <row x14ac:dyDescent="0.25" r="821" customHeight="1" ht="17.25">
      <c r="A821" s="55"/>
      <c r="B821" s="100"/>
      <c r="C821" s="55"/>
      <c r="D821" s="101"/>
      <c r="E821" s="101"/>
      <c r="F821" s="102"/>
      <c r="G821" s="103"/>
      <c r="H821" s="150"/>
      <c r="I821" s="55"/>
      <c r="J821" s="105"/>
      <c r="K821" s="55"/>
      <c r="L821" s="65"/>
      <c r="M821" s="55"/>
      <c r="N821" s="55"/>
      <c r="O821" s="55"/>
      <c r="P821" s="55"/>
      <c r="Q821" s="55"/>
      <c r="R821" s="55"/>
      <c r="S821" s="55"/>
      <c r="T821" s="55"/>
    </row>
    <row x14ac:dyDescent="0.25" r="822" customHeight="1" ht="17.25">
      <c r="A822" s="55"/>
      <c r="B822" s="100"/>
      <c r="C822" s="55"/>
      <c r="D822" s="101"/>
      <c r="E822" s="101"/>
      <c r="F822" s="102"/>
      <c r="G822" s="103"/>
      <c r="H822" s="150"/>
      <c r="I822" s="55"/>
      <c r="J822" s="105"/>
      <c r="K822" s="55"/>
      <c r="L822" s="65"/>
      <c r="M822" s="55"/>
      <c r="N822" s="55"/>
      <c r="O822" s="55"/>
      <c r="P822" s="55"/>
      <c r="Q822" s="55"/>
      <c r="R822" s="55"/>
      <c r="S822" s="55"/>
      <c r="T822" s="55"/>
    </row>
    <row x14ac:dyDescent="0.25" r="823" customHeight="1" ht="17.25">
      <c r="A823" s="55"/>
      <c r="B823" s="100"/>
      <c r="C823" s="55"/>
      <c r="D823" s="101"/>
      <c r="E823" s="101"/>
      <c r="F823" s="102"/>
      <c r="G823" s="103"/>
      <c r="H823" s="150"/>
      <c r="I823" s="55"/>
      <c r="J823" s="105"/>
      <c r="K823" s="55"/>
      <c r="L823" s="65"/>
      <c r="M823" s="55"/>
      <c r="N823" s="55"/>
      <c r="O823" s="55"/>
      <c r="P823" s="55"/>
      <c r="Q823" s="55"/>
      <c r="R823" s="55"/>
      <c r="S823" s="55"/>
      <c r="T823" s="55"/>
    </row>
    <row x14ac:dyDescent="0.25" r="824" customHeight="1" ht="17.25">
      <c r="A824" s="55"/>
      <c r="B824" s="100"/>
      <c r="C824" s="55"/>
      <c r="D824" s="101"/>
      <c r="E824" s="101"/>
      <c r="F824" s="102"/>
      <c r="G824" s="103"/>
      <c r="H824" s="150"/>
      <c r="I824" s="55"/>
      <c r="J824" s="105"/>
      <c r="K824" s="55"/>
      <c r="L824" s="65"/>
      <c r="M824" s="55"/>
      <c r="N824" s="55"/>
      <c r="O824" s="55"/>
      <c r="P824" s="55"/>
      <c r="Q824" s="55"/>
      <c r="R824" s="55"/>
      <c r="S824" s="55"/>
      <c r="T824" s="55"/>
    </row>
    <row x14ac:dyDescent="0.25" r="825" customHeight="1" ht="17.25">
      <c r="A825" s="55"/>
      <c r="B825" s="100"/>
      <c r="C825" s="55"/>
      <c r="D825" s="101"/>
      <c r="E825" s="101"/>
      <c r="F825" s="102"/>
      <c r="G825" s="103"/>
      <c r="H825" s="150"/>
      <c r="I825" s="55"/>
      <c r="J825" s="105"/>
      <c r="K825" s="55"/>
      <c r="L825" s="65"/>
      <c r="M825" s="55"/>
      <c r="N825" s="55"/>
      <c r="O825" s="55"/>
      <c r="P825" s="55"/>
      <c r="Q825" s="55"/>
      <c r="R825" s="55"/>
      <c r="S825" s="55"/>
      <c r="T825" s="55"/>
    </row>
    <row x14ac:dyDescent="0.25" r="826" customHeight="1" ht="17.25">
      <c r="A826" s="55"/>
      <c r="B826" s="100"/>
      <c r="C826" s="55"/>
      <c r="D826" s="101"/>
      <c r="E826" s="101"/>
      <c r="F826" s="102"/>
      <c r="G826" s="103"/>
      <c r="H826" s="150"/>
      <c r="I826" s="55"/>
      <c r="J826" s="105"/>
      <c r="K826" s="55"/>
      <c r="L826" s="65"/>
      <c r="M826" s="55"/>
      <c r="N826" s="55"/>
      <c r="O826" s="55"/>
      <c r="P826" s="55"/>
      <c r="Q826" s="55"/>
      <c r="R826" s="55"/>
      <c r="S826" s="55"/>
      <c r="T826" s="55"/>
    </row>
    <row x14ac:dyDescent="0.25" r="827" customHeight="1" ht="17.25">
      <c r="A827" s="55"/>
      <c r="B827" s="100"/>
      <c r="C827" s="55"/>
      <c r="D827" s="101"/>
      <c r="E827" s="101"/>
      <c r="F827" s="102"/>
      <c r="G827" s="103"/>
      <c r="H827" s="150"/>
      <c r="I827" s="55"/>
      <c r="J827" s="105"/>
      <c r="K827" s="55"/>
      <c r="L827" s="65"/>
      <c r="M827" s="55"/>
      <c r="N827" s="55"/>
      <c r="O827" s="55"/>
      <c r="P827" s="55"/>
      <c r="Q827" s="55"/>
      <c r="R827" s="55"/>
      <c r="S827" s="55"/>
      <c r="T827" s="55"/>
    </row>
    <row x14ac:dyDescent="0.25" r="828" customHeight="1" ht="17.25">
      <c r="A828" s="55"/>
      <c r="B828" s="100"/>
      <c r="C828" s="55"/>
      <c r="D828" s="101"/>
      <c r="E828" s="101"/>
      <c r="F828" s="102"/>
      <c r="G828" s="103"/>
      <c r="H828" s="150"/>
      <c r="I828" s="55"/>
      <c r="J828" s="105"/>
      <c r="K828" s="55"/>
      <c r="L828" s="65"/>
      <c r="M828" s="55"/>
      <c r="N828" s="55"/>
      <c r="O828" s="55"/>
      <c r="P828" s="55"/>
      <c r="Q828" s="55"/>
      <c r="R828" s="55"/>
      <c r="S828" s="55"/>
      <c r="T828" s="55"/>
    </row>
    <row x14ac:dyDescent="0.25" r="829" customHeight="1" ht="17.25">
      <c r="A829" s="55"/>
      <c r="B829" s="100"/>
      <c r="C829" s="55"/>
      <c r="D829" s="101"/>
      <c r="E829" s="101"/>
      <c r="F829" s="102"/>
      <c r="G829" s="103"/>
      <c r="H829" s="150"/>
      <c r="I829" s="55"/>
      <c r="J829" s="105"/>
      <c r="K829" s="55"/>
      <c r="L829" s="65"/>
      <c r="M829" s="55"/>
      <c r="N829" s="55"/>
      <c r="O829" s="55"/>
      <c r="P829" s="55"/>
      <c r="Q829" s="55"/>
      <c r="R829" s="55"/>
      <c r="S829" s="55"/>
      <c r="T829" s="55"/>
    </row>
    <row x14ac:dyDescent="0.25" r="830" customHeight="1" ht="17.25">
      <c r="A830" s="55"/>
      <c r="B830" s="100"/>
      <c r="C830" s="55"/>
      <c r="D830" s="101"/>
      <c r="E830" s="101"/>
      <c r="F830" s="102"/>
      <c r="G830" s="103"/>
      <c r="H830" s="150"/>
      <c r="I830" s="55"/>
      <c r="J830" s="105"/>
      <c r="K830" s="55"/>
      <c r="L830" s="65"/>
      <c r="M830" s="55"/>
      <c r="N830" s="55"/>
      <c r="O830" s="55"/>
      <c r="P830" s="55"/>
      <c r="Q830" s="55"/>
      <c r="R830" s="55"/>
      <c r="S830" s="55"/>
      <c r="T830" s="55"/>
    </row>
    <row x14ac:dyDescent="0.25" r="831" customHeight="1" ht="17.25">
      <c r="A831" s="55"/>
      <c r="B831" s="100"/>
      <c r="C831" s="55"/>
      <c r="D831" s="101"/>
      <c r="E831" s="101"/>
      <c r="F831" s="102"/>
      <c r="G831" s="103"/>
      <c r="H831" s="150"/>
      <c r="I831" s="55"/>
      <c r="J831" s="105"/>
      <c r="K831" s="55"/>
      <c r="L831" s="65"/>
      <c r="M831" s="55"/>
      <c r="N831" s="55"/>
      <c r="O831" s="55"/>
      <c r="P831" s="55"/>
      <c r="Q831" s="55"/>
      <c r="R831" s="55"/>
      <c r="S831" s="55"/>
      <c r="T831" s="55"/>
    </row>
    <row x14ac:dyDescent="0.25" r="832" customHeight="1" ht="17.25">
      <c r="A832" s="55"/>
      <c r="B832" s="100"/>
      <c r="C832" s="55"/>
      <c r="D832" s="101"/>
      <c r="E832" s="101"/>
      <c r="F832" s="102"/>
      <c r="G832" s="103"/>
      <c r="H832" s="150"/>
      <c r="I832" s="55"/>
      <c r="J832" s="105"/>
      <c r="K832" s="55"/>
      <c r="L832" s="65"/>
      <c r="M832" s="55"/>
      <c r="N832" s="55"/>
      <c r="O832" s="55"/>
      <c r="P832" s="55"/>
      <c r="Q832" s="55"/>
      <c r="R832" s="55"/>
      <c r="S832" s="55"/>
      <c r="T832" s="55"/>
    </row>
    <row x14ac:dyDescent="0.25" r="833" customHeight="1" ht="17.25">
      <c r="A833" s="55"/>
      <c r="B833" s="100"/>
      <c r="C833" s="55"/>
      <c r="D833" s="101"/>
      <c r="E833" s="101"/>
      <c r="F833" s="102"/>
      <c r="G833" s="103"/>
      <c r="H833" s="150"/>
      <c r="I833" s="55"/>
      <c r="J833" s="105"/>
      <c r="K833" s="55"/>
      <c r="L833" s="65"/>
      <c r="M833" s="55"/>
      <c r="N833" s="55"/>
      <c r="O833" s="55"/>
      <c r="P833" s="55"/>
      <c r="Q833" s="55"/>
      <c r="R833" s="55"/>
      <c r="S833" s="55"/>
      <c r="T833" s="55"/>
    </row>
    <row x14ac:dyDescent="0.25" r="834" customHeight="1" ht="17.25">
      <c r="A834" s="55"/>
      <c r="B834" s="100"/>
      <c r="C834" s="55"/>
      <c r="D834" s="101"/>
      <c r="E834" s="101"/>
      <c r="F834" s="102"/>
      <c r="G834" s="103"/>
      <c r="H834" s="150"/>
      <c r="I834" s="55"/>
      <c r="J834" s="105"/>
      <c r="K834" s="55"/>
      <c r="L834" s="65"/>
      <c r="M834" s="55"/>
      <c r="N834" s="55"/>
      <c r="O834" s="55"/>
      <c r="P834" s="55"/>
      <c r="Q834" s="55"/>
      <c r="R834" s="55"/>
      <c r="S834" s="55"/>
      <c r="T834" s="55"/>
    </row>
    <row x14ac:dyDescent="0.25" r="835" customHeight="1" ht="17.25">
      <c r="A835" s="55"/>
      <c r="B835" s="100"/>
      <c r="C835" s="55"/>
      <c r="D835" s="101"/>
      <c r="E835" s="101"/>
      <c r="F835" s="102"/>
      <c r="G835" s="103"/>
      <c r="H835" s="150"/>
      <c r="I835" s="55"/>
      <c r="J835" s="105"/>
      <c r="K835" s="55"/>
      <c r="L835" s="65"/>
      <c r="M835" s="55"/>
      <c r="N835" s="55"/>
      <c r="O835" s="55"/>
      <c r="P835" s="55"/>
      <c r="Q835" s="55"/>
      <c r="R835" s="55"/>
      <c r="S835" s="55"/>
      <c r="T835" s="55"/>
    </row>
    <row x14ac:dyDescent="0.25" r="836" customHeight="1" ht="17.25">
      <c r="A836" s="55"/>
      <c r="B836" s="100"/>
      <c r="C836" s="55"/>
      <c r="D836" s="101"/>
      <c r="E836" s="101"/>
      <c r="F836" s="102"/>
      <c r="G836" s="103"/>
      <c r="H836" s="150"/>
      <c r="I836" s="55"/>
      <c r="J836" s="105"/>
      <c r="K836" s="55"/>
      <c r="L836" s="65"/>
      <c r="M836" s="55"/>
      <c r="N836" s="55"/>
      <c r="O836" s="55"/>
      <c r="P836" s="55"/>
      <c r="Q836" s="55"/>
      <c r="R836" s="55"/>
      <c r="S836" s="55"/>
      <c r="T836" s="55"/>
    </row>
    <row x14ac:dyDescent="0.25" r="837" customHeight="1" ht="17.25">
      <c r="A837" s="55"/>
      <c r="B837" s="100"/>
      <c r="C837" s="55"/>
      <c r="D837" s="101"/>
      <c r="E837" s="101"/>
      <c r="F837" s="102"/>
      <c r="G837" s="103"/>
      <c r="H837" s="150"/>
      <c r="I837" s="55"/>
      <c r="J837" s="105"/>
      <c r="K837" s="55"/>
      <c r="L837" s="65"/>
      <c r="M837" s="55"/>
      <c r="N837" s="55"/>
      <c r="O837" s="55"/>
      <c r="P837" s="55"/>
      <c r="Q837" s="55"/>
      <c r="R837" s="55"/>
      <c r="S837" s="55"/>
      <c r="T837" s="55"/>
    </row>
    <row x14ac:dyDescent="0.25" r="838" customHeight="1" ht="17.25">
      <c r="A838" s="55"/>
      <c r="B838" s="100"/>
      <c r="C838" s="55"/>
      <c r="D838" s="101"/>
      <c r="E838" s="101"/>
      <c r="F838" s="102"/>
      <c r="G838" s="103"/>
      <c r="H838" s="150"/>
      <c r="I838" s="55"/>
      <c r="J838" s="105"/>
      <c r="K838" s="55"/>
      <c r="L838" s="65"/>
      <c r="M838" s="55"/>
      <c r="N838" s="55"/>
      <c r="O838" s="55"/>
      <c r="P838" s="55"/>
      <c r="Q838" s="55"/>
      <c r="R838" s="55"/>
      <c r="S838" s="55"/>
      <c r="T838" s="55"/>
    </row>
    <row x14ac:dyDescent="0.25" r="839" customHeight="1" ht="17.25">
      <c r="A839" s="55"/>
      <c r="B839" s="100"/>
      <c r="C839" s="55"/>
      <c r="D839" s="101"/>
      <c r="E839" s="101"/>
      <c r="F839" s="102"/>
      <c r="G839" s="103"/>
      <c r="H839" s="150"/>
      <c r="I839" s="55"/>
      <c r="J839" s="105"/>
      <c r="K839" s="55"/>
      <c r="L839" s="65"/>
      <c r="M839" s="55"/>
      <c r="N839" s="55"/>
      <c r="O839" s="55"/>
      <c r="P839" s="55"/>
      <c r="Q839" s="55"/>
      <c r="R839" s="55"/>
      <c r="S839" s="55"/>
      <c r="T839" s="55"/>
    </row>
    <row x14ac:dyDescent="0.25" r="840" customHeight="1" ht="17.25">
      <c r="A840" s="55"/>
      <c r="B840" s="100"/>
      <c r="C840" s="55"/>
      <c r="D840" s="101"/>
      <c r="E840" s="101"/>
      <c r="F840" s="102"/>
      <c r="G840" s="103"/>
      <c r="H840" s="150"/>
      <c r="I840" s="55"/>
      <c r="J840" s="105"/>
      <c r="K840" s="55"/>
      <c r="L840" s="65"/>
      <c r="M840" s="55"/>
      <c r="N840" s="55"/>
      <c r="O840" s="55"/>
      <c r="P840" s="55"/>
      <c r="Q840" s="55"/>
      <c r="R840" s="55"/>
      <c r="S840" s="55"/>
      <c r="T840" s="55"/>
    </row>
    <row x14ac:dyDescent="0.25" r="841" customHeight="1" ht="17.25">
      <c r="A841" s="55"/>
      <c r="B841" s="100"/>
      <c r="C841" s="55"/>
      <c r="D841" s="101"/>
      <c r="E841" s="101"/>
      <c r="F841" s="102"/>
      <c r="G841" s="103"/>
      <c r="H841" s="150"/>
      <c r="I841" s="55"/>
      <c r="J841" s="105"/>
      <c r="K841" s="55"/>
      <c r="L841" s="65"/>
      <c r="M841" s="55"/>
      <c r="N841" s="55"/>
      <c r="O841" s="55"/>
      <c r="P841" s="55"/>
      <c r="Q841" s="55"/>
      <c r="R841" s="55"/>
      <c r="S841" s="55"/>
      <c r="T841" s="55"/>
    </row>
    <row x14ac:dyDescent="0.25" r="842" customHeight="1" ht="17.25">
      <c r="A842" s="55"/>
      <c r="B842" s="100"/>
      <c r="C842" s="55"/>
      <c r="D842" s="101"/>
      <c r="E842" s="101"/>
      <c r="F842" s="102"/>
      <c r="G842" s="103"/>
      <c r="H842" s="150"/>
      <c r="I842" s="55"/>
      <c r="J842" s="105"/>
      <c r="K842" s="55"/>
      <c r="L842" s="65"/>
      <c r="M842" s="55"/>
      <c r="N842" s="55"/>
      <c r="O842" s="55"/>
      <c r="P842" s="55"/>
      <c r="Q842" s="55"/>
      <c r="R842" s="55"/>
      <c r="S842" s="55"/>
      <c r="T842" s="55"/>
    </row>
    <row x14ac:dyDescent="0.25" r="843" customHeight="1" ht="17.25">
      <c r="A843" s="55"/>
      <c r="B843" s="100"/>
      <c r="C843" s="55"/>
      <c r="D843" s="101"/>
      <c r="E843" s="101"/>
      <c r="F843" s="102"/>
      <c r="G843" s="103"/>
      <c r="H843" s="150"/>
      <c r="I843" s="55"/>
      <c r="J843" s="105"/>
      <c r="K843" s="55"/>
      <c r="L843" s="65"/>
      <c r="M843" s="55"/>
      <c r="N843" s="55"/>
      <c r="O843" s="55"/>
      <c r="P843" s="55"/>
      <c r="Q843" s="55"/>
      <c r="R843" s="55"/>
      <c r="S843" s="55"/>
      <c r="T843" s="55"/>
    </row>
    <row x14ac:dyDescent="0.25" r="844" customHeight="1" ht="17.25">
      <c r="A844" s="55"/>
      <c r="B844" s="100"/>
      <c r="C844" s="55"/>
      <c r="D844" s="101"/>
      <c r="E844" s="101"/>
      <c r="F844" s="102"/>
      <c r="G844" s="103"/>
      <c r="H844" s="150"/>
      <c r="I844" s="55"/>
      <c r="J844" s="105"/>
      <c r="K844" s="55"/>
      <c r="L844" s="65"/>
      <c r="M844" s="55"/>
      <c r="N844" s="55"/>
      <c r="O844" s="55"/>
      <c r="P844" s="55"/>
      <c r="Q844" s="55"/>
      <c r="R844" s="55"/>
      <c r="S844" s="55"/>
      <c r="T844" s="55"/>
    </row>
    <row x14ac:dyDescent="0.25" r="845" customHeight="1" ht="17.25">
      <c r="A845" s="55"/>
      <c r="B845" s="100"/>
      <c r="C845" s="55"/>
      <c r="D845" s="101"/>
      <c r="E845" s="101"/>
      <c r="F845" s="102"/>
      <c r="G845" s="103"/>
      <c r="H845" s="150"/>
      <c r="I845" s="55"/>
      <c r="J845" s="105"/>
      <c r="K845" s="55"/>
      <c r="L845" s="65"/>
      <c r="M845" s="55"/>
      <c r="N845" s="55"/>
      <c r="O845" s="55"/>
      <c r="P845" s="55"/>
      <c r="Q845" s="55"/>
      <c r="R845" s="55"/>
      <c r="S845" s="55"/>
      <c r="T845" s="55"/>
    </row>
    <row x14ac:dyDescent="0.25" r="846" customHeight="1" ht="17.25">
      <c r="A846" s="55"/>
      <c r="B846" s="100"/>
      <c r="C846" s="55"/>
      <c r="D846" s="101"/>
      <c r="E846" s="101"/>
      <c r="F846" s="102"/>
      <c r="G846" s="103"/>
      <c r="H846" s="150"/>
      <c r="I846" s="55"/>
      <c r="J846" s="105"/>
      <c r="K846" s="55"/>
      <c r="L846" s="65"/>
      <c r="M846" s="55"/>
      <c r="N846" s="55"/>
      <c r="O846" s="55"/>
      <c r="P846" s="55"/>
      <c r="Q846" s="55"/>
      <c r="R846" s="55"/>
      <c r="S846" s="55"/>
      <c r="T846" s="55"/>
    </row>
    <row x14ac:dyDescent="0.25" r="847" customHeight="1" ht="17.25">
      <c r="A847" s="55"/>
      <c r="B847" s="100"/>
      <c r="C847" s="55"/>
      <c r="D847" s="101"/>
      <c r="E847" s="101"/>
      <c r="F847" s="102"/>
      <c r="G847" s="103"/>
      <c r="H847" s="150"/>
      <c r="I847" s="55"/>
      <c r="J847" s="105"/>
      <c r="K847" s="55"/>
      <c r="L847" s="65"/>
      <c r="M847" s="55"/>
      <c r="N847" s="55"/>
      <c r="O847" s="55"/>
      <c r="P847" s="55"/>
      <c r="Q847" s="55"/>
      <c r="R847" s="55"/>
      <c r="S847" s="55"/>
      <c r="T847" s="55"/>
    </row>
    <row x14ac:dyDescent="0.25" r="848" customHeight="1" ht="17.25">
      <c r="A848" s="55"/>
      <c r="B848" s="100"/>
      <c r="C848" s="55"/>
      <c r="D848" s="101"/>
      <c r="E848" s="101"/>
      <c r="F848" s="102"/>
      <c r="G848" s="103"/>
      <c r="H848" s="150"/>
      <c r="I848" s="55"/>
      <c r="J848" s="105"/>
      <c r="K848" s="55"/>
      <c r="L848" s="65"/>
      <c r="M848" s="55"/>
      <c r="N848" s="55"/>
      <c r="O848" s="55"/>
      <c r="P848" s="55"/>
      <c r="Q848" s="55"/>
      <c r="R848" s="55"/>
      <c r="S848" s="55"/>
      <c r="T848" s="55"/>
    </row>
    <row x14ac:dyDescent="0.25" r="849" customHeight="1" ht="17.25">
      <c r="A849" s="55"/>
      <c r="B849" s="100"/>
      <c r="C849" s="55"/>
      <c r="D849" s="101"/>
      <c r="E849" s="101"/>
      <c r="F849" s="102"/>
      <c r="G849" s="103"/>
      <c r="H849" s="150"/>
      <c r="I849" s="55"/>
      <c r="J849" s="105"/>
      <c r="K849" s="55"/>
      <c r="L849" s="65"/>
      <c r="M849" s="55"/>
      <c r="N849" s="55"/>
      <c r="O849" s="55"/>
      <c r="P849" s="55"/>
      <c r="Q849" s="55"/>
      <c r="R849" s="55"/>
      <c r="S849" s="55"/>
      <c r="T849" s="55"/>
    </row>
    <row x14ac:dyDescent="0.25" r="850" customHeight="1" ht="17.25">
      <c r="A850" s="55"/>
      <c r="B850" s="100"/>
      <c r="C850" s="55"/>
      <c r="D850" s="101"/>
      <c r="E850" s="101"/>
      <c r="F850" s="102"/>
      <c r="G850" s="103"/>
      <c r="H850" s="150"/>
      <c r="I850" s="55"/>
      <c r="J850" s="105"/>
      <c r="K850" s="55"/>
      <c r="L850" s="65"/>
      <c r="M850" s="55"/>
      <c r="N850" s="55"/>
      <c r="O850" s="55"/>
      <c r="P850" s="55"/>
      <c r="Q850" s="55"/>
      <c r="R850" s="55"/>
      <c r="S850" s="55"/>
      <c r="T850" s="55"/>
    </row>
    <row x14ac:dyDescent="0.25" r="851" customHeight="1" ht="17.25">
      <c r="A851" s="55"/>
      <c r="B851" s="100"/>
      <c r="C851" s="55"/>
      <c r="D851" s="101"/>
      <c r="E851" s="101"/>
      <c r="F851" s="102"/>
      <c r="G851" s="103"/>
      <c r="H851" s="150"/>
      <c r="I851" s="55"/>
      <c r="J851" s="105"/>
      <c r="K851" s="55"/>
      <c r="L851" s="65"/>
      <c r="M851" s="55"/>
      <c r="N851" s="55"/>
      <c r="O851" s="55"/>
      <c r="P851" s="55"/>
      <c r="Q851" s="55"/>
      <c r="R851" s="55"/>
      <c r="S851" s="55"/>
      <c r="T851" s="55"/>
    </row>
    <row x14ac:dyDescent="0.25" r="852" customHeight="1" ht="17.25">
      <c r="A852" s="55"/>
      <c r="B852" s="100"/>
      <c r="C852" s="55"/>
      <c r="D852" s="101"/>
      <c r="E852" s="101"/>
      <c r="F852" s="102"/>
      <c r="G852" s="103"/>
      <c r="H852" s="150"/>
      <c r="I852" s="55"/>
      <c r="J852" s="105"/>
      <c r="K852" s="55"/>
      <c r="L852" s="65"/>
      <c r="M852" s="55"/>
      <c r="N852" s="55"/>
      <c r="O852" s="55"/>
      <c r="P852" s="55"/>
      <c r="Q852" s="55"/>
      <c r="R852" s="55"/>
      <c r="S852" s="55"/>
      <c r="T852" s="55"/>
    </row>
    <row x14ac:dyDescent="0.25" r="853" customHeight="1" ht="17.25">
      <c r="A853" s="55"/>
      <c r="B853" s="100"/>
      <c r="C853" s="55"/>
      <c r="D853" s="101"/>
      <c r="E853" s="101"/>
      <c r="F853" s="102"/>
      <c r="G853" s="103"/>
      <c r="H853" s="150"/>
      <c r="I853" s="55"/>
      <c r="J853" s="105"/>
      <c r="K853" s="55"/>
      <c r="L853" s="65"/>
      <c r="M853" s="55"/>
      <c r="N853" s="55"/>
      <c r="O853" s="55"/>
      <c r="P853" s="55"/>
      <c r="Q853" s="55"/>
      <c r="R853" s="55"/>
      <c r="S853" s="55"/>
      <c r="T853" s="55"/>
    </row>
    <row x14ac:dyDescent="0.25" r="854" customHeight="1" ht="17.25">
      <c r="A854" s="55"/>
      <c r="B854" s="100"/>
      <c r="C854" s="55"/>
      <c r="D854" s="101"/>
      <c r="E854" s="101"/>
      <c r="F854" s="102"/>
      <c r="G854" s="103"/>
      <c r="H854" s="150"/>
      <c r="I854" s="55"/>
      <c r="J854" s="105"/>
      <c r="K854" s="55"/>
      <c r="L854" s="65"/>
      <c r="M854" s="55"/>
      <c r="N854" s="55"/>
      <c r="O854" s="55"/>
      <c r="P854" s="55"/>
      <c r="Q854" s="55"/>
      <c r="R854" s="55"/>
      <c r="S854" s="55"/>
      <c r="T854" s="55"/>
    </row>
    <row x14ac:dyDescent="0.25" r="855" customHeight="1" ht="17.25">
      <c r="A855" s="55"/>
      <c r="B855" s="100"/>
      <c r="C855" s="55"/>
      <c r="D855" s="101"/>
      <c r="E855" s="101"/>
      <c r="F855" s="102"/>
      <c r="G855" s="103"/>
      <c r="H855" s="150"/>
      <c r="I855" s="55"/>
      <c r="J855" s="105"/>
      <c r="K855" s="55"/>
      <c r="L855" s="65"/>
      <c r="M855" s="55"/>
      <c r="N855" s="55"/>
      <c r="O855" s="55"/>
      <c r="P855" s="55"/>
      <c r="Q855" s="55"/>
      <c r="R855" s="55"/>
      <c r="S855" s="55"/>
      <c r="T855" s="55"/>
    </row>
    <row x14ac:dyDescent="0.25" r="856" customHeight="1" ht="17.25">
      <c r="A856" s="55"/>
      <c r="B856" s="100"/>
      <c r="C856" s="55"/>
      <c r="D856" s="101"/>
      <c r="E856" s="101"/>
      <c r="F856" s="102"/>
      <c r="G856" s="103"/>
      <c r="H856" s="150"/>
      <c r="I856" s="55"/>
      <c r="J856" s="105"/>
      <c r="K856" s="55"/>
      <c r="L856" s="65"/>
      <c r="M856" s="55"/>
      <c r="N856" s="55"/>
      <c r="O856" s="55"/>
      <c r="P856" s="55"/>
      <c r="Q856" s="55"/>
      <c r="R856" s="55"/>
      <c r="S856" s="55"/>
      <c r="T856" s="55"/>
    </row>
    <row x14ac:dyDescent="0.25" r="857" customHeight="1" ht="17.25">
      <c r="A857" s="55"/>
      <c r="B857" s="100"/>
      <c r="C857" s="55"/>
      <c r="D857" s="101"/>
      <c r="E857" s="101"/>
      <c r="F857" s="102"/>
      <c r="G857" s="103"/>
      <c r="H857" s="150"/>
      <c r="I857" s="55"/>
      <c r="J857" s="105"/>
      <c r="K857" s="55"/>
      <c r="L857" s="65"/>
      <c r="M857" s="55"/>
      <c r="N857" s="55"/>
      <c r="O857" s="55"/>
      <c r="P857" s="55"/>
      <c r="Q857" s="55"/>
      <c r="R857" s="55"/>
      <c r="S857" s="55"/>
      <c r="T857" s="55"/>
    </row>
    <row x14ac:dyDescent="0.25" r="858" customHeight="1" ht="17.25">
      <c r="A858" s="55"/>
      <c r="B858" s="100"/>
      <c r="C858" s="55"/>
      <c r="D858" s="101"/>
      <c r="E858" s="101"/>
      <c r="F858" s="102"/>
      <c r="G858" s="103"/>
      <c r="H858" s="150"/>
      <c r="I858" s="55"/>
      <c r="J858" s="105"/>
      <c r="K858" s="55"/>
      <c r="L858" s="65"/>
      <c r="M858" s="55"/>
      <c r="N858" s="55"/>
      <c r="O858" s="55"/>
      <c r="P858" s="55"/>
      <c r="Q858" s="55"/>
      <c r="R858" s="55"/>
      <c r="S858" s="55"/>
      <c r="T858" s="55"/>
    </row>
    <row x14ac:dyDescent="0.25" r="859" customHeight="1" ht="17.25">
      <c r="A859" s="55"/>
      <c r="B859" s="100"/>
      <c r="C859" s="55"/>
      <c r="D859" s="101"/>
      <c r="E859" s="101"/>
      <c r="F859" s="102"/>
      <c r="G859" s="103"/>
      <c r="H859" s="150"/>
      <c r="I859" s="55"/>
      <c r="J859" s="105"/>
      <c r="K859" s="55"/>
      <c r="L859" s="65"/>
      <c r="M859" s="55"/>
      <c r="N859" s="55"/>
      <c r="O859" s="55"/>
      <c r="P859" s="55"/>
      <c r="Q859" s="55"/>
      <c r="R859" s="55"/>
      <c r="S859" s="55"/>
      <c r="T859" s="55"/>
    </row>
    <row x14ac:dyDescent="0.25" r="860" customHeight="1" ht="17.25">
      <c r="A860" s="55"/>
      <c r="B860" s="100"/>
      <c r="C860" s="55"/>
      <c r="D860" s="101"/>
      <c r="E860" s="101"/>
      <c r="F860" s="102"/>
      <c r="G860" s="103"/>
      <c r="H860" s="150"/>
      <c r="I860" s="55"/>
      <c r="J860" s="105"/>
      <c r="K860" s="55"/>
      <c r="L860" s="65"/>
      <c r="M860" s="55"/>
      <c r="N860" s="55"/>
      <c r="O860" s="55"/>
      <c r="P860" s="55"/>
      <c r="Q860" s="55"/>
      <c r="R860" s="55"/>
      <c r="S860" s="55"/>
      <c r="T860" s="55"/>
    </row>
    <row x14ac:dyDescent="0.25" r="861" customHeight="1" ht="17.25">
      <c r="A861" s="55"/>
      <c r="B861" s="100"/>
      <c r="C861" s="55"/>
      <c r="D861" s="101"/>
      <c r="E861" s="101"/>
      <c r="F861" s="102"/>
      <c r="G861" s="103"/>
      <c r="H861" s="150"/>
      <c r="I861" s="55"/>
      <c r="J861" s="105"/>
      <c r="K861" s="55"/>
      <c r="L861" s="65"/>
      <c r="M861" s="55"/>
      <c r="N861" s="55"/>
      <c r="O861" s="55"/>
      <c r="P861" s="55"/>
      <c r="Q861" s="55"/>
      <c r="R861" s="55"/>
      <c r="S861" s="55"/>
      <c r="T861" s="55"/>
    </row>
    <row x14ac:dyDescent="0.25" r="862" customHeight="1" ht="17.25">
      <c r="A862" s="55"/>
      <c r="B862" s="100"/>
      <c r="C862" s="55"/>
      <c r="D862" s="101"/>
      <c r="E862" s="101"/>
      <c r="F862" s="102"/>
      <c r="G862" s="103"/>
      <c r="H862" s="150"/>
      <c r="I862" s="55"/>
      <c r="J862" s="105"/>
      <c r="K862" s="55"/>
      <c r="L862" s="65"/>
      <c r="M862" s="55"/>
      <c r="N862" s="55"/>
      <c r="O862" s="55"/>
      <c r="P862" s="55"/>
      <c r="Q862" s="55"/>
      <c r="R862" s="55"/>
      <c r="S862" s="55"/>
      <c r="T862" s="55"/>
    </row>
    <row x14ac:dyDescent="0.25" r="863" customHeight="1" ht="17.25">
      <c r="A863" s="55"/>
      <c r="B863" s="100"/>
      <c r="C863" s="55"/>
      <c r="D863" s="101"/>
      <c r="E863" s="101"/>
      <c r="F863" s="102"/>
      <c r="G863" s="103"/>
      <c r="H863" s="150"/>
      <c r="I863" s="55"/>
      <c r="J863" s="105"/>
      <c r="K863" s="55"/>
      <c r="L863" s="65"/>
      <c r="M863" s="55"/>
      <c r="N863" s="55"/>
      <c r="O863" s="55"/>
      <c r="P863" s="55"/>
      <c r="Q863" s="55"/>
      <c r="R863" s="55"/>
      <c r="S863" s="55"/>
      <c r="T863" s="55"/>
    </row>
    <row x14ac:dyDescent="0.25" r="864" customHeight="1" ht="17.25">
      <c r="A864" s="55"/>
      <c r="B864" s="100"/>
      <c r="C864" s="55"/>
      <c r="D864" s="101"/>
      <c r="E864" s="101"/>
      <c r="F864" s="102"/>
      <c r="G864" s="103"/>
      <c r="H864" s="150"/>
      <c r="I864" s="55"/>
      <c r="J864" s="105"/>
      <c r="K864" s="55"/>
      <c r="L864" s="65"/>
      <c r="M864" s="55"/>
      <c r="N864" s="55"/>
      <c r="O864" s="55"/>
      <c r="P864" s="55"/>
      <c r="Q864" s="55"/>
      <c r="R864" s="55"/>
      <c r="S864" s="55"/>
      <c r="T864" s="55"/>
    </row>
    <row x14ac:dyDescent="0.25" r="865" customHeight="1" ht="17.25">
      <c r="A865" s="55"/>
      <c r="B865" s="100"/>
      <c r="C865" s="55"/>
      <c r="D865" s="101"/>
      <c r="E865" s="101"/>
      <c r="F865" s="102"/>
      <c r="G865" s="103"/>
      <c r="H865" s="150"/>
      <c r="I865" s="55"/>
      <c r="J865" s="105"/>
      <c r="K865" s="55"/>
      <c r="L865" s="65"/>
      <c r="M865" s="55"/>
      <c r="N865" s="55"/>
      <c r="O865" s="55"/>
      <c r="P865" s="55"/>
      <c r="Q865" s="55"/>
      <c r="R865" s="55"/>
      <c r="S865" s="55"/>
      <c r="T865" s="55"/>
    </row>
    <row x14ac:dyDescent="0.25" r="866" customHeight="1" ht="17.25">
      <c r="A866" s="55"/>
      <c r="B866" s="100"/>
      <c r="C866" s="55"/>
      <c r="D866" s="101"/>
      <c r="E866" s="101"/>
      <c r="F866" s="102"/>
      <c r="G866" s="103"/>
      <c r="H866" s="150"/>
      <c r="I866" s="55"/>
      <c r="J866" s="105"/>
      <c r="K866" s="55"/>
      <c r="L866" s="65"/>
      <c r="M866" s="55"/>
      <c r="N866" s="55"/>
      <c r="O866" s="55"/>
      <c r="P866" s="55"/>
      <c r="Q866" s="55"/>
      <c r="R866" s="55"/>
      <c r="S866" s="55"/>
      <c r="T866" s="55"/>
    </row>
    <row x14ac:dyDescent="0.25" r="867" customHeight="1" ht="17.25">
      <c r="A867" s="55"/>
      <c r="B867" s="100"/>
      <c r="C867" s="55"/>
      <c r="D867" s="101"/>
      <c r="E867" s="101"/>
      <c r="F867" s="102"/>
      <c r="G867" s="103"/>
      <c r="H867" s="150"/>
      <c r="I867" s="55"/>
      <c r="J867" s="105"/>
      <c r="K867" s="55"/>
      <c r="L867" s="65"/>
      <c r="M867" s="55"/>
      <c r="N867" s="55"/>
      <c r="O867" s="55"/>
      <c r="P867" s="55"/>
      <c r="Q867" s="55"/>
      <c r="R867" s="55"/>
      <c r="S867" s="55"/>
      <c r="T867" s="55"/>
    </row>
    <row x14ac:dyDescent="0.25" r="868" customHeight="1" ht="17.25">
      <c r="A868" s="55"/>
      <c r="B868" s="100"/>
      <c r="C868" s="55"/>
      <c r="D868" s="101"/>
      <c r="E868" s="101"/>
      <c r="F868" s="102"/>
      <c r="G868" s="103"/>
      <c r="H868" s="150"/>
      <c r="I868" s="55"/>
      <c r="J868" s="105"/>
      <c r="K868" s="55"/>
      <c r="L868" s="65"/>
      <c r="M868" s="55"/>
      <c r="N868" s="55"/>
      <c r="O868" s="55"/>
      <c r="P868" s="55"/>
      <c r="Q868" s="55"/>
      <c r="R868" s="55"/>
      <c r="S868" s="55"/>
      <c r="T868" s="55"/>
    </row>
    <row x14ac:dyDescent="0.25" r="869" customHeight="1" ht="17.25">
      <c r="A869" s="55"/>
      <c r="B869" s="100"/>
      <c r="C869" s="55"/>
      <c r="D869" s="101"/>
      <c r="E869" s="101"/>
      <c r="F869" s="102"/>
      <c r="G869" s="103"/>
      <c r="H869" s="150"/>
      <c r="I869" s="55"/>
      <c r="J869" s="105"/>
      <c r="K869" s="55"/>
      <c r="L869" s="65"/>
      <c r="M869" s="55"/>
      <c r="N869" s="55"/>
      <c r="O869" s="55"/>
      <c r="P869" s="55"/>
      <c r="Q869" s="55"/>
      <c r="R869" s="55"/>
      <c r="S869" s="55"/>
      <c r="T869" s="55"/>
    </row>
    <row x14ac:dyDescent="0.25" r="870" customHeight="1" ht="17.25">
      <c r="A870" s="55"/>
      <c r="B870" s="100"/>
      <c r="C870" s="55"/>
      <c r="D870" s="101"/>
      <c r="E870" s="101"/>
      <c r="F870" s="102"/>
      <c r="G870" s="103"/>
      <c r="H870" s="150"/>
      <c r="I870" s="55"/>
      <c r="J870" s="105"/>
      <c r="K870" s="55"/>
      <c r="L870" s="65"/>
      <c r="M870" s="55"/>
      <c r="N870" s="55"/>
      <c r="O870" s="55"/>
      <c r="P870" s="55"/>
      <c r="Q870" s="55"/>
      <c r="R870" s="55"/>
      <c r="S870" s="55"/>
      <c r="T870" s="55"/>
    </row>
    <row x14ac:dyDescent="0.25" r="871" customHeight="1" ht="17.25">
      <c r="A871" s="55"/>
      <c r="B871" s="100"/>
      <c r="C871" s="55"/>
      <c r="D871" s="101"/>
      <c r="E871" s="101"/>
      <c r="F871" s="102"/>
      <c r="G871" s="103"/>
      <c r="H871" s="150"/>
      <c r="I871" s="55"/>
      <c r="J871" s="105"/>
      <c r="K871" s="55"/>
      <c r="L871" s="65"/>
      <c r="M871" s="55"/>
      <c r="N871" s="55"/>
      <c r="O871" s="55"/>
      <c r="P871" s="55"/>
      <c r="Q871" s="55"/>
      <c r="R871" s="55"/>
      <c r="S871" s="55"/>
      <c r="T871" s="55"/>
    </row>
    <row x14ac:dyDescent="0.25" r="872" customHeight="1" ht="17.25">
      <c r="A872" s="55"/>
      <c r="B872" s="100"/>
      <c r="C872" s="55"/>
      <c r="D872" s="101"/>
      <c r="E872" s="101"/>
      <c r="F872" s="102"/>
      <c r="G872" s="103"/>
      <c r="H872" s="150"/>
      <c r="I872" s="55"/>
      <c r="J872" s="105"/>
      <c r="K872" s="55"/>
      <c r="L872" s="65"/>
      <c r="M872" s="55"/>
      <c r="N872" s="55"/>
      <c r="O872" s="55"/>
      <c r="P872" s="55"/>
      <c r="Q872" s="55"/>
      <c r="R872" s="55"/>
      <c r="S872" s="55"/>
      <c r="T872" s="55"/>
    </row>
    <row x14ac:dyDescent="0.25" r="873" customHeight="1" ht="17.25">
      <c r="A873" s="55"/>
      <c r="B873" s="100"/>
      <c r="C873" s="55"/>
      <c r="D873" s="101"/>
      <c r="E873" s="101"/>
      <c r="F873" s="102"/>
      <c r="G873" s="103"/>
      <c r="H873" s="150"/>
      <c r="I873" s="55"/>
      <c r="J873" s="105"/>
      <c r="K873" s="55"/>
      <c r="L873" s="65"/>
      <c r="M873" s="55"/>
      <c r="N873" s="55"/>
      <c r="O873" s="55"/>
      <c r="P873" s="55"/>
      <c r="Q873" s="55"/>
      <c r="R873" s="55"/>
      <c r="S873" s="55"/>
      <c r="T873" s="55"/>
    </row>
    <row x14ac:dyDescent="0.25" r="874" customHeight="1" ht="17.25">
      <c r="A874" s="55"/>
      <c r="B874" s="100"/>
      <c r="C874" s="55"/>
      <c r="D874" s="101"/>
      <c r="E874" s="101"/>
      <c r="F874" s="102"/>
      <c r="G874" s="103"/>
      <c r="H874" s="150"/>
      <c r="I874" s="55"/>
      <c r="J874" s="105"/>
      <c r="K874" s="55"/>
      <c r="L874" s="65"/>
      <c r="M874" s="55"/>
      <c r="N874" s="55"/>
      <c r="O874" s="55"/>
      <c r="P874" s="55"/>
      <c r="Q874" s="55"/>
      <c r="R874" s="55"/>
      <c r="S874" s="55"/>
      <c r="T874" s="55"/>
    </row>
    <row x14ac:dyDescent="0.25" r="875" customHeight="1" ht="17.25">
      <c r="A875" s="55"/>
      <c r="B875" s="100"/>
      <c r="C875" s="55"/>
      <c r="D875" s="101"/>
      <c r="E875" s="101"/>
      <c r="F875" s="102"/>
      <c r="G875" s="103"/>
      <c r="H875" s="150"/>
      <c r="I875" s="55"/>
      <c r="J875" s="105"/>
      <c r="K875" s="55"/>
      <c r="L875" s="65"/>
      <c r="M875" s="55"/>
      <c r="N875" s="55"/>
      <c r="O875" s="55"/>
      <c r="P875" s="55"/>
      <c r="Q875" s="55"/>
      <c r="R875" s="55"/>
      <c r="S875" s="55"/>
      <c r="T875" s="55"/>
    </row>
    <row x14ac:dyDescent="0.25" r="876" customHeight="1" ht="17.25">
      <c r="A876" s="55"/>
      <c r="B876" s="100"/>
      <c r="C876" s="55"/>
      <c r="D876" s="101"/>
      <c r="E876" s="101"/>
      <c r="F876" s="102"/>
      <c r="G876" s="103"/>
      <c r="H876" s="150"/>
      <c r="I876" s="55"/>
      <c r="J876" s="105"/>
      <c r="K876" s="55"/>
      <c r="L876" s="65"/>
      <c r="M876" s="55"/>
      <c r="N876" s="55"/>
      <c r="O876" s="55"/>
      <c r="P876" s="55"/>
      <c r="Q876" s="55"/>
      <c r="R876" s="55"/>
      <c r="S876" s="55"/>
      <c r="T876" s="55"/>
    </row>
    <row x14ac:dyDescent="0.25" r="877" customHeight="1" ht="17.25">
      <c r="A877" s="55"/>
      <c r="B877" s="100"/>
      <c r="C877" s="55"/>
      <c r="D877" s="101"/>
      <c r="E877" s="101"/>
      <c r="F877" s="102"/>
      <c r="G877" s="103"/>
      <c r="H877" s="150"/>
      <c r="I877" s="55"/>
      <c r="J877" s="105"/>
      <c r="K877" s="55"/>
      <c r="L877" s="65"/>
      <c r="M877" s="55"/>
      <c r="N877" s="55"/>
      <c r="O877" s="55"/>
      <c r="P877" s="55"/>
      <c r="Q877" s="55"/>
      <c r="R877" s="55"/>
      <c r="S877" s="55"/>
      <c r="T877" s="55"/>
    </row>
    <row x14ac:dyDescent="0.25" r="878" customHeight="1" ht="17.25">
      <c r="A878" s="55"/>
      <c r="B878" s="100"/>
      <c r="C878" s="55"/>
      <c r="D878" s="101"/>
      <c r="E878" s="101"/>
      <c r="F878" s="102"/>
      <c r="G878" s="103"/>
      <c r="H878" s="150"/>
      <c r="I878" s="55"/>
      <c r="J878" s="105"/>
      <c r="K878" s="55"/>
      <c r="L878" s="65"/>
      <c r="M878" s="55"/>
      <c r="N878" s="55"/>
      <c r="O878" s="55"/>
      <c r="P878" s="55"/>
      <c r="Q878" s="55"/>
      <c r="R878" s="55"/>
      <c r="S878" s="55"/>
      <c r="T878" s="55"/>
    </row>
    <row x14ac:dyDescent="0.25" r="879" customHeight="1" ht="17.25">
      <c r="A879" s="55"/>
      <c r="B879" s="100"/>
      <c r="C879" s="55"/>
      <c r="D879" s="101"/>
      <c r="E879" s="101"/>
      <c r="F879" s="102"/>
      <c r="G879" s="103"/>
      <c r="H879" s="150"/>
      <c r="I879" s="55"/>
      <c r="J879" s="105"/>
      <c r="K879" s="55"/>
      <c r="L879" s="65"/>
      <c r="M879" s="55"/>
      <c r="N879" s="55"/>
      <c r="O879" s="55"/>
      <c r="P879" s="55"/>
      <c r="Q879" s="55"/>
      <c r="R879" s="55"/>
      <c r="S879" s="55"/>
      <c r="T879" s="55"/>
    </row>
    <row x14ac:dyDescent="0.25" r="880" customHeight="1" ht="17.25">
      <c r="A880" s="55"/>
      <c r="B880" s="100"/>
      <c r="C880" s="55"/>
      <c r="D880" s="101"/>
      <c r="E880" s="101"/>
      <c r="F880" s="102"/>
      <c r="G880" s="103"/>
      <c r="H880" s="150"/>
      <c r="I880" s="55"/>
      <c r="J880" s="105"/>
      <c r="K880" s="55"/>
      <c r="L880" s="65"/>
      <c r="M880" s="55"/>
      <c r="N880" s="55"/>
      <c r="O880" s="55"/>
      <c r="P880" s="55"/>
      <c r="Q880" s="55"/>
      <c r="R880" s="55"/>
      <c r="S880" s="55"/>
      <c r="T880" s="55"/>
    </row>
    <row x14ac:dyDescent="0.25" r="881" customHeight="1" ht="17.25">
      <c r="A881" s="55"/>
      <c r="B881" s="100"/>
      <c r="C881" s="55"/>
      <c r="D881" s="101"/>
      <c r="E881" s="101"/>
      <c r="F881" s="102"/>
      <c r="G881" s="103"/>
      <c r="H881" s="150"/>
      <c r="I881" s="55"/>
      <c r="J881" s="105"/>
      <c r="K881" s="55"/>
      <c r="L881" s="65"/>
      <c r="M881" s="55"/>
      <c r="N881" s="55"/>
      <c r="O881" s="55"/>
      <c r="P881" s="55"/>
      <c r="Q881" s="55"/>
      <c r="R881" s="55"/>
      <c r="S881" s="55"/>
      <c r="T881" s="55"/>
    </row>
    <row x14ac:dyDescent="0.25" r="882" customHeight="1" ht="17.25">
      <c r="A882" s="55"/>
      <c r="B882" s="100"/>
      <c r="C882" s="55"/>
      <c r="D882" s="101"/>
      <c r="E882" s="101"/>
      <c r="F882" s="102"/>
      <c r="G882" s="103"/>
      <c r="H882" s="150"/>
      <c r="I882" s="55"/>
      <c r="J882" s="105"/>
      <c r="K882" s="55"/>
      <c r="L882" s="65"/>
      <c r="M882" s="55"/>
      <c r="N882" s="55"/>
      <c r="O882" s="55"/>
      <c r="P882" s="55"/>
      <c r="Q882" s="55"/>
      <c r="R882" s="55"/>
      <c r="S882" s="55"/>
      <c r="T882" s="55"/>
    </row>
    <row x14ac:dyDescent="0.25" r="883" customHeight="1" ht="17.25">
      <c r="A883" s="55"/>
      <c r="B883" s="100"/>
      <c r="C883" s="55"/>
      <c r="D883" s="101"/>
      <c r="E883" s="101"/>
      <c r="F883" s="102"/>
      <c r="G883" s="103"/>
      <c r="H883" s="150"/>
      <c r="I883" s="55"/>
      <c r="J883" s="105"/>
      <c r="K883" s="55"/>
      <c r="L883" s="65"/>
      <c r="M883" s="55"/>
      <c r="N883" s="55"/>
      <c r="O883" s="55"/>
      <c r="P883" s="55"/>
      <c r="Q883" s="55"/>
      <c r="R883" s="55"/>
      <c r="S883" s="55"/>
      <c r="T883" s="55"/>
    </row>
    <row x14ac:dyDescent="0.25" r="884" customHeight="1" ht="17.25">
      <c r="A884" s="55"/>
      <c r="B884" s="100"/>
      <c r="C884" s="55"/>
      <c r="D884" s="101"/>
      <c r="E884" s="101"/>
      <c r="F884" s="102"/>
      <c r="G884" s="103"/>
      <c r="H884" s="150"/>
      <c r="I884" s="55"/>
      <c r="J884" s="105"/>
      <c r="K884" s="55"/>
      <c r="L884" s="65"/>
      <c r="M884" s="55"/>
      <c r="N884" s="55"/>
      <c r="O884" s="55"/>
      <c r="P884" s="55"/>
      <c r="Q884" s="55"/>
      <c r="R884" s="55"/>
      <c r="S884" s="55"/>
      <c r="T884" s="55"/>
    </row>
    <row x14ac:dyDescent="0.25" r="885" customHeight="1" ht="17.25">
      <c r="A885" s="55"/>
      <c r="B885" s="100"/>
      <c r="C885" s="55"/>
      <c r="D885" s="101"/>
      <c r="E885" s="101"/>
      <c r="F885" s="102"/>
      <c r="G885" s="103"/>
      <c r="H885" s="150"/>
      <c r="I885" s="55"/>
      <c r="J885" s="105"/>
      <c r="K885" s="55"/>
      <c r="L885" s="65"/>
      <c r="M885" s="55"/>
      <c r="N885" s="55"/>
      <c r="O885" s="55"/>
      <c r="P885" s="55"/>
      <c r="Q885" s="55"/>
      <c r="R885" s="55"/>
      <c r="S885" s="55"/>
      <c r="T885" s="55"/>
    </row>
    <row x14ac:dyDescent="0.25" r="886" customHeight="1" ht="17.25">
      <c r="A886" s="55"/>
      <c r="B886" s="100"/>
      <c r="C886" s="55"/>
      <c r="D886" s="101"/>
      <c r="E886" s="101"/>
      <c r="F886" s="102"/>
      <c r="G886" s="103"/>
      <c r="H886" s="150"/>
      <c r="I886" s="55"/>
      <c r="J886" s="105"/>
      <c r="K886" s="55"/>
      <c r="L886" s="65"/>
      <c r="M886" s="55"/>
      <c r="N886" s="55"/>
      <c r="O886" s="55"/>
      <c r="P886" s="55"/>
      <c r="Q886" s="55"/>
      <c r="R886" s="55"/>
      <c r="S886" s="55"/>
      <c r="T886" s="55"/>
    </row>
    <row x14ac:dyDescent="0.25" r="887" customHeight="1" ht="17.25">
      <c r="A887" s="55"/>
      <c r="B887" s="100"/>
      <c r="C887" s="55"/>
      <c r="D887" s="101"/>
      <c r="E887" s="101"/>
      <c r="F887" s="102"/>
      <c r="G887" s="103"/>
      <c r="H887" s="150"/>
      <c r="I887" s="55"/>
      <c r="J887" s="105"/>
      <c r="K887" s="55"/>
      <c r="L887" s="65"/>
      <c r="M887" s="55"/>
      <c r="N887" s="55"/>
      <c r="O887" s="55"/>
      <c r="P887" s="55"/>
      <c r="Q887" s="55"/>
      <c r="R887" s="55"/>
      <c r="S887" s="55"/>
      <c r="T887" s="55"/>
    </row>
    <row x14ac:dyDescent="0.25" r="888" customHeight="1" ht="17.25">
      <c r="A888" s="55"/>
      <c r="B888" s="100"/>
      <c r="C888" s="55"/>
      <c r="D888" s="101"/>
      <c r="E888" s="101"/>
      <c r="F888" s="102"/>
      <c r="G888" s="103"/>
      <c r="H888" s="150"/>
      <c r="I888" s="55"/>
      <c r="J888" s="105"/>
      <c r="K888" s="55"/>
      <c r="L888" s="65"/>
      <c r="M888" s="55"/>
      <c r="N888" s="55"/>
      <c r="O888" s="55"/>
      <c r="P888" s="55"/>
      <c r="Q888" s="55"/>
      <c r="R888" s="55"/>
      <c r="S888" s="55"/>
      <c r="T888" s="55"/>
    </row>
    <row x14ac:dyDescent="0.25" r="889" customHeight="1" ht="17.25">
      <c r="A889" s="55"/>
      <c r="B889" s="100"/>
      <c r="C889" s="55"/>
      <c r="D889" s="101"/>
      <c r="E889" s="101"/>
      <c r="F889" s="102"/>
      <c r="G889" s="103"/>
      <c r="H889" s="150"/>
      <c r="I889" s="55"/>
      <c r="J889" s="105"/>
      <c r="K889" s="55"/>
      <c r="L889" s="65"/>
      <c r="M889" s="55"/>
      <c r="N889" s="55"/>
      <c r="O889" s="55"/>
      <c r="P889" s="55"/>
      <c r="Q889" s="55"/>
      <c r="R889" s="55"/>
      <c r="S889" s="55"/>
      <c r="T889" s="55"/>
    </row>
    <row x14ac:dyDescent="0.25" r="890" customHeight="1" ht="17.25">
      <c r="A890" s="55"/>
      <c r="B890" s="100"/>
      <c r="C890" s="55"/>
      <c r="D890" s="101"/>
      <c r="E890" s="101"/>
      <c r="F890" s="102"/>
      <c r="G890" s="103"/>
      <c r="H890" s="150"/>
      <c r="I890" s="55"/>
      <c r="J890" s="105"/>
      <c r="K890" s="55"/>
      <c r="L890" s="65"/>
      <c r="M890" s="55"/>
      <c r="N890" s="55"/>
      <c r="O890" s="55"/>
      <c r="P890" s="55"/>
      <c r="Q890" s="55"/>
      <c r="R890" s="55"/>
      <c r="S890" s="55"/>
      <c r="T890" s="55"/>
    </row>
    <row x14ac:dyDescent="0.25" r="891" customHeight="1" ht="17.25">
      <c r="A891" s="55"/>
      <c r="B891" s="100"/>
      <c r="C891" s="55"/>
      <c r="D891" s="101"/>
      <c r="E891" s="101"/>
      <c r="F891" s="102"/>
      <c r="G891" s="103"/>
      <c r="H891" s="150"/>
      <c r="I891" s="55"/>
      <c r="J891" s="105"/>
      <c r="K891" s="55"/>
      <c r="L891" s="65"/>
      <c r="M891" s="55"/>
      <c r="N891" s="55"/>
      <c r="O891" s="55"/>
      <c r="P891" s="55"/>
      <c r="Q891" s="55"/>
      <c r="R891" s="55"/>
      <c r="S891" s="55"/>
      <c r="T891" s="55"/>
    </row>
    <row x14ac:dyDescent="0.25" r="892" customHeight="1" ht="17.25">
      <c r="A892" s="55"/>
      <c r="B892" s="100"/>
      <c r="C892" s="55"/>
      <c r="D892" s="101"/>
      <c r="E892" s="101"/>
      <c r="F892" s="102"/>
      <c r="G892" s="103"/>
      <c r="H892" s="150"/>
      <c r="I892" s="55"/>
      <c r="J892" s="105"/>
      <c r="K892" s="55"/>
      <c r="L892" s="65"/>
      <c r="M892" s="55"/>
      <c r="N892" s="55"/>
      <c r="O892" s="55"/>
      <c r="P892" s="55"/>
      <c r="Q892" s="55"/>
      <c r="R892" s="55"/>
      <c r="S892" s="55"/>
      <c r="T892" s="55"/>
    </row>
    <row x14ac:dyDescent="0.25" r="893" customHeight="1" ht="17.25">
      <c r="A893" s="55"/>
      <c r="B893" s="100"/>
      <c r="C893" s="55"/>
      <c r="D893" s="101"/>
      <c r="E893" s="101"/>
      <c r="F893" s="102"/>
      <c r="G893" s="103"/>
      <c r="H893" s="150"/>
      <c r="I893" s="55"/>
      <c r="J893" s="105"/>
      <c r="K893" s="55"/>
      <c r="L893" s="65"/>
      <c r="M893" s="55"/>
      <c r="N893" s="55"/>
      <c r="O893" s="55"/>
      <c r="P893" s="55"/>
      <c r="Q893" s="55"/>
      <c r="R893" s="55"/>
      <c r="S893" s="55"/>
      <c r="T893" s="55"/>
    </row>
    <row x14ac:dyDescent="0.25" r="894" customHeight="1" ht="17.25">
      <c r="A894" s="55"/>
      <c r="B894" s="100"/>
      <c r="C894" s="55"/>
      <c r="D894" s="101"/>
      <c r="E894" s="101"/>
      <c r="F894" s="102"/>
      <c r="G894" s="103"/>
      <c r="H894" s="150"/>
      <c r="I894" s="55"/>
      <c r="J894" s="105"/>
      <c r="K894" s="55"/>
      <c r="L894" s="65"/>
      <c r="M894" s="55"/>
      <c r="N894" s="55"/>
      <c r="O894" s="55"/>
      <c r="P894" s="55"/>
      <c r="Q894" s="55"/>
      <c r="R894" s="55"/>
      <c r="S894" s="55"/>
      <c r="T894" s="55"/>
    </row>
    <row x14ac:dyDescent="0.25" r="895" customHeight="1" ht="17.25">
      <c r="A895" s="55"/>
      <c r="B895" s="100"/>
      <c r="C895" s="55"/>
      <c r="D895" s="101"/>
      <c r="E895" s="101"/>
      <c r="F895" s="102"/>
      <c r="G895" s="103"/>
      <c r="H895" s="150"/>
      <c r="I895" s="55"/>
      <c r="J895" s="105"/>
      <c r="K895" s="55"/>
      <c r="L895" s="65"/>
      <c r="M895" s="55"/>
      <c r="N895" s="55"/>
      <c r="O895" s="55"/>
      <c r="P895" s="55"/>
      <c r="Q895" s="55"/>
      <c r="R895" s="55"/>
      <c r="S895" s="55"/>
      <c r="T895" s="55"/>
    </row>
    <row x14ac:dyDescent="0.25" r="896" customHeight="1" ht="17.25">
      <c r="A896" s="55"/>
      <c r="B896" s="100"/>
      <c r="C896" s="55"/>
      <c r="D896" s="101"/>
      <c r="E896" s="101"/>
      <c r="F896" s="102"/>
      <c r="G896" s="103"/>
      <c r="H896" s="150"/>
      <c r="I896" s="55"/>
      <c r="J896" s="105"/>
      <c r="K896" s="55"/>
      <c r="L896" s="65"/>
      <c r="M896" s="55"/>
      <c r="N896" s="55"/>
      <c r="O896" s="55"/>
      <c r="P896" s="55"/>
      <c r="Q896" s="55"/>
      <c r="R896" s="55"/>
      <c r="S896" s="55"/>
      <c r="T896" s="55"/>
    </row>
    <row x14ac:dyDescent="0.25" r="897" customHeight="1" ht="17.25">
      <c r="A897" s="55"/>
      <c r="B897" s="100"/>
      <c r="C897" s="55"/>
      <c r="D897" s="101"/>
      <c r="E897" s="101"/>
      <c r="F897" s="102"/>
      <c r="G897" s="103"/>
      <c r="H897" s="150"/>
      <c r="I897" s="55"/>
      <c r="J897" s="105"/>
      <c r="K897" s="55"/>
      <c r="L897" s="65"/>
      <c r="M897" s="55"/>
      <c r="N897" s="55"/>
      <c r="O897" s="55"/>
      <c r="P897" s="55"/>
      <c r="Q897" s="55"/>
      <c r="R897" s="55"/>
      <c r="S897" s="55"/>
      <c r="T897" s="55"/>
    </row>
    <row x14ac:dyDescent="0.25" r="898" customHeight="1" ht="17.25">
      <c r="A898" s="55"/>
      <c r="B898" s="100"/>
      <c r="C898" s="55"/>
      <c r="D898" s="101"/>
      <c r="E898" s="101"/>
      <c r="F898" s="102"/>
      <c r="G898" s="103"/>
      <c r="H898" s="150"/>
      <c r="I898" s="55"/>
      <c r="J898" s="105"/>
      <c r="K898" s="55"/>
      <c r="L898" s="65"/>
      <c r="M898" s="55"/>
      <c r="N898" s="55"/>
      <c r="O898" s="55"/>
      <c r="P898" s="55"/>
      <c r="Q898" s="55"/>
      <c r="R898" s="55"/>
      <c r="S898" s="55"/>
      <c r="T898" s="55"/>
    </row>
    <row x14ac:dyDescent="0.25" r="899" customHeight="1" ht="17.25">
      <c r="A899" s="55"/>
      <c r="B899" s="100"/>
      <c r="C899" s="55"/>
      <c r="D899" s="101"/>
      <c r="E899" s="101"/>
      <c r="F899" s="102"/>
      <c r="G899" s="103"/>
      <c r="H899" s="150"/>
      <c r="I899" s="55"/>
      <c r="J899" s="105"/>
      <c r="K899" s="55"/>
      <c r="L899" s="65"/>
      <c r="M899" s="55"/>
      <c r="N899" s="55"/>
      <c r="O899" s="55"/>
      <c r="P899" s="55"/>
      <c r="Q899" s="55"/>
      <c r="R899" s="55"/>
      <c r="S899" s="55"/>
      <c r="T899" s="55"/>
    </row>
    <row x14ac:dyDescent="0.25" r="900" customHeight="1" ht="17.25">
      <c r="A900" s="55"/>
      <c r="B900" s="100"/>
      <c r="C900" s="55"/>
      <c r="D900" s="101"/>
      <c r="E900" s="101"/>
      <c r="F900" s="102"/>
      <c r="G900" s="103"/>
      <c r="H900" s="150"/>
      <c r="I900" s="55"/>
      <c r="J900" s="105"/>
      <c r="K900" s="55"/>
      <c r="L900" s="65"/>
      <c r="M900" s="55"/>
      <c r="N900" s="55"/>
      <c r="O900" s="55"/>
      <c r="P900" s="55"/>
      <c r="Q900" s="55"/>
      <c r="R900" s="55"/>
      <c r="S900" s="55"/>
      <c r="T900" s="55"/>
    </row>
    <row x14ac:dyDescent="0.25" r="901" customHeight="1" ht="17.25">
      <c r="A901" s="55"/>
      <c r="B901" s="100"/>
      <c r="C901" s="55"/>
      <c r="D901" s="101"/>
      <c r="E901" s="101"/>
      <c r="F901" s="102"/>
      <c r="G901" s="103"/>
      <c r="H901" s="150"/>
      <c r="I901" s="55"/>
      <c r="J901" s="105"/>
      <c r="K901" s="55"/>
      <c r="L901" s="65"/>
      <c r="M901" s="55"/>
      <c r="N901" s="55"/>
      <c r="O901" s="55"/>
      <c r="P901" s="55"/>
      <c r="Q901" s="55"/>
      <c r="R901" s="55"/>
      <c r="S901" s="55"/>
      <c r="T901" s="55"/>
    </row>
    <row x14ac:dyDescent="0.25" r="902" customHeight="1" ht="17.25">
      <c r="A902" s="55"/>
      <c r="B902" s="100"/>
      <c r="C902" s="55"/>
      <c r="D902" s="101"/>
      <c r="E902" s="101"/>
      <c r="F902" s="102"/>
      <c r="G902" s="103"/>
      <c r="H902" s="150"/>
      <c r="I902" s="55"/>
      <c r="J902" s="105"/>
      <c r="K902" s="55"/>
      <c r="L902" s="65"/>
      <c r="M902" s="55"/>
      <c r="N902" s="55"/>
      <c r="O902" s="55"/>
      <c r="P902" s="55"/>
      <c r="Q902" s="55"/>
      <c r="R902" s="55"/>
      <c r="S902" s="55"/>
      <c r="T902" s="55"/>
    </row>
    <row x14ac:dyDescent="0.25" r="903" customHeight="1" ht="17.25">
      <c r="A903" s="55"/>
      <c r="B903" s="100"/>
      <c r="C903" s="55"/>
      <c r="D903" s="101"/>
      <c r="E903" s="101"/>
      <c r="F903" s="102"/>
      <c r="G903" s="103"/>
      <c r="H903" s="150"/>
      <c r="I903" s="55"/>
      <c r="J903" s="105"/>
      <c r="K903" s="55"/>
      <c r="L903" s="65"/>
      <c r="M903" s="55"/>
      <c r="N903" s="55"/>
      <c r="O903" s="55"/>
      <c r="P903" s="55"/>
      <c r="Q903" s="55"/>
      <c r="R903" s="55"/>
      <c r="S903" s="55"/>
      <c r="T903" s="55"/>
    </row>
    <row x14ac:dyDescent="0.25" r="904" customHeight="1" ht="17.25">
      <c r="A904" s="55"/>
      <c r="B904" s="100"/>
      <c r="C904" s="55"/>
      <c r="D904" s="101"/>
      <c r="E904" s="101"/>
      <c r="F904" s="102"/>
      <c r="G904" s="103"/>
      <c r="H904" s="150"/>
      <c r="I904" s="55"/>
      <c r="J904" s="105"/>
      <c r="K904" s="55"/>
      <c r="L904" s="65"/>
      <c r="M904" s="55"/>
      <c r="N904" s="55"/>
      <c r="O904" s="55"/>
      <c r="P904" s="55"/>
      <c r="Q904" s="55"/>
      <c r="R904" s="55"/>
      <c r="S904" s="55"/>
      <c r="T904" s="55"/>
    </row>
    <row x14ac:dyDescent="0.25" r="905" customHeight="1" ht="17.25">
      <c r="A905" s="55"/>
      <c r="B905" s="100"/>
      <c r="C905" s="55"/>
      <c r="D905" s="101"/>
      <c r="E905" s="101"/>
      <c r="F905" s="102"/>
      <c r="G905" s="103"/>
      <c r="H905" s="150"/>
      <c r="I905" s="55"/>
      <c r="J905" s="105"/>
      <c r="K905" s="55"/>
      <c r="L905" s="65"/>
      <c r="M905" s="55"/>
      <c r="N905" s="55"/>
      <c r="O905" s="55"/>
      <c r="P905" s="55"/>
      <c r="Q905" s="55"/>
      <c r="R905" s="55"/>
      <c r="S905" s="55"/>
      <c r="T905" s="55"/>
    </row>
    <row x14ac:dyDescent="0.25" r="906" customHeight="1" ht="17.25">
      <c r="A906" s="55"/>
      <c r="B906" s="100"/>
      <c r="C906" s="55"/>
      <c r="D906" s="101"/>
      <c r="E906" s="101"/>
      <c r="F906" s="102"/>
      <c r="G906" s="103"/>
      <c r="H906" s="150"/>
      <c r="I906" s="55"/>
      <c r="J906" s="105"/>
      <c r="K906" s="55"/>
      <c r="L906" s="65"/>
      <c r="M906" s="55"/>
      <c r="N906" s="55"/>
      <c r="O906" s="55"/>
      <c r="P906" s="55"/>
      <c r="Q906" s="55"/>
      <c r="R906" s="55"/>
      <c r="S906" s="55"/>
      <c r="T906" s="55"/>
    </row>
    <row x14ac:dyDescent="0.25" r="907" customHeight="1" ht="17.25">
      <c r="A907" s="55"/>
      <c r="B907" s="100"/>
      <c r="C907" s="55"/>
      <c r="D907" s="101"/>
      <c r="E907" s="101"/>
      <c r="F907" s="102"/>
      <c r="G907" s="103"/>
      <c r="H907" s="150"/>
      <c r="I907" s="55"/>
      <c r="J907" s="105"/>
      <c r="K907" s="55"/>
      <c r="L907" s="65"/>
      <c r="M907" s="55"/>
      <c r="N907" s="55"/>
      <c r="O907" s="55"/>
      <c r="P907" s="55"/>
      <c r="Q907" s="55"/>
      <c r="R907" s="55"/>
      <c r="S907" s="55"/>
      <c r="T907" s="55"/>
    </row>
    <row x14ac:dyDescent="0.25" r="908" customHeight="1" ht="17.25">
      <c r="A908" s="55"/>
      <c r="B908" s="100"/>
      <c r="C908" s="55"/>
      <c r="D908" s="101"/>
      <c r="E908" s="101"/>
      <c r="F908" s="102"/>
      <c r="G908" s="103"/>
      <c r="H908" s="150"/>
      <c r="I908" s="55"/>
      <c r="J908" s="105"/>
      <c r="K908" s="55"/>
      <c r="L908" s="65"/>
      <c r="M908" s="55"/>
      <c r="N908" s="55"/>
      <c r="O908" s="55"/>
      <c r="P908" s="55"/>
      <c r="Q908" s="55"/>
      <c r="R908" s="55"/>
      <c r="S908" s="55"/>
      <c r="T908" s="55"/>
    </row>
    <row x14ac:dyDescent="0.25" r="909" customHeight="1" ht="17.25">
      <c r="A909" s="55"/>
      <c r="B909" s="100"/>
      <c r="C909" s="55"/>
      <c r="D909" s="101"/>
      <c r="E909" s="101"/>
      <c r="F909" s="102"/>
      <c r="G909" s="103"/>
      <c r="H909" s="150"/>
      <c r="I909" s="55"/>
      <c r="J909" s="105"/>
      <c r="K909" s="55"/>
      <c r="L909" s="65"/>
      <c r="M909" s="55"/>
      <c r="N909" s="55"/>
      <c r="O909" s="55"/>
      <c r="P909" s="55"/>
      <c r="Q909" s="55"/>
      <c r="R909" s="55"/>
      <c r="S909" s="55"/>
      <c r="T909" s="55"/>
    </row>
    <row x14ac:dyDescent="0.25" r="910" customHeight="1" ht="17.25">
      <c r="A910" s="55"/>
      <c r="B910" s="100"/>
      <c r="C910" s="55"/>
      <c r="D910" s="101"/>
      <c r="E910" s="101"/>
      <c r="F910" s="102"/>
      <c r="G910" s="103"/>
      <c r="H910" s="150"/>
      <c r="I910" s="55"/>
      <c r="J910" s="105"/>
      <c r="K910" s="55"/>
      <c r="L910" s="65"/>
      <c r="M910" s="55"/>
      <c r="N910" s="55"/>
      <c r="O910" s="55"/>
      <c r="P910" s="55"/>
      <c r="Q910" s="55"/>
      <c r="R910" s="55"/>
      <c r="S910" s="55"/>
      <c r="T910" s="55"/>
    </row>
    <row x14ac:dyDescent="0.25" r="911" customHeight="1" ht="17.25">
      <c r="A911" s="55"/>
      <c r="B911" s="100"/>
      <c r="C911" s="55"/>
      <c r="D911" s="101"/>
      <c r="E911" s="101"/>
      <c r="F911" s="102"/>
      <c r="G911" s="103"/>
      <c r="H911" s="150"/>
      <c r="I911" s="55"/>
      <c r="J911" s="105"/>
      <c r="K911" s="55"/>
      <c r="L911" s="65"/>
      <c r="M911" s="55"/>
      <c r="N911" s="55"/>
      <c r="O911" s="55"/>
      <c r="P911" s="55"/>
      <c r="Q911" s="55"/>
      <c r="R911" s="55"/>
      <c r="S911" s="55"/>
      <c r="T911" s="55"/>
    </row>
    <row x14ac:dyDescent="0.25" r="912" customHeight="1" ht="17.25">
      <c r="A912" s="55"/>
      <c r="B912" s="100"/>
      <c r="C912" s="55"/>
      <c r="D912" s="101"/>
      <c r="E912" s="101"/>
      <c r="F912" s="102"/>
      <c r="G912" s="103"/>
      <c r="H912" s="150"/>
      <c r="I912" s="55"/>
      <c r="J912" s="105"/>
      <c r="K912" s="55"/>
      <c r="L912" s="65"/>
      <c r="M912" s="55"/>
      <c r="N912" s="55"/>
      <c r="O912" s="55"/>
      <c r="P912" s="55"/>
      <c r="Q912" s="55"/>
      <c r="R912" s="55"/>
      <c r="S912" s="55"/>
      <c r="T912" s="55"/>
    </row>
    <row x14ac:dyDescent="0.25" r="913" customHeight="1" ht="17.25">
      <c r="A913" s="55"/>
      <c r="B913" s="100"/>
      <c r="C913" s="55"/>
      <c r="D913" s="101"/>
      <c r="E913" s="101"/>
      <c r="F913" s="102"/>
      <c r="G913" s="103"/>
      <c r="H913" s="150"/>
      <c r="I913" s="55"/>
      <c r="J913" s="105"/>
      <c r="K913" s="55"/>
      <c r="L913" s="65"/>
      <c r="M913" s="55"/>
      <c r="N913" s="55"/>
      <c r="O913" s="55"/>
      <c r="P913" s="55"/>
      <c r="Q913" s="55"/>
      <c r="R913" s="55"/>
      <c r="S913" s="55"/>
      <c r="T913" s="55"/>
    </row>
    <row x14ac:dyDescent="0.25" r="914" customHeight="1" ht="17.25">
      <c r="A914" s="55"/>
      <c r="B914" s="100"/>
      <c r="C914" s="55"/>
      <c r="D914" s="101"/>
      <c r="E914" s="101"/>
      <c r="F914" s="102"/>
      <c r="G914" s="103"/>
      <c r="H914" s="150"/>
      <c r="I914" s="55"/>
      <c r="J914" s="105"/>
      <c r="K914" s="55"/>
      <c r="L914" s="65"/>
      <c r="M914" s="55"/>
      <c r="N914" s="55"/>
      <c r="O914" s="55"/>
      <c r="P914" s="55"/>
      <c r="Q914" s="55"/>
      <c r="R914" s="55"/>
      <c r="S914" s="55"/>
      <c r="T914" s="55"/>
    </row>
    <row x14ac:dyDescent="0.25" r="915" customHeight="1" ht="17.25">
      <c r="A915" s="55"/>
      <c r="B915" s="100"/>
      <c r="C915" s="55"/>
      <c r="D915" s="101"/>
      <c r="E915" s="101"/>
      <c r="F915" s="102"/>
      <c r="G915" s="103"/>
      <c r="H915" s="150"/>
      <c r="I915" s="55"/>
      <c r="J915" s="105"/>
      <c r="K915" s="55"/>
      <c r="L915" s="65"/>
      <c r="M915" s="55"/>
      <c r="N915" s="55"/>
      <c r="O915" s="55"/>
      <c r="P915" s="55"/>
      <c r="Q915" s="55"/>
      <c r="R915" s="55"/>
      <c r="S915" s="55"/>
      <c r="T915" s="55"/>
    </row>
    <row x14ac:dyDescent="0.25" r="916" customHeight="1" ht="17.25">
      <c r="A916" s="55"/>
      <c r="B916" s="100"/>
      <c r="C916" s="55"/>
      <c r="D916" s="101"/>
      <c r="E916" s="101"/>
      <c r="F916" s="102"/>
      <c r="G916" s="103"/>
      <c r="H916" s="150"/>
      <c r="I916" s="55"/>
      <c r="J916" s="105"/>
      <c r="K916" s="55"/>
      <c r="L916" s="65"/>
      <c r="M916" s="55"/>
      <c r="N916" s="55"/>
      <c r="O916" s="55"/>
      <c r="P916" s="55"/>
      <c r="Q916" s="55"/>
      <c r="R916" s="55"/>
      <c r="S916" s="55"/>
      <c r="T916" s="55"/>
    </row>
    <row x14ac:dyDescent="0.25" r="917" customHeight="1" ht="17.25">
      <c r="A917" s="55"/>
      <c r="B917" s="100"/>
      <c r="C917" s="55"/>
      <c r="D917" s="101"/>
      <c r="E917" s="101"/>
      <c r="F917" s="102"/>
      <c r="G917" s="103"/>
      <c r="H917" s="150"/>
      <c r="I917" s="55"/>
      <c r="J917" s="105"/>
      <c r="K917" s="55"/>
      <c r="L917" s="65"/>
      <c r="M917" s="55"/>
      <c r="N917" s="55"/>
      <c r="O917" s="55"/>
      <c r="P917" s="55"/>
      <c r="Q917" s="55"/>
      <c r="R917" s="55"/>
      <c r="S917" s="55"/>
      <c r="T917" s="55"/>
    </row>
    <row x14ac:dyDescent="0.25" r="918" customHeight="1" ht="17.25">
      <c r="A918" s="55"/>
      <c r="B918" s="100"/>
      <c r="C918" s="55"/>
      <c r="D918" s="101"/>
      <c r="E918" s="101"/>
      <c r="F918" s="102"/>
      <c r="G918" s="103"/>
      <c r="H918" s="150"/>
      <c r="I918" s="55"/>
      <c r="J918" s="105"/>
      <c r="K918" s="55"/>
      <c r="L918" s="65"/>
      <c r="M918" s="55"/>
      <c r="N918" s="55"/>
      <c r="O918" s="55"/>
      <c r="P918" s="55"/>
      <c r="Q918" s="55"/>
      <c r="R918" s="55"/>
      <c r="S918" s="55"/>
      <c r="T918" s="55"/>
    </row>
    <row x14ac:dyDescent="0.25" r="919" customHeight="1" ht="17.25">
      <c r="A919" s="55"/>
      <c r="B919" s="100"/>
      <c r="C919" s="55"/>
      <c r="D919" s="101"/>
      <c r="E919" s="101"/>
      <c r="F919" s="102"/>
      <c r="G919" s="103"/>
      <c r="H919" s="150"/>
      <c r="I919" s="55"/>
      <c r="J919" s="105"/>
      <c r="K919" s="55"/>
      <c r="L919" s="65"/>
      <c r="M919" s="55"/>
      <c r="N919" s="55"/>
      <c r="O919" s="55"/>
      <c r="P919" s="55"/>
      <c r="Q919" s="55"/>
      <c r="R919" s="55"/>
      <c r="S919" s="55"/>
      <c r="T919" s="55"/>
    </row>
    <row x14ac:dyDescent="0.25" r="920" customHeight="1" ht="17.25">
      <c r="A920" s="55"/>
      <c r="B920" s="100"/>
      <c r="C920" s="55"/>
      <c r="D920" s="101"/>
      <c r="E920" s="101"/>
      <c r="F920" s="102"/>
      <c r="G920" s="103"/>
      <c r="H920" s="150"/>
      <c r="I920" s="55"/>
      <c r="J920" s="105"/>
      <c r="K920" s="55"/>
      <c r="L920" s="65"/>
      <c r="M920" s="55"/>
      <c r="N920" s="55"/>
      <c r="O920" s="55"/>
      <c r="P920" s="55"/>
      <c r="Q920" s="55"/>
      <c r="R920" s="55"/>
      <c r="S920" s="55"/>
      <c r="T920" s="55"/>
    </row>
    <row x14ac:dyDescent="0.25" r="921" customHeight="1" ht="17.25">
      <c r="A921" s="55"/>
      <c r="B921" s="100"/>
      <c r="C921" s="55"/>
      <c r="D921" s="101"/>
      <c r="E921" s="101"/>
      <c r="F921" s="102"/>
      <c r="G921" s="103"/>
      <c r="H921" s="150"/>
      <c r="I921" s="55"/>
      <c r="J921" s="105"/>
      <c r="K921" s="55"/>
      <c r="L921" s="65"/>
      <c r="M921" s="55"/>
      <c r="N921" s="55"/>
      <c r="O921" s="55"/>
      <c r="P921" s="55"/>
      <c r="Q921" s="55"/>
      <c r="R921" s="55"/>
      <c r="S921" s="55"/>
      <c r="T921" s="55"/>
    </row>
    <row x14ac:dyDescent="0.25" r="922" customHeight="1" ht="17.25">
      <c r="A922" s="55"/>
      <c r="B922" s="100"/>
      <c r="C922" s="55"/>
      <c r="D922" s="101"/>
      <c r="E922" s="101"/>
      <c r="F922" s="102"/>
      <c r="G922" s="103"/>
      <c r="H922" s="150"/>
      <c r="I922" s="55"/>
      <c r="J922" s="105"/>
      <c r="K922" s="55"/>
      <c r="L922" s="65"/>
      <c r="M922" s="55"/>
      <c r="N922" s="55"/>
      <c r="O922" s="55"/>
      <c r="P922" s="55"/>
      <c r="Q922" s="55"/>
      <c r="R922" s="55"/>
      <c r="S922" s="55"/>
      <c r="T922" s="55"/>
    </row>
    <row x14ac:dyDescent="0.25" r="923" customHeight="1" ht="17.25">
      <c r="A923" s="55"/>
      <c r="B923" s="100"/>
      <c r="C923" s="55"/>
      <c r="D923" s="101"/>
      <c r="E923" s="101"/>
      <c r="F923" s="102"/>
      <c r="G923" s="103"/>
      <c r="H923" s="150"/>
      <c r="I923" s="55"/>
      <c r="J923" s="105"/>
      <c r="K923" s="55"/>
      <c r="L923" s="65"/>
      <c r="M923" s="55"/>
      <c r="N923" s="55"/>
      <c r="O923" s="55"/>
      <c r="P923" s="55"/>
      <c r="Q923" s="55"/>
      <c r="R923" s="55"/>
      <c r="S923" s="55"/>
      <c r="T923" s="55"/>
    </row>
    <row x14ac:dyDescent="0.25" r="924" customHeight="1" ht="17.25">
      <c r="A924" s="55"/>
      <c r="B924" s="100"/>
      <c r="C924" s="55"/>
      <c r="D924" s="101"/>
      <c r="E924" s="101"/>
      <c r="F924" s="102"/>
      <c r="G924" s="103"/>
      <c r="H924" s="150"/>
      <c r="I924" s="55"/>
      <c r="J924" s="105"/>
      <c r="K924" s="55"/>
      <c r="L924" s="65"/>
      <c r="M924" s="55"/>
      <c r="N924" s="55"/>
      <c r="O924" s="55"/>
      <c r="P924" s="55"/>
      <c r="Q924" s="55"/>
      <c r="R924" s="55"/>
      <c r="S924" s="55"/>
      <c r="T924" s="55"/>
    </row>
    <row x14ac:dyDescent="0.25" r="925" customHeight="1" ht="17.25">
      <c r="A925" s="55"/>
      <c r="B925" s="100"/>
      <c r="C925" s="55"/>
      <c r="D925" s="101"/>
      <c r="E925" s="101"/>
      <c r="F925" s="102"/>
      <c r="G925" s="103"/>
      <c r="H925" s="150"/>
      <c r="I925" s="55"/>
      <c r="J925" s="105"/>
      <c r="K925" s="55"/>
      <c r="L925" s="65"/>
      <c r="M925" s="55"/>
      <c r="N925" s="55"/>
      <c r="O925" s="55"/>
      <c r="P925" s="55"/>
      <c r="Q925" s="55"/>
      <c r="R925" s="55"/>
      <c r="S925" s="55"/>
      <c r="T925" s="55"/>
    </row>
    <row x14ac:dyDescent="0.25" r="926" customHeight="1" ht="17.25">
      <c r="A926" s="55"/>
      <c r="B926" s="100"/>
      <c r="C926" s="55"/>
      <c r="D926" s="101"/>
      <c r="E926" s="101"/>
      <c r="F926" s="102"/>
      <c r="G926" s="103"/>
      <c r="H926" s="150"/>
      <c r="I926" s="55"/>
      <c r="J926" s="105"/>
      <c r="K926" s="55"/>
      <c r="L926" s="65"/>
      <c r="M926" s="55"/>
      <c r="N926" s="55"/>
      <c r="O926" s="55"/>
      <c r="P926" s="55"/>
      <c r="Q926" s="55"/>
      <c r="R926" s="55"/>
      <c r="S926" s="55"/>
      <c r="T926" s="55"/>
    </row>
    <row x14ac:dyDescent="0.25" r="927" customHeight="1" ht="17.25">
      <c r="A927" s="55"/>
      <c r="B927" s="100"/>
      <c r="C927" s="55"/>
      <c r="D927" s="101"/>
      <c r="E927" s="101"/>
      <c r="F927" s="102"/>
      <c r="G927" s="103"/>
      <c r="H927" s="150"/>
      <c r="I927" s="55"/>
      <c r="J927" s="105"/>
      <c r="K927" s="55"/>
      <c r="L927" s="65"/>
      <c r="M927" s="55"/>
      <c r="N927" s="55"/>
      <c r="O927" s="55"/>
      <c r="P927" s="55"/>
      <c r="Q927" s="55"/>
      <c r="R927" s="55"/>
      <c r="S927" s="55"/>
      <c r="T927" s="55"/>
    </row>
    <row x14ac:dyDescent="0.25" r="928" customHeight="1" ht="17.25">
      <c r="A928" s="55"/>
      <c r="B928" s="100"/>
      <c r="C928" s="55"/>
      <c r="D928" s="101"/>
      <c r="E928" s="101"/>
      <c r="F928" s="102"/>
      <c r="G928" s="103"/>
      <c r="H928" s="150"/>
      <c r="I928" s="55"/>
      <c r="J928" s="105"/>
      <c r="K928" s="55"/>
      <c r="L928" s="65"/>
      <c r="M928" s="55"/>
      <c r="N928" s="55"/>
      <c r="O928" s="55"/>
      <c r="P928" s="55"/>
      <c r="Q928" s="55"/>
      <c r="R928" s="55"/>
      <c r="S928" s="55"/>
      <c r="T928" s="55"/>
    </row>
    <row x14ac:dyDescent="0.25" r="929" customHeight="1" ht="17.25">
      <c r="A929" s="55"/>
      <c r="B929" s="100"/>
      <c r="C929" s="55"/>
      <c r="D929" s="101"/>
      <c r="E929" s="101"/>
      <c r="F929" s="102"/>
      <c r="G929" s="103"/>
      <c r="H929" s="150"/>
      <c r="I929" s="55"/>
      <c r="J929" s="105"/>
      <c r="K929" s="55"/>
      <c r="L929" s="65"/>
      <c r="M929" s="55"/>
      <c r="N929" s="55"/>
      <c r="O929" s="55"/>
      <c r="P929" s="55"/>
      <c r="Q929" s="55"/>
      <c r="R929" s="55"/>
      <c r="S929" s="55"/>
      <c r="T929" s="55"/>
    </row>
    <row x14ac:dyDescent="0.25" r="930" customHeight="1" ht="17.25">
      <c r="A930" s="55"/>
      <c r="B930" s="100"/>
      <c r="C930" s="55"/>
      <c r="D930" s="101"/>
      <c r="E930" s="101"/>
      <c r="F930" s="102"/>
      <c r="G930" s="103"/>
      <c r="H930" s="150"/>
      <c r="I930" s="55"/>
      <c r="J930" s="105"/>
      <c r="K930" s="55"/>
      <c r="L930" s="65"/>
      <c r="M930" s="55"/>
      <c r="N930" s="55"/>
      <c r="O930" s="55"/>
      <c r="P930" s="55"/>
      <c r="Q930" s="55"/>
      <c r="R930" s="55"/>
      <c r="S930" s="55"/>
      <c r="T930" s="55"/>
    </row>
    <row x14ac:dyDescent="0.25" r="931" customHeight="1" ht="17.25">
      <c r="A931" s="55"/>
      <c r="B931" s="100"/>
      <c r="C931" s="55"/>
      <c r="D931" s="101"/>
      <c r="E931" s="101"/>
      <c r="F931" s="102"/>
      <c r="G931" s="103"/>
      <c r="H931" s="150"/>
      <c r="I931" s="55"/>
      <c r="J931" s="105"/>
      <c r="K931" s="55"/>
      <c r="L931" s="65"/>
      <c r="M931" s="55"/>
      <c r="N931" s="55"/>
      <c r="O931" s="55"/>
      <c r="P931" s="55"/>
      <c r="Q931" s="55"/>
      <c r="R931" s="55"/>
      <c r="S931" s="55"/>
      <c r="T931" s="55"/>
    </row>
    <row x14ac:dyDescent="0.25" r="932" customHeight="1" ht="17.25">
      <c r="A932" s="55"/>
      <c r="B932" s="100"/>
      <c r="C932" s="55"/>
      <c r="D932" s="101"/>
      <c r="E932" s="101"/>
      <c r="F932" s="102"/>
      <c r="G932" s="103"/>
      <c r="H932" s="150"/>
      <c r="I932" s="55"/>
      <c r="J932" s="105"/>
      <c r="K932" s="55"/>
      <c r="L932" s="65"/>
      <c r="M932" s="55"/>
      <c r="N932" s="55"/>
      <c r="O932" s="55"/>
      <c r="P932" s="55"/>
      <c r="Q932" s="55"/>
      <c r="R932" s="55"/>
      <c r="S932" s="55"/>
      <c r="T932" s="55"/>
    </row>
    <row x14ac:dyDescent="0.25" r="933" customHeight="1" ht="17.25">
      <c r="A933" s="55"/>
      <c r="B933" s="100"/>
      <c r="C933" s="55"/>
      <c r="D933" s="101"/>
      <c r="E933" s="101"/>
      <c r="F933" s="102"/>
      <c r="G933" s="103"/>
      <c r="H933" s="150"/>
      <c r="I933" s="55"/>
      <c r="J933" s="105"/>
      <c r="K933" s="55"/>
      <c r="L933" s="65"/>
      <c r="M933" s="55"/>
      <c r="N933" s="55"/>
      <c r="O933" s="55"/>
      <c r="P933" s="55"/>
      <c r="Q933" s="55"/>
      <c r="R933" s="55"/>
      <c r="S933" s="55"/>
      <c r="T933" s="55"/>
    </row>
    <row x14ac:dyDescent="0.25" r="934" customHeight="1" ht="17.25">
      <c r="A934" s="55"/>
      <c r="B934" s="100"/>
      <c r="C934" s="55"/>
      <c r="D934" s="101"/>
      <c r="E934" s="101"/>
      <c r="F934" s="102"/>
      <c r="G934" s="103"/>
      <c r="H934" s="150"/>
      <c r="I934" s="55"/>
      <c r="J934" s="105"/>
      <c r="K934" s="55"/>
      <c r="L934" s="65"/>
      <c r="M934" s="55"/>
      <c r="N934" s="55"/>
      <c r="O934" s="55"/>
      <c r="P934" s="55"/>
      <c r="Q934" s="55"/>
      <c r="R934" s="55"/>
      <c r="S934" s="55"/>
      <c r="T934" s="55"/>
    </row>
    <row x14ac:dyDescent="0.25" r="935" customHeight="1" ht="17.25">
      <c r="A935" s="55"/>
      <c r="B935" s="100"/>
      <c r="C935" s="55"/>
      <c r="D935" s="101"/>
      <c r="E935" s="101"/>
      <c r="F935" s="102"/>
      <c r="G935" s="103"/>
      <c r="H935" s="150"/>
      <c r="I935" s="55"/>
      <c r="J935" s="105"/>
      <c r="K935" s="55"/>
      <c r="L935" s="65"/>
      <c r="M935" s="55"/>
      <c r="N935" s="55"/>
      <c r="O935" s="55"/>
      <c r="P935" s="55"/>
      <c r="Q935" s="55"/>
      <c r="R935" s="55"/>
      <c r="S935" s="55"/>
      <c r="T935" s="55"/>
    </row>
    <row x14ac:dyDescent="0.25" r="936" customHeight="1" ht="17.25">
      <c r="A936" s="55"/>
      <c r="B936" s="100"/>
      <c r="C936" s="55"/>
      <c r="D936" s="101"/>
      <c r="E936" s="101"/>
      <c r="F936" s="102"/>
      <c r="G936" s="103"/>
      <c r="H936" s="150"/>
      <c r="I936" s="55"/>
      <c r="J936" s="105"/>
      <c r="K936" s="55"/>
      <c r="L936" s="65"/>
      <c r="M936" s="55"/>
      <c r="N936" s="55"/>
      <c r="O936" s="55"/>
      <c r="P936" s="55"/>
      <c r="Q936" s="55"/>
      <c r="R936" s="55"/>
      <c r="S936" s="55"/>
      <c r="T936" s="55"/>
    </row>
    <row x14ac:dyDescent="0.25" r="937" customHeight="1" ht="17.25">
      <c r="A937" s="55"/>
      <c r="B937" s="100"/>
      <c r="C937" s="55"/>
      <c r="D937" s="101"/>
      <c r="E937" s="101"/>
      <c r="F937" s="102"/>
      <c r="G937" s="103"/>
      <c r="H937" s="150"/>
      <c r="I937" s="55"/>
      <c r="J937" s="105"/>
      <c r="K937" s="55"/>
      <c r="L937" s="65"/>
      <c r="M937" s="55"/>
      <c r="N937" s="55"/>
      <c r="O937" s="55"/>
      <c r="P937" s="55"/>
      <c r="Q937" s="55"/>
      <c r="R937" s="55"/>
      <c r="S937" s="55"/>
      <c r="T937" s="55"/>
    </row>
    <row x14ac:dyDescent="0.25" r="938" customHeight="1" ht="17.25">
      <c r="A938" s="55"/>
      <c r="B938" s="100"/>
      <c r="C938" s="55"/>
      <c r="D938" s="101"/>
      <c r="E938" s="101"/>
      <c r="F938" s="102"/>
      <c r="G938" s="103"/>
      <c r="H938" s="150"/>
      <c r="I938" s="55"/>
      <c r="J938" s="105"/>
      <c r="K938" s="55"/>
      <c r="L938" s="65"/>
      <c r="M938" s="55"/>
      <c r="N938" s="55"/>
      <c r="O938" s="55"/>
      <c r="P938" s="55"/>
      <c r="Q938" s="55"/>
      <c r="R938" s="55"/>
      <c r="S938" s="55"/>
      <c r="T938" s="55"/>
    </row>
    <row x14ac:dyDescent="0.25" r="939" customHeight="1" ht="17.25">
      <c r="A939" s="55"/>
      <c r="B939" s="100"/>
      <c r="C939" s="55"/>
      <c r="D939" s="101"/>
      <c r="E939" s="101"/>
      <c r="F939" s="102"/>
      <c r="G939" s="103"/>
      <c r="H939" s="150"/>
      <c r="I939" s="55"/>
      <c r="J939" s="105"/>
      <c r="K939" s="55"/>
      <c r="L939" s="65"/>
      <c r="M939" s="55"/>
      <c r="N939" s="55"/>
      <c r="O939" s="55"/>
      <c r="P939" s="55"/>
      <c r="Q939" s="55"/>
      <c r="R939" s="55"/>
      <c r="S939" s="55"/>
      <c r="T939" s="55"/>
    </row>
    <row x14ac:dyDescent="0.25" r="940" customHeight="1" ht="17.25">
      <c r="A940" s="55"/>
      <c r="B940" s="100"/>
      <c r="C940" s="55"/>
      <c r="D940" s="101"/>
      <c r="E940" s="101"/>
      <c r="F940" s="102"/>
      <c r="G940" s="103"/>
      <c r="H940" s="150"/>
      <c r="I940" s="55"/>
      <c r="J940" s="105"/>
      <c r="K940" s="55"/>
      <c r="L940" s="65"/>
      <c r="M940" s="55"/>
      <c r="N940" s="55"/>
      <c r="O940" s="55"/>
      <c r="P940" s="55"/>
      <c r="Q940" s="55"/>
      <c r="R940" s="55"/>
      <c r="S940" s="55"/>
      <c r="T940" s="55"/>
    </row>
    <row x14ac:dyDescent="0.25" r="941" customHeight="1" ht="17.25">
      <c r="A941" s="55"/>
      <c r="B941" s="100"/>
      <c r="C941" s="55"/>
      <c r="D941" s="101"/>
      <c r="E941" s="101"/>
      <c r="F941" s="102"/>
      <c r="G941" s="103"/>
      <c r="H941" s="150"/>
      <c r="I941" s="55"/>
      <c r="J941" s="105"/>
      <c r="K941" s="55"/>
      <c r="L941" s="65"/>
      <c r="M941" s="55"/>
      <c r="N941" s="55"/>
      <c r="O941" s="55"/>
      <c r="P941" s="55"/>
      <c r="Q941" s="55"/>
      <c r="R941" s="55"/>
      <c r="S941" s="55"/>
      <c r="T941" s="55"/>
    </row>
    <row x14ac:dyDescent="0.25" r="942" customHeight="1" ht="17.25">
      <c r="A942" s="55"/>
      <c r="B942" s="100"/>
      <c r="C942" s="55"/>
      <c r="D942" s="101"/>
      <c r="E942" s="101"/>
      <c r="F942" s="102"/>
      <c r="G942" s="103"/>
      <c r="H942" s="150"/>
      <c r="I942" s="55"/>
      <c r="J942" s="105"/>
      <c r="K942" s="55"/>
      <c r="L942" s="65"/>
      <c r="M942" s="55"/>
      <c r="N942" s="55"/>
      <c r="O942" s="55"/>
      <c r="P942" s="55"/>
      <c r="Q942" s="55"/>
      <c r="R942" s="55"/>
      <c r="S942" s="55"/>
      <c r="T942" s="55"/>
    </row>
    <row x14ac:dyDescent="0.25" r="943" customHeight="1" ht="17.25">
      <c r="A943" s="55"/>
      <c r="B943" s="100"/>
      <c r="C943" s="55"/>
      <c r="D943" s="101"/>
      <c r="E943" s="101"/>
      <c r="F943" s="102"/>
      <c r="G943" s="103"/>
      <c r="H943" s="150"/>
      <c r="I943" s="55"/>
      <c r="J943" s="105"/>
      <c r="K943" s="55"/>
      <c r="L943" s="65"/>
      <c r="M943" s="55"/>
      <c r="N943" s="55"/>
      <c r="O943" s="55"/>
      <c r="P943" s="55"/>
      <c r="Q943" s="55"/>
      <c r="R943" s="55"/>
      <c r="S943" s="55"/>
      <c r="T943" s="55"/>
    </row>
    <row x14ac:dyDescent="0.25" r="944" customHeight="1" ht="17.25">
      <c r="A944" s="55"/>
      <c r="B944" s="100"/>
      <c r="C944" s="55"/>
      <c r="D944" s="101"/>
      <c r="E944" s="101"/>
      <c r="F944" s="102"/>
      <c r="G944" s="103"/>
      <c r="H944" s="150"/>
      <c r="I944" s="55"/>
      <c r="J944" s="105"/>
      <c r="K944" s="55"/>
      <c r="L944" s="65"/>
      <c r="M944" s="55"/>
      <c r="N944" s="55"/>
      <c r="O944" s="55"/>
      <c r="P944" s="55"/>
      <c r="Q944" s="55"/>
      <c r="R944" s="55"/>
      <c r="S944" s="55"/>
      <c r="T944" s="55"/>
    </row>
    <row x14ac:dyDescent="0.25" r="945" customHeight="1" ht="17.25">
      <c r="A945" s="55"/>
      <c r="B945" s="100"/>
      <c r="C945" s="55"/>
      <c r="D945" s="101"/>
      <c r="E945" s="101"/>
      <c r="F945" s="102"/>
      <c r="G945" s="103"/>
      <c r="H945" s="150"/>
      <c r="I945" s="55"/>
      <c r="J945" s="105"/>
      <c r="K945" s="55"/>
      <c r="L945" s="65"/>
      <c r="M945" s="55"/>
      <c r="N945" s="55"/>
      <c r="O945" s="55"/>
      <c r="P945" s="55"/>
      <c r="Q945" s="55"/>
      <c r="R945" s="55"/>
      <c r="S945" s="55"/>
      <c r="T945" s="55"/>
    </row>
    <row x14ac:dyDescent="0.25" r="946" customHeight="1" ht="17.25">
      <c r="A946" s="55"/>
      <c r="B946" s="100"/>
      <c r="C946" s="55"/>
      <c r="D946" s="101"/>
      <c r="E946" s="101"/>
      <c r="F946" s="102"/>
      <c r="G946" s="103"/>
      <c r="H946" s="150"/>
      <c r="I946" s="55"/>
      <c r="J946" s="105"/>
      <c r="K946" s="55"/>
      <c r="L946" s="65"/>
      <c r="M946" s="55"/>
      <c r="N946" s="55"/>
      <c r="O946" s="55"/>
      <c r="P946" s="55"/>
      <c r="Q946" s="55"/>
      <c r="R946" s="55"/>
      <c r="S946" s="55"/>
      <c r="T946" s="55"/>
    </row>
    <row x14ac:dyDescent="0.25" r="947" customHeight="1" ht="17.25">
      <c r="A947" s="55"/>
      <c r="B947" s="100"/>
      <c r="C947" s="55"/>
      <c r="D947" s="101"/>
      <c r="E947" s="101"/>
      <c r="F947" s="102"/>
      <c r="G947" s="103"/>
      <c r="H947" s="150"/>
      <c r="I947" s="55"/>
      <c r="J947" s="105"/>
      <c r="K947" s="55"/>
      <c r="L947" s="65"/>
      <c r="M947" s="55"/>
      <c r="N947" s="55"/>
      <c r="O947" s="55"/>
      <c r="P947" s="55"/>
      <c r="Q947" s="55"/>
      <c r="R947" s="55"/>
      <c r="S947" s="55"/>
      <c r="T947" s="55"/>
    </row>
    <row x14ac:dyDescent="0.25" r="948" customHeight="1" ht="17.25">
      <c r="A948" s="55"/>
      <c r="B948" s="100"/>
      <c r="C948" s="55"/>
      <c r="D948" s="101"/>
      <c r="E948" s="101"/>
      <c r="F948" s="102"/>
      <c r="G948" s="103"/>
      <c r="H948" s="150"/>
      <c r="I948" s="55"/>
      <c r="J948" s="105"/>
      <c r="K948" s="55"/>
      <c r="L948" s="65"/>
      <c r="M948" s="55"/>
      <c r="N948" s="55"/>
      <c r="O948" s="55"/>
      <c r="P948" s="55"/>
      <c r="Q948" s="55"/>
      <c r="R948" s="55"/>
      <c r="S948" s="55"/>
      <c r="T948" s="55"/>
    </row>
    <row x14ac:dyDescent="0.25" r="949" customHeight="1" ht="17.25">
      <c r="A949" s="55"/>
      <c r="B949" s="100"/>
      <c r="C949" s="55"/>
      <c r="D949" s="101"/>
      <c r="E949" s="101"/>
      <c r="F949" s="102"/>
      <c r="G949" s="103"/>
      <c r="H949" s="150"/>
      <c r="I949" s="55"/>
      <c r="J949" s="105"/>
      <c r="K949" s="55"/>
      <c r="L949" s="65"/>
      <c r="M949" s="55"/>
      <c r="N949" s="55"/>
      <c r="O949" s="55"/>
      <c r="P949" s="55"/>
      <c r="Q949" s="55"/>
      <c r="R949" s="55"/>
      <c r="S949" s="55"/>
      <c r="T949" s="55"/>
    </row>
    <row x14ac:dyDescent="0.25" r="950" customHeight="1" ht="17.25">
      <c r="A950" s="55"/>
      <c r="B950" s="100"/>
      <c r="C950" s="55"/>
      <c r="D950" s="101"/>
      <c r="E950" s="101"/>
      <c r="F950" s="102"/>
      <c r="G950" s="103"/>
      <c r="H950" s="150"/>
      <c r="I950" s="55"/>
      <c r="J950" s="105"/>
      <c r="K950" s="55"/>
      <c r="L950" s="65"/>
      <c r="M950" s="55"/>
      <c r="N950" s="55"/>
      <c r="O950" s="55"/>
      <c r="P950" s="55"/>
      <c r="Q950" s="55"/>
      <c r="R950" s="55"/>
      <c r="S950" s="55"/>
      <c r="T950" s="55"/>
    </row>
    <row x14ac:dyDescent="0.25" r="951" customHeight="1" ht="17.25">
      <c r="A951" s="55"/>
      <c r="B951" s="100"/>
      <c r="C951" s="55"/>
      <c r="D951" s="101"/>
      <c r="E951" s="101"/>
      <c r="F951" s="102"/>
      <c r="G951" s="103"/>
      <c r="H951" s="150"/>
      <c r="I951" s="55"/>
      <c r="J951" s="105"/>
      <c r="K951" s="55"/>
      <c r="L951" s="65"/>
      <c r="M951" s="55"/>
      <c r="N951" s="55"/>
      <c r="O951" s="55"/>
      <c r="P951" s="55"/>
      <c r="Q951" s="55"/>
      <c r="R951" s="55"/>
      <c r="S951" s="55"/>
      <c r="T951" s="55"/>
    </row>
    <row x14ac:dyDescent="0.25" r="952" customHeight="1" ht="17.25">
      <c r="A952" s="55"/>
      <c r="B952" s="100"/>
      <c r="C952" s="55"/>
      <c r="D952" s="101"/>
      <c r="E952" s="101"/>
      <c r="F952" s="102"/>
      <c r="G952" s="103"/>
      <c r="H952" s="150"/>
      <c r="I952" s="55"/>
      <c r="J952" s="105"/>
      <c r="K952" s="55"/>
      <c r="L952" s="65"/>
      <c r="M952" s="55"/>
      <c r="N952" s="55"/>
      <c r="O952" s="55"/>
      <c r="P952" s="55"/>
      <c r="Q952" s="55"/>
      <c r="R952" s="55"/>
      <c r="S952" s="55"/>
      <c r="T952" s="55"/>
    </row>
    <row x14ac:dyDescent="0.25" r="953" customHeight="1" ht="17.25">
      <c r="A953" s="55"/>
      <c r="B953" s="100"/>
      <c r="C953" s="55"/>
      <c r="D953" s="101"/>
      <c r="E953" s="101"/>
      <c r="F953" s="102"/>
      <c r="G953" s="103"/>
      <c r="H953" s="150"/>
      <c r="I953" s="55"/>
      <c r="J953" s="105"/>
      <c r="K953" s="55"/>
      <c r="L953" s="65"/>
      <c r="M953" s="55"/>
      <c r="N953" s="55"/>
      <c r="O953" s="55"/>
      <c r="P953" s="55"/>
      <c r="Q953" s="55"/>
      <c r="R953" s="55"/>
      <c r="S953" s="55"/>
      <c r="T953" s="55"/>
    </row>
    <row x14ac:dyDescent="0.25" r="954" customHeight="1" ht="17.25">
      <c r="A954" s="55"/>
      <c r="B954" s="100"/>
      <c r="C954" s="55"/>
      <c r="D954" s="101"/>
      <c r="E954" s="101"/>
      <c r="F954" s="102"/>
      <c r="G954" s="103"/>
      <c r="H954" s="150"/>
      <c r="I954" s="55"/>
      <c r="J954" s="105"/>
      <c r="K954" s="55"/>
      <c r="L954" s="65"/>
      <c r="M954" s="55"/>
      <c r="N954" s="55"/>
      <c r="O954" s="55"/>
      <c r="P954" s="55"/>
      <c r="Q954" s="55"/>
      <c r="R954" s="55"/>
      <c r="S954" s="55"/>
      <c r="T954" s="55"/>
    </row>
    <row x14ac:dyDescent="0.25" r="955" customHeight="1" ht="17.25">
      <c r="A955" s="55"/>
      <c r="B955" s="100"/>
      <c r="C955" s="55"/>
      <c r="D955" s="101"/>
      <c r="E955" s="101"/>
      <c r="F955" s="102"/>
      <c r="G955" s="103"/>
      <c r="H955" s="150"/>
      <c r="I955" s="55"/>
      <c r="J955" s="105"/>
      <c r="K955" s="55"/>
      <c r="L955" s="65"/>
      <c r="M955" s="55"/>
      <c r="N955" s="55"/>
      <c r="O955" s="55"/>
      <c r="P955" s="55"/>
      <c r="Q955" s="55"/>
      <c r="R955" s="55"/>
      <c r="S955" s="55"/>
      <c r="T955" s="55"/>
    </row>
    <row x14ac:dyDescent="0.25" r="956" customHeight="1" ht="17.25">
      <c r="A956" s="55"/>
      <c r="B956" s="100"/>
      <c r="C956" s="55"/>
      <c r="D956" s="101"/>
      <c r="E956" s="101"/>
      <c r="F956" s="102"/>
      <c r="G956" s="103"/>
      <c r="H956" s="150"/>
      <c r="I956" s="55"/>
      <c r="J956" s="105"/>
      <c r="K956" s="55"/>
      <c r="L956" s="65"/>
      <c r="M956" s="55"/>
      <c r="N956" s="55"/>
      <c r="O956" s="55"/>
      <c r="P956" s="55"/>
      <c r="Q956" s="55"/>
      <c r="R956" s="55"/>
      <c r="S956" s="55"/>
      <c r="T956" s="55"/>
    </row>
    <row x14ac:dyDescent="0.25" r="957" customHeight="1" ht="17.25">
      <c r="A957" s="55"/>
      <c r="B957" s="100"/>
      <c r="C957" s="55"/>
      <c r="D957" s="101"/>
      <c r="E957" s="101"/>
      <c r="F957" s="102"/>
      <c r="G957" s="103"/>
      <c r="H957" s="150"/>
      <c r="I957" s="55"/>
      <c r="J957" s="105"/>
      <c r="K957" s="55"/>
      <c r="L957" s="65"/>
      <c r="M957" s="55"/>
      <c r="N957" s="55"/>
      <c r="O957" s="55"/>
      <c r="P957" s="55"/>
      <c r="Q957" s="55"/>
      <c r="R957" s="55"/>
      <c r="S957" s="55"/>
      <c r="T957" s="55"/>
    </row>
    <row x14ac:dyDescent="0.25" r="958" customHeight="1" ht="17.25">
      <c r="A958" s="55"/>
      <c r="B958" s="100"/>
      <c r="C958" s="55"/>
      <c r="D958" s="101"/>
      <c r="E958" s="101"/>
      <c r="F958" s="102"/>
      <c r="G958" s="103"/>
      <c r="H958" s="150"/>
      <c r="I958" s="55"/>
      <c r="J958" s="105"/>
      <c r="K958" s="55"/>
      <c r="L958" s="65"/>
      <c r="M958" s="55"/>
      <c r="N958" s="55"/>
      <c r="O958" s="55"/>
      <c r="P958" s="55"/>
      <c r="Q958" s="55"/>
      <c r="R958" s="55"/>
      <c r="S958" s="55"/>
      <c r="T958" s="55"/>
    </row>
    <row x14ac:dyDescent="0.25" r="959" customHeight="1" ht="17.25">
      <c r="A959" s="55"/>
      <c r="B959" s="100"/>
      <c r="C959" s="55"/>
      <c r="D959" s="101"/>
      <c r="E959" s="101"/>
      <c r="F959" s="102"/>
      <c r="G959" s="103"/>
      <c r="H959" s="150"/>
      <c r="I959" s="55"/>
      <c r="J959" s="105"/>
      <c r="K959" s="55"/>
      <c r="L959" s="65"/>
      <c r="M959" s="55"/>
      <c r="N959" s="55"/>
      <c r="O959" s="55"/>
      <c r="P959" s="55"/>
      <c r="Q959" s="55"/>
      <c r="R959" s="55"/>
      <c r="S959" s="55"/>
      <c r="T959" s="55"/>
    </row>
    <row x14ac:dyDescent="0.25" r="960" customHeight="1" ht="17.25">
      <c r="A960" s="55"/>
      <c r="B960" s="100"/>
      <c r="C960" s="55"/>
      <c r="D960" s="101"/>
      <c r="E960" s="101"/>
      <c r="F960" s="102"/>
      <c r="G960" s="103"/>
      <c r="H960" s="150"/>
      <c r="I960" s="55"/>
      <c r="J960" s="105"/>
      <c r="K960" s="55"/>
      <c r="L960" s="65"/>
      <c r="M960" s="55"/>
      <c r="N960" s="55"/>
      <c r="O960" s="55"/>
      <c r="P960" s="55"/>
      <c r="Q960" s="55"/>
      <c r="R960" s="55"/>
      <c r="S960" s="55"/>
      <c r="T960" s="55"/>
    </row>
    <row x14ac:dyDescent="0.25" r="961" customHeight="1" ht="17.25">
      <c r="A961" s="55"/>
      <c r="B961" s="100"/>
      <c r="C961" s="55"/>
      <c r="D961" s="101"/>
      <c r="E961" s="101"/>
      <c r="F961" s="102"/>
      <c r="G961" s="103"/>
      <c r="H961" s="150"/>
      <c r="I961" s="55"/>
      <c r="J961" s="105"/>
      <c r="K961" s="55"/>
      <c r="L961" s="65"/>
      <c r="M961" s="55"/>
      <c r="N961" s="55"/>
      <c r="O961" s="55"/>
      <c r="P961" s="55"/>
      <c r="Q961" s="55"/>
      <c r="R961" s="55"/>
      <c r="S961" s="55"/>
      <c r="T961" s="55"/>
    </row>
    <row x14ac:dyDescent="0.25" r="962" customHeight="1" ht="17.25">
      <c r="A962" s="55"/>
      <c r="B962" s="100"/>
      <c r="C962" s="55"/>
      <c r="D962" s="101"/>
      <c r="E962" s="101"/>
      <c r="F962" s="102"/>
      <c r="G962" s="103"/>
      <c r="H962" s="150"/>
      <c r="I962" s="55"/>
      <c r="J962" s="105"/>
      <c r="K962" s="55"/>
      <c r="L962" s="65"/>
      <c r="M962" s="55"/>
      <c r="N962" s="55"/>
      <c r="O962" s="55"/>
      <c r="P962" s="55"/>
      <c r="Q962" s="55"/>
      <c r="R962" s="55"/>
      <c r="S962" s="55"/>
      <c r="T962" s="55"/>
    </row>
    <row x14ac:dyDescent="0.25" r="963" customHeight="1" ht="17.25">
      <c r="A963" s="55"/>
      <c r="B963" s="100"/>
      <c r="C963" s="55"/>
      <c r="D963" s="101"/>
      <c r="E963" s="101"/>
      <c r="F963" s="102"/>
      <c r="G963" s="103"/>
      <c r="H963" s="150"/>
      <c r="I963" s="55"/>
      <c r="J963" s="105"/>
      <c r="K963" s="55"/>
      <c r="L963" s="65"/>
      <c r="M963" s="55"/>
      <c r="N963" s="55"/>
      <c r="O963" s="55"/>
      <c r="P963" s="55"/>
      <c r="Q963" s="55"/>
      <c r="R963" s="55"/>
      <c r="S963" s="55"/>
      <c r="T963" s="55"/>
    </row>
    <row x14ac:dyDescent="0.25" r="964" customHeight="1" ht="17.25">
      <c r="A964" s="55"/>
      <c r="B964" s="100"/>
      <c r="C964" s="55"/>
      <c r="D964" s="101"/>
      <c r="E964" s="101"/>
      <c r="F964" s="102"/>
      <c r="G964" s="103"/>
      <c r="H964" s="150"/>
      <c r="I964" s="55"/>
      <c r="J964" s="105"/>
      <c r="K964" s="55"/>
      <c r="L964" s="65"/>
      <c r="M964" s="55"/>
      <c r="N964" s="55"/>
      <c r="O964" s="55"/>
      <c r="P964" s="55"/>
      <c r="Q964" s="55"/>
      <c r="R964" s="55"/>
      <c r="S964" s="55"/>
      <c r="T964" s="55"/>
    </row>
    <row x14ac:dyDescent="0.25" r="965" customHeight="1" ht="17.25">
      <c r="A965" s="55"/>
      <c r="B965" s="100"/>
      <c r="C965" s="55"/>
      <c r="D965" s="101"/>
      <c r="E965" s="101"/>
      <c r="F965" s="102"/>
      <c r="G965" s="103"/>
      <c r="H965" s="150"/>
      <c r="I965" s="55"/>
      <c r="J965" s="105"/>
      <c r="K965" s="55"/>
      <c r="L965" s="65"/>
      <c r="M965" s="55"/>
      <c r="N965" s="55"/>
      <c r="O965" s="55"/>
      <c r="P965" s="55"/>
      <c r="Q965" s="55"/>
      <c r="R965" s="55"/>
      <c r="S965" s="55"/>
      <c r="T965" s="55"/>
    </row>
    <row x14ac:dyDescent="0.25" r="966" customHeight="1" ht="17.25">
      <c r="A966" s="55"/>
      <c r="B966" s="100"/>
      <c r="C966" s="55"/>
      <c r="D966" s="101"/>
      <c r="E966" s="101"/>
      <c r="F966" s="102"/>
      <c r="G966" s="103"/>
      <c r="H966" s="150"/>
      <c r="I966" s="55"/>
      <c r="J966" s="105"/>
      <c r="K966" s="55"/>
      <c r="L966" s="65"/>
      <c r="M966" s="55"/>
      <c r="N966" s="55"/>
      <c r="O966" s="55"/>
      <c r="P966" s="55"/>
      <c r="Q966" s="55"/>
      <c r="R966" s="55"/>
      <c r="S966" s="55"/>
      <c r="T966" s="55"/>
    </row>
    <row x14ac:dyDescent="0.25" r="967" customHeight="1" ht="17.25">
      <c r="A967" s="55"/>
      <c r="B967" s="100"/>
      <c r="C967" s="55"/>
      <c r="D967" s="101"/>
      <c r="E967" s="101"/>
      <c r="F967" s="102"/>
      <c r="G967" s="103"/>
      <c r="H967" s="150"/>
      <c r="I967" s="55"/>
      <c r="J967" s="105"/>
      <c r="K967" s="55"/>
      <c r="L967" s="65"/>
      <c r="M967" s="55"/>
      <c r="N967" s="55"/>
      <c r="O967" s="55"/>
      <c r="P967" s="55"/>
      <c r="Q967" s="55"/>
      <c r="R967" s="55"/>
      <c r="S967" s="55"/>
      <c r="T967" s="55"/>
    </row>
    <row x14ac:dyDescent="0.25" r="968" customHeight="1" ht="17.25">
      <c r="A968" s="55"/>
      <c r="B968" s="100"/>
      <c r="C968" s="55"/>
      <c r="D968" s="101"/>
      <c r="E968" s="101"/>
      <c r="F968" s="102"/>
      <c r="G968" s="103"/>
      <c r="H968" s="150"/>
      <c r="I968" s="55"/>
      <c r="J968" s="105"/>
      <c r="K968" s="55"/>
      <c r="L968" s="65"/>
      <c r="M968" s="55"/>
      <c r="N968" s="55"/>
      <c r="O968" s="55"/>
      <c r="P968" s="55"/>
      <c r="Q968" s="55"/>
      <c r="R968" s="55"/>
      <c r="S968" s="55"/>
      <c r="T968" s="55"/>
    </row>
    <row x14ac:dyDescent="0.25" r="969" customHeight="1" ht="17.25">
      <c r="A969" s="55"/>
      <c r="B969" s="100"/>
      <c r="C969" s="55"/>
      <c r="D969" s="101"/>
      <c r="E969" s="101"/>
      <c r="F969" s="102"/>
      <c r="G969" s="103"/>
      <c r="H969" s="150"/>
      <c r="I969" s="55"/>
      <c r="J969" s="105"/>
      <c r="K969" s="55"/>
      <c r="L969" s="65"/>
      <c r="M969" s="55"/>
      <c r="N969" s="55"/>
      <c r="O969" s="55"/>
      <c r="P969" s="55"/>
      <c r="Q969" s="55"/>
      <c r="R969" s="55"/>
      <c r="S969" s="55"/>
      <c r="T969" s="55"/>
    </row>
    <row x14ac:dyDescent="0.25" r="970" customHeight="1" ht="17.25">
      <c r="A970" s="55"/>
      <c r="B970" s="100"/>
      <c r="C970" s="55"/>
      <c r="D970" s="101"/>
      <c r="E970" s="101"/>
      <c r="F970" s="102"/>
      <c r="G970" s="103"/>
      <c r="H970" s="150"/>
      <c r="I970" s="55"/>
      <c r="J970" s="105"/>
      <c r="K970" s="55"/>
      <c r="L970" s="65"/>
      <c r="M970" s="55"/>
      <c r="N970" s="55"/>
      <c r="O970" s="55"/>
      <c r="P970" s="55"/>
      <c r="Q970" s="55"/>
      <c r="R970" s="55"/>
      <c r="S970" s="55"/>
      <c r="T970" s="55"/>
    </row>
    <row x14ac:dyDescent="0.25" r="971" customHeight="1" ht="17.25">
      <c r="A971" s="55"/>
      <c r="B971" s="100"/>
      <c r="C971" s="55"/>
      <c r="D971" s="101"/>
      <c r="E971" s="101"/>
      <c r="F971" s="102"/>
      <c r="G971" s="103"/>
      <c r="H971" s="150"/>
      <c r="I971" s="55"/>
      <c r="J971" s="105"/>
      <c r="K971" s="55"/>
      <c r="L971" s="65"/>
      <c r="M971" s="55"/>
      <c r="N971" s="55"/>
      <c r="O971" s="55"/>
      <c r="P971" s="55"/>
      <c r="Q971" s="55"/>
      <c r="R971" s="55"/>
      <c r="S971" s="55"/>
      <c r="T971" s="55"/>
    </row>
    <row x14ac:dyDescent="0.25" r="972" customHeight="1" ht="17.25">
      <c r="A972" s="55"/>
      <c r="B972" s="100"/>
      <c r="C972" s="55"/>
      <c r="D972" s="101"/>
      <c r="E972" s="101"/>
      <c r="F972" s="102"/>
      <c r="G972" s="103"/>
      <c r="H972" s="150"/>
      <c r="I972" s="55"/>
      <c r="J972" s="105"/>
      <c r="K972" s="55"/>
      <c r="L972" s="65"/>
      <c r="M972" s="55"/>
      <c r="N972" s="55"/>
      <c r="O972" s="55"/>
      <c r="P972" s="55"/>
      <c r="Q972" s="55"/>
      <c r="R972" s="55"/>
      <c r="S972" s="55"/>
      <c r="T972" s="55"/>
    </row>
    <row x14ac:dyDescent="0.25" r="973" customHeight="1" ht="17.25">
      <c r="A973" s="55"/>
      <c r="B973" s="100"/>
      <c r="C973" s="55"/>
      <c r="D973" s="101"/>
      <c r="E973" s="101"/>
      <c r="F973" s="102"/>
      <c r="G973" s="103"/>
      <c r="H973" s="150"/>
      <c r="I973" s="55"/>
      <c r="J973" s="105"/>
      <c r="K973" s="55"/>
      <c r="L973" s="65"/>
      <c r="M973" s="55"/>
      <c r="N973" s="55"/>
      <c r="O973" s="55"/>
      <c r="P973" s="55"/>
      <c r="Q973" s="55"/>
      <c r="R973" s="55"/>
      <c r="S973" s="55"/>
      <c r="T973" s="55"/>
    </row>
    <row x14ac:dyDescent="0.25" r="974" customHeight="1" ht="17.25">
      <c r="A974" s="55"/>
      <c r="B974" s="100"/>
      <c r="C974" s="55"/>
      <c r="D974" s="101"/>
      <c r="E974" s="101"/>
      <c r="F974" s="102"/>
      <c r="G974" s="103"/>
      <c r="H974" s="150"/>
      <c r="I974" s="55"/>
      <c r="J974" s="105"/>
      <c r="K974" s="55"/>
      <c r="L974" s="65"/>
      <c r="M974" s="55"/>
      <c r="N974" s="55"/>
      <c r="O974" s="55"/>
      <c r="P974" s="55"/>
      <c r="Q974" s="55"/>
      <c r="R974" s="55"/>
      <c r="S974" s="55"/>
      <c r="T974" s="55"/>
    </row>
    <row x14ac:dyDescent="0.25" r="975" customHeight="1" ht="17.25">
      <c r="A975" s="55"/>
      <c r="B975" s="100"/>
      <c r="C975" s="55"/>
      <c r="D975" s="101"/>
      <c r="E975" s="101"/>
      <c r="F975" s="102"/>
      <c r="G975" s="103"/>
      <c r="H975" s="150"/>
      <c r="I975" s="55"/>
      <c r="J975" s="105"/>
      <c r="K975" s="55"/>
      <c r="L975" s="65"/>
      <c r="M975" s="55"/>
      <c r="N975" s="55"/>
      <c r="O975" s="55"/>
      <c r="P975" s="55"/>
      <c r="Q975" s="55"/>
      <c r="R975" s="55"/>
      <c r="S975" s="55"/>
      <c r="T975" s="55"/>
    </row>
    <row x14ac:dyDescent="0.25" r="976" customHeight="1" ht="17.25">
      <c r="A976" s="55"/>
      <c r="B976" s="100"/>
      <c r="C976" s="55"/>
      <c r="D976" s="101"/>
      <c r="E976" s="101"/>
      <c r="F976" s="102"/>
      <c r="G976" s="103"/>
      <c r="H976" s="150"/>
      <c r="I976" s="55"/>
      <c r="J976" s="105"/>
      <c r="K976" s="55"/>
      <c r="L976" s="65"/>
      <c r="M976" s="55"/>
      <c r="N976" s="55"/>
      <c r="O976" s="55"/>
      <c r="P976" s="55"/>
      <c r="Q976" s="55"/>
      <c r="R976" s="55"/>
      <c r="S976" s="55"/>
      <c r="T976" s="55"/>
    </row>
    <row x14ac:dyDescent="0.25" r="977" customHeight="1" ht="17.25">
      <c r="A977" s="55"/>
      <c r="B977" s="100"/>
      <c r="C977" s="55"/>
      <c r="D977" s="101"/>
      <c r="E977" s="101"/>
      <c r="F977" s="102"/>
      <c r="G977" s="103"/>
      <c r="H977" s="150"/>
      <c r="I977" s="55"/>
      <c r="J977" s="105"/>
      <c r="K977" s="55"/>
      <c r="L977" s="65"/>
      <c r="M977" s="55"/>
      <c r="N977" s="55"/>
      <c r="O977" s="55"/>
      <c r="P977" s="55"/>
      <c r="Q977" s="55"/>
      <c r="R977" s="55"/>
      <c r="S977" s="55"/>
      <c r="T977" s="55"/>
    </row>
    <row x14ac:dyDescent="0.25" r="978" customHeight="1" ht="17.25">
      <c r="A978" s="55"/>
      <c r="B978" s="100"/>
      <c r="C978" s="55"/>
      <c r="D978" s="101"/>
      <c r="E978" s="101"/>
      <c r="F978" s="102"/>
      <c r="G978" s="103"/>
      <c r="H978" s="150"/>
      <c r="I978" s="55"/>
      <c r="J978" s="105"/>
      <c r="K978" s="55"/>
      <c r="L978" s="65"/>
      <c r="M978" s="55"/>
      <c r="N978" s="55"/>
      <c r="O978" s="55"/>
      <c r="P978" s="55"/>
      <c r="Q978" s="55"/>
      <c r="R978" s="55"/>
      <c r="S978" s="55"/>
      <c r="T978" s="55"/>
    </row>
    <row x14ac:dyDescent="0.25" r="979" customHeight="1" ht="17.25">
      <c r="A979" s="55"/>
      <c r="B979" s="100"/>
      <c r="C979" s="55"/>
      <c r="D979" s="101"/>
      <c r="E979" s="101"/>
      <c r="F979" s="102"/>
      <c r="G979" s="103"/>
      <c r="H979" s="150"/>
      <c r="I979" s="55"/>
      <c r="J979" s="105"/>
      <c r="K979" s="55"/>
      <c r="L979" s="65"/>
      <c r="M979" s="55"/>
      <c r="N979" s="55"/>
      <c r="O979" s="55"/>
      <c r="P979" s="55"/>
      <c r="Q979" s="55"/>
      <c r="R979" s="55"/>
      <c r="S979" s="55"/>
      <c r="T979" s="55"/>
    </row>
    <row x14ac:dyDescent="0.25" r="980" customHeight="1" ht="17.25">
      <c r="A980" s="55"/>
      <c r="B980" s="100"/>
      <c r="C980" s="55"/>
      <c r="D980" s="101"/>
      <c r="E980" s="101"/>
      <c r="F980" s="102"/>
      <c r="G980" s="103"/>
      <c r="H980" s="150"/>
      <c r="I980" s="55"/>
      <c r="J980" s="105"/>
      <c r="K980" s="55"/>
      <c r="L980" s="65"/>
      <c r="M980" s="55"/>
      <c r="N980" s="55"/>
      <c r="O980" s="55"/>
      <c r="P980" s="55"/>
      <c r="Q980" s="55"/>
      <c r="R980" s="55"/>
      <c r="S980" s="55"/>
      <c r="T980" s="55"/>
    </row>
    <row x14ac:dyDescent="0.25" r="981" customHeight="1" ht="17.25">
      <c r="A981" s="55"/>
      <c r="B981" s="100"/>
      <c r="C981" s="55"/>
      <c r="D981" s="101"/>
      <c r="E981" s="101"/>
      <c r="F981" s="102"/>
      <c r="G981" s="103"/>
      <c r="H981" s="150"/>
      <c r="I981" s="55"/>
      <c r="J981" s="105"/>
      <c r="K981" s="55"/>
      <c r="L981" s="65"/>
      <c r="M981" s="55"/>
      <c r="N981" s="55"/>
      <c r="O981" s="55"/>
      <c r="P981" s="55"/>
      <c r="Q981" s="55"/>
      <c r="R981" s="55"/>
      <c r="S981" s="55"/>
      <c r="T981" s="55"/>
    </row>
    <row x14ac:dyDescent="0.25" r="982" customHeight="1" ht="17.25">
      <c r="A982" s="55"/>
      <c r="B982" s="100"/>
      <c r="C982" s="55"/>
      <c r="D982" s="101"/>
      <c r="E982" s="101"/>
      <c r="F982" s="102"/>
      <c r="G982" s="103"/>
      <c r="H982" s="150"/>
      <c r="I982" s="55"/>
      <c r="J982" s="105"/>
      <c r="K982" s="55"/>
      <c r="L982" s="65"/>
      <c r="M982" s="55"/>
      <c r="N982" s="55"/>
      <c r="O982" s="55"/>
      <c r="P982" s="55"/>
      <c r="Q982" s="55"/>
      <c r="R982" s="55"/>
      <c r="S982" s="55"/>
      <c r="T982" s="55"/>
    </row>
    <row x14ac:dyDescent="0.25" r="983" customHeight="1" ht="17.25">
      <c r="A983" s="55"/>
      <c r="B983" s="100"/>
      <c r="C983" s="55"/>
      <c r="D983" s="101"/>
      <c r="E983" s="101"/>
      <c r="F983" s="102"/>
      <c r="G983" s="103"/>
      <c r="H983" s="150"/>
      <c r="I983" s="55"/>
      <c r="J983" s="105"/>
      <c r="K983" s="55"/>
      <c r="L983" s="65"/>
      <c r="M983" s="55"/>
      <c r="N983" s="55"/>
      <c r="O983" s="55"/>
      <c r="P983" s="55"/>
      <c r="Q983" s="55"/>
      <c r="R983" s="55"/>
      <c r="S983" s="55"/>
      <c r="T983" s="55"/>
    </row>
    <row x14ac:dyDescent="0.25" r="984" customHeight="1" ht="17.25">
      <c r="A984" s="55"/>
      <c r="B984" s="100"/>
      <c r="C984" s="55"/>
      <c r="D984" s="101"/>
      <c r="E984" s="101"/>
      <c r="F984" s="102"/>
      <c r="G984" s="103"/>
      <c r="H984" s="150"/>
      <c r="I984" s="55"/>
      <c r="J984" s="105"/>
      <c r="K984" s="55"/>
      <c r="L984" s="65"/>
      <c r="M984" s="55"/>
      <c r="N984" s="55"/>
      <c r="O984" s="55"/>
      <c r="P984" s="55"/>
      <c r="Q984" s="55"/>
      <c r="R984" s="55"/>
      <c r="S984" s="55"/>
      <c r="T984" s="55"/>
    </row>
    <row x14ac:dyDescent="0.25" r="985" customHeight="1" ht="17.25">
      <c r="A985" s="55"/>
      <c r="B985" s="100"/>
      <c r="C985" s="55"/>
      <c r="D985" s="101"/>
      <c r="E985" s="101"/>
      <c r="F985" s="102"/>
      <c r="G985" s="103"/>
      <c r="H985" s="150"/>
      <c r="I985" s="55"/>
      <c r="J985" s="105"/>
      <c r="K985" s="55"/>
      <c r="L985" s="65"/>
      <c r="M985" s="55"/>
      <c r="N985" s="55"/>
      <c r="O985" s="55"/>
      <c r="P985" s="55"/>
      <c r="Q985" s="55"/>
      <c r="R985" s="55"/>
      <c r="S985" s="55"/>
      <c r="T985" s="55"/>
    </row>
    <row x14ac:dyDescent="0.25" r="986" customHeight="1" ht="17.25">
      <c r="A986" s="55"/>
      <c r="B986" s="100"/>
      <c r="C986" s="55"/>
      <c r="D986" s="101"/>
      <c r="E986" s="101"/>
      <c r="F986" s="102"/>
      <c r="G986" s="103"/>
      <c r="H986" s="150"/>
      <c r="I986" s="55"/>
      <c r="J986" s="105"/>
      <c r="K986" s="55"/>
      <c r="L986" s="65"/>
      <c r="M986" s="55"/>
      <c r="N986" s="55"/>
      <c r="O986" s="55"/>
      <c r="P986" s="55"/>
      <c r="Q986" s="55"/>
      <c r="R986" s="55"/>
      <c r="S986" s="55"/>
      <c r="T986" s="55"/>
    </row>
    <row x14ac:dyDescent="0.25" r="987" customHeight="1" ht="17.25">
      <c r="A987" s="55"/>
      <c r="B987" s="100"/>
      <c r="C987" s="55"/>
      <c r="D987" s="101"/>
      <c r="E987" s="101"/>
      <c r="F987" s="102"/>
      <c r="G987" s="103"/>
      <c r="H987" s="150"/>
      <c r="I987" s="55"/>
      <c r="J987" s="105"/>
      <c r="K987" s="55"/>
      <c r="L987" s="65"/>
      <c r="M987" s="55"/>
      <c r="N987" s="55"/>
      <c r="O987" s="55"/>
      <c r="P987" s="55"/>
      <c r="Q987" s="55"/>
      <c r="R987" s="55"/>
      <c r="S987" s="55"/>
      <c r="T987" s="55"/>
    </row>
    <row x14ac:dyDescent="0.25" r="988" customHeight="1" ht="17.25">
      <c r="A988" s="55"/>
      <c r="B988" s="100"/>
      <c r="C988" s="55"/>
      <c r="D988" s="101"/>
      <c r="E988" s="101"/>
      <c r="F988" s="102"/>
      <c r="G988" s="103"/>
      <c r="H988" s="150"/>
      <c r="I988" s="55"/>
      <c r="J988" s="105"/>
      <c r="K988" s="55"/>
      <c r="L988" s="65"/>
      <c r="M988" s="55"/>
      <c r="N988" s="55"/>
      <c r="O988" s="55"/>
      <c r="P988" s="55"/>
      <c r="Q988" s="55"/>
      <c r="R988" s="55"/>
      <c r="S988" s="55"/>
      <c r="T988" s="55"/>
    </row>
    <row x14ac:dyDescent="0.25" r="989" customHeight="1" ht="17.25">
      <c r="A989" s="55"/>
      <c r="B989" s="100"/>
      <c r="C989" s="55"/>
      <c r="D989" s="101"/>
      <c r="E989" s="101"/>
      <c r="F989" s="102"/>
      <c r="G989" s="103"/>
      <c r="H989" s="150"/>
      <c r="I989" s="55"/>
      <c r="J989" s="105"/>
      <c r="K989" s="55"/>
      <c r="L989" s="65"/>
      <c r="M989" s="55"/>
      <c r="N989" s="55"/>
      <c r="O989" s="55"/>
      <c r="P989" s="55"/>
      <c r="Q989" s="55"/>
      <c r="R989" s="55"/>
      <c r="S989" s="55"/>
      <c r="T989" s="55"/>
    </row>
    <row x14ac:dyDescent="0.25" r="990" customHeight="1" ht="17.25">
      <c r="A990" s="55"/>
      <c r="B990" s="100"/>
      <c r="C990" s="55"/>
      <c r="D990" s="101"/>
      <c r="E990" s="101"/>
      <c r="F990" s="102"/>
      <c r="G990" s="103"/>
      <c r="H990" s="150"/>
      <c r="I990" s="55"/>
      <c r="J990" s="105"/>
      <c r="K990" s="55"/>
      <c r="L990" s="65"/>
      <c r="M990" s="55"/>
      <c r="N990" s="55"/>
      <c r="O990" s="55"/>
      <c r="P990" s="55"/>
      <c r="Q990" s="55"/>
      <c r="R990" s="55"/>
      <c r="S990" s="55"/>
      <c r="T990" s="55"/>
    </row>
    <row x14ac:dyDescent="0.25" r="991" customHeight="1" ht="17.25">
      <c r="A991" s="55"/>
      <c r="B991" s="100"/>
      <c r="C991" s="55"/>
      <c r="D991" s="101"/>
      <c r="E991" s="101"/>
      <c r="F991" s="102"/>
      <c r="G991" s="103"/>
      <c r="H991" s="150"/>
      <c r="I991" s="55"/>
      <c r="J991" s="105"/>
      <c r="K991" s="55"/>
      <c r="L991" s="65"/>
      <c r="M991" s="55"/>
      <c r="N991" s="55"/>
      <c r="O991" s="55"/>
      <c r="P991" s="55"/>
      <c r="Q991" s="55"/>
      <c r="R991" s="55"/>
      <c r="S991" s="55"/>
      <c r="T991" s="55"/>
    </row>
    <row x14ac:dyDescent="0.25" r="992" customHeight="1" ht="17.25">
      <c r="A992" s="55"/>
      <c r="B992" s="100"/>
      <c r="C992" s="55"/>
      <c r="D992" s="101"/>
      <c r="E992" s="101"/>
      <c r="F992" s="102"/>
      <c r="G992" s="103"/>
      <c r="H992" s="150"/>
      <c r="I992" s="55"/>
      <c r="J992" s="105"/>
      <c r="K992" s="55"/>
      <c r="L992" s="65"/>
      <c r="M992" s="55"/>
      <c r="N992" s="55"/>
      <c r="O992" s="55"/>
      <c r="P992" s="55"/>
      <c r="Q992" s="55"/>
      <c r="R992" s="55"/>
      <c r="S992" s="55"/>
      <c r="T992" s="55"/>
    </row>
    <row x14ac:dyDescent="0.25" r="993" customHeight="1" ht="17.25">
      <c r="A993" s="55"/>
      <c r="B993" s="100"/>
      <c r="C993" s="55"/>
      <c r="D993" s="101"/>
      <c r="E993" s="101"/>
      <c r="F993" s="102"/>
      <c r="G993" s="103"/>
      <c r="H993" s="150"/>
      <c r="I993" s="55"/>
      <c r="J993" s="105"/>
      <c r="K993" s="55"/>
      <c r="L993" s="65"/>
      <c r="M993" s="55"/>
      <c r="N993" s="55"/>
      <c r="O993" s="55"/>
      <c r="P993" s="55"/>
      <c r="Q993" s="55"/>
      <c r="R993" s="55"/>
      <c r="S993" s="55"/>
      <c r="T993" s="55"/>
    </row>
    <row x14ac:dyDescent="0.25" r="994" customHeight="1" ht="17.25">
      <c r="A994" s="55"/>
      <c r="B994" s="100"/>
      <c r="C994" s="55"/>
      <c r="D994" s="101"/>
      <c r="E994" s="101"/>
      <c r="F994" s="102"/>
      <c r="G994" s="103"/>
      <c r="H994" s="150"/>
      <c r="I994" s="55"/>
      <c r="J994" s="105"/>
      <c r="K994" s="55"/>
      <c r="L994" s="65"/>
      <c r="M994" s="55"/>
      <c r="N994" s="55"/>
      <c r="O994" s="55"/>
      <c r="P994" s="55"/>
      <c r="Q994" s="55"/>
      <c r="R994" s="55"/>
      <c r="S994" s="55"/>
      <c r="T994" s="55"/>
    </row>
    <row x14ac:dyDescent="0.25" r="995" customHeight="1" ht="17.25">
      <c r="A995" s="55"/>
      <c r="B995" s="100"/>
      <c r="C995" s="55"/>
      <c r="D995" s="101"/>
      <c r="E995" s="101"/>
      <c r="F995" s="102"/>
      <c r="G995" s="103"/>
      <c r="H995" s="150"/>
      <c r="I995" s="55"/>
      <c r="J995" s="105"/>
      <c r="K995" s="55"/>
      <c r="L995" s="65"/>
      <c r="M995" s="55"/>
      <c r="N995" s="55"/>
      <c r="O995" s="55"/>
      <c r="P995" s="55"/>
      <c r="Q995" s="55"/>
      <c r="R995" s="55"/>
      <c r="S995" s="55"/>
      <c r="T995" s="55"/>
    </row>
    <row x14ac:dyDescent="0.25" r="996" customHeight="1" ht="17.25">
      <c r="A996" s="55"/>
      <c r="B996" s="100"/>
      <c r="C996" s="55"/>
      <c r="D996" s="101"/>
      <c r="E996" s="101"/>
      <c r="F996" s="102"/>
      <c r="G996" s="103"/>
      <c r="H996" s="150"/>
      <c r="I996" s="55"/>
      <c r="J996" s="105"/>
      <c r="K996" s="55"/>
      <c r="L996" s="65"/>
      <c r="M996" s="55"/>
      <c r="N996" s="55"/>
      <c r="O996" s="55"/>
      <c r="P996" s="55"/>
      <c r="Q996" s="55"/>
      <c r="R996" s="55"/>
      <c r="S996" s="55"/>
      <c r="T996" s="55"/>
    </row>
    <row x14ac:dyDescent="0.25" r="997" customHeight="1" ht="17.25">
      <c r="A997" s="55"/>
      <c r="B997" s="100"/>
      <c r="C997" s="55"/>
      <c r="D997" s="101"/>
      <c r="E997" s="101"/>
      <c r="F997" s="102"/>
      <c r="G997" s="103"/>
      <c r="H997" s="150"/>
      <c r="I997" s="55"/>
      <c r="J997" s="105"/>
      <c r="K997" s="55"/>
      <c r="L997" s="65"/>
      <c r="M997" s="55"/>
      <c r="N997" s="55"/>
      <c r="O997" s="55"/>
      <c r="P997" s="55"/>
      <c r="Q997" s="55"/>
      <c r="R997" s="55"/>
      <c r="S997" s="55"/>
      <c r="T997" s="55"/>
    </row>
    <row x14ac:dyDescent="0.25" r="998" customHeight="1" ht="17.25">
      <c r="A998" s="55"/>
      <c r="B998" s="100"/>
      <c r="C998" s="55"/>
      <c r="D998" s="101"/>
      <c r="E998" s="101"/>
      <c r="F998" s="102"/>
      <c r="G998" s="103"/>
      <c r="H998" s="150"/>
      <c r="I998" s="55"/>
      <c r="J998" s="105"/>
      <c r="K998" s="55"/>
      <c r="L998" s="65"/>
      <c r="M998" s="55"/>
      <c r="N998" s="55"/>
      <c r="O998" s="55"/>
      <c r="P998" s="55"/>
      <c r="Q998" s="55"/>
      <c r="R998" s="55"/>
      <c r="S998" s="55"/>
      <c r="T998" s="55"/>
    </row>
    <row x14ac:dyDescent="0.25" r="999" customHeight="1" ht="17.25">
      <c r="A999" s="55"/>
      <c r="B999" s="100"/>
      <c r="C999" s="55"/>
      <c r="D999" s="101"/>
      <c r="E999" s="101"/>
      <c r="F999" s="102"/>
      <c r="G999" s="103"/>
      <c r="H999" s="150"/>
      <c r="I999" s="55"/>
      <c r="J999" s="105"/>
      <c r="K999" s="55"/>
      <c r="L999" s="65"/>
      <c r="M999" s="55"/>
      <c r="N999" s="55"/>
      <c r="O999" s="55"/>
      <c r="P999" s="55"/>
      <c r="Q999" s="55"/>
      <c r="R999" s="55"/>
      <c r="S999" s="55"/>
      <c r="T999" s="55"/>
    </row>
    <row x14ac:dyDescent="0.25" r="1000" customHeight="1" ht="17.25">
      <c r="A1000" s="55"/>
      <c r="B1000" s="100"/>
      <c r="C1000" s="55"/>
      <c r="D1000" s="101"/>
      <c r="E1000" s="101"/>
      <c r="F1000" s="102"/>
      <c r="G1000" s="103"/>
      <c r="H1000" s="150"/>
      <c r="I1000" s="55"/>
      <c r="J1000" s="105"/>
      <c r="K1000" s="55"/>
      <c r="L1000" s="65"/>
      <c r="M1000" s="55"/>
      <c r="N1000" s="55"/>
      <c r="O1000" s="55"/>
      <c r="P1000" s="55"/>
      <c r="Q1000" s="55"/>
      <c r="R1000" s="55"/>
      <c r="S1000" s="55"/>
      <c r="T1000" s="55"/>
    </row>
    <row x14ac:dyDescent="0.25" r="1001" customHeight="1" ht="17.25">
      <c r="A1001" s="55"/>
      <c r="B1001" s="100"/>
      <c r="C1001" s="55"/>
      <c r="D1001" s="101"/>
      <c r="E1001" s="101"/>
      <c r="F1001" s="102"/>
      <c r="G1001" s="103"/>
      <c r="H1001" s="150"/>
      <c r="I1001" s="55"/>
      <c r="J1001" s="105"/>
      <c r="K1001" s="55"/>
      <c r="L1001" s="65"/>
      <c r="M1001" s="55"/>
      <c r="N1001" s="55"/>
      <c r="O1001" s="55"/>
      <c r="P1001" s="55"/>
      <c r="Q1001" s="55"/>
      <c r="R1001" s="55"/>
      <c r="S1001" s="55"/>
      <c r="T1001" s="55"/>
    </row>
    <row x14ac:dyDescent="0.25" r="1002" customHeight="1" ht="17.25">
      <c r="A1002" s="55"/>
      <c r="B1002" s="100"/>
      <c r="C1002" s="55"/>
      <c r="D1002" s="101"/>
      <c r="E1002" s="101"/>
      <c r="F1002" s="102"/>
      <c r="G1002" s="103"/>
      <c r="H1002" s="150"/>
      <c r="I1002" s="55"/>
      <c r="J1002" s="105"/>
      <c r="K1002" s="55"/>
      <c r="L1002" s="65"/>
      <c r="M1002" s="55"/>
      <c r="N1002" s="55"/>
      <c r="O1002" s="55"/>
      <c r="P1002" s="55"/>
      <c r="Q1002" s="55"/>
      <c r="R1002" s="55"/>
      <c r="S1002" s="55"/>
      <c r="T1002" s="55"/>
    </row>
    <row x14ac:dyDescent="0.25" r="1003" customHeight="1" ht="17.25">
      <c r="A1003" s="55"/>
      <c r="B1003" s="100"/>
      <c r="C1003" s="55"/>
      <c r="D1003" s="101"/>
      <c r="E1003" s="101"/>
      <c r="F1003" s="102"/>
      <c r="G1003" s="103"/>
      <c r="H1003" s="150"/>
      <c r="I1003" s="55"/>
      <c r="J1003" s="105"/>
      <c r="K1003" s="55"/>
      <c r="L1003" s="65"/>
      <c r="M1003" s="55"/>
      <c r="N1003" s="55"/>
      <c r="O1003" s="55"/>
      <c r="P1003" s="55"/>
      <c r="Q1003" s="55"/>
      <c r="R1003" s="55"/>
      <c r="S1003" s="55"/>
      <c r="T1003" s="55"/>
    </row>
    <row x14ac:dyDescent="0.25" r="1004" customHeight="1" ht="17.25">
      <c r="A1004" s="55"/>
      <c r="B1004" s="100"/>
      <c r="C1004" s="55"/>
      <c r="D1004" s="101"/>
      <c r="E1004" s="101"/>
      <c r="F1004" s="102"/>
      <c r="G1004" s="103"/>
      <c r="H1004" s="150"/>
      <c r="I1004" s="55"/>
      <c r="J1004" s="105"/>
      <c r="K1004" s="55"/>
      <c r="L1004" s="65"/>
      <c r="M1004" s="55"/>
      <c r="N1004" s="55"/>
      <c r="O1004" s="55"/>
      <c r="P1004" s="55"/>
      <c r="Q1004" s="55"/>
      <c r="R1004" s="55"/>
      <c r="S1004" s="55"/>
      <c r="T1004" s="55"/>
    </row>
    <row x14ac:dyDescent="0.25" r="1005" customHeight="1" ht="17.25">
      <c r="A1005" s="55"/>
      <c r="B1005" s="100"/>
      <c r="C1005" s="55"/>
      <c r="D1005" s="101"/>
      <c r="E1005" s="101"/>
      <c r="F1005" s="102"/>
      <c r="G1005" s="103"/>
      <c r="H1005" s="150"/>
      <c r="I1005" s="55"/>
      <c r="J1005" s="105"/>
      <c r="K1005" s="55"/>
      <c r="L1005" s="65"/>
      <c r="M1005" s="55"/>
      <c r="N1005" s="55"/>
      <c r="O1005" s="55"/>
      <c r="P1005" s="55"/>
      <c r="Q1005" s="55"/>
      <c r="R1005" s="55"/>
      <c r="S1005" s="55"/>
      <c r="T1005" s="55"/>
    </row>
    <row x14ac:dyDescent="0.25" r="1006" customHeight="1" ht="17.25">
      <c r="A1006" s="55"/>
      <c r="B1006" s="100"/>
      <c r="C1006" s="55"/>
      <c r="D1006" s="101"/>
      <c r="E1006" s="101"/>
      <c r="F1006" s="102"/>
      <c r="G1006" s="103"/>
      <c r="H1006" s="150"/>
      <c r="I1006" s="55"/>
      <c r="J1006" s="105"/>
      <c r="K1006" s="55"/>
      <c r="L1006" s="65"/>
      <c r="M1006" s="55"/>
      <c r="N1006" s="55"/>
      <c r="O1006" s="55"/>
      <c r="P1006" s="55"/>
      <c r="Q1006" s="55"/>
      <c r="R1006" s="55"/>
      <c r="S1006" s="55"/>
      <c r="T1006" s="55"/>
    </row>
    <row x14ac:dyDescent="0.25" r="1007" customHeight="1" ht="17.25">
      <c r="A1007" s="55"/>
      <c r="B1007" s="100"/>
      <c r="C1007" s="55"/>
      <c r="D1007" s="101"/>
      <c r="E1007" s="101"/>
      <c r="F1007" s="102"/>
      <c r="G1007" s="103"/>
      <c r="H1007" s="150"/>
      <c r="I1007" s="55"/>
      <c r="J1007" s="105"/>
      <c r="K1007" s="55"/>
      <c r="L1007" s="65"/>
      <c r="M1007" s="55"/>
      <c r="N1007" s="55"/>
      <c r="O1007" s="55"/>
      <c r="P1007" s="55"/>
      <c r="Q1007" s="55"/>
      <c r="R1007" s="55"/>
      <c r="S1007" s="55"/>
      <c r="T1007" s="55"/>
    </row>
    <row x14ac:dyDescent="0.25" r="1008" customHeight="1" ht="17.25">
      <c r="A1008" s="55"/>
      <c r="B1008" s="100"/>
      <c r="C1008" s="55"/>
      <c r="D1008" s="101"/>
      <c r="E1008" s="101"/>
      <c r="F1008" s="102"/>
      <c r="G1008" s="103"/>
      <c r="H1008" s="150"/>
      <c r="I1008" s="55"/>
      <c r="J1008" s="105"/>
      <c r="K1008" s="55"/>
      <c r="L1008" s="65"/>
      <c r="M1008" s="55"/>
      <c r="N1008" s="55"/>
      <c r="O1008" s="55"/>
      <c r="P1008" s="55"/>
      <c r="Q1008" s="55"/>
      <c r="R1008" s="55"/>
      <c r="S1008" s="55"/>
      <c r="T1008" s="55"/>
    </row>
    <row x14ac:dyDescent="0.25" r="1009" customHeight="1" ht="17.25">
      <c r="A1009" s="55"/>
      <c r="B1009" s="100"/>
      <c r="C1009" s="55"/>
      <c r="D1009" s="101"/>
      <c r="E1009" s="101"/>
      <c r="F1009" s="102"/>
      <c r="G1009" s="103"/>
      <c r="H1009" s="150"/>
      <c r="I1009" s="55"/>
      <c r="J1009" s="105"/>
      <c r="K1009" s="55"/>
      <c r="L1009" s="65"/>
      <c r="M1009" s="55"/>
      <c r="N1009" s="55"/>
      <c r="O1009" s="55"/>
      <c r="P1009" s="55"/>
      <c r="Q1009" s="55"/>
      <c r="R1009" s="55"/>
      <c r="S1009" s="55"/>
      <c r="T1009" s="55"/>
    </row>
    <row x14ac:dyDescent="0.25" r="1010" customHeight="1" ht="17.25">
      <c r="A1010" s="55"/>
      <c r="B1010" s="100"/>
      <c r="C1010" s="55"/>
      <c r="D1010" s="101"/>
      <c r="E1010" s="101"/>
      <c r="F1010" s="102"/>
      <c r="G1010" s="103"/>
      <c r="H1010" s="150"/>
      <c r="I1010" s="55"/>
      <c r="J1010" s="105"/>
      <c r="K1010" s="55"/>
      <c r="L1010" s="65"/>
      <c r="M1010" s="55"/>
      <c r="N1010" s="55"/>
      <c r="O1010" s="55"/>
      <c r="P1010" s="55"/>
      <c r="Q1010" s="55"/>
      <c r="R1010" s="55"/>
      <c r="S1010" s="55"/>
      <c r="T1010" s="5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33"/>
  <sheetViews>
    <sheetView workbookViewId="0">
      <pane state="frozen" activePane="bottomLeft" topLeftCell="A3" ySplit="2" xSplit="0"/>
    </sheetView>
  </sheetViews>
  <sheetFormatPr defaultRowHeight="15" x14ac:dyDescent="0.25"/>
  <cols>
    <col min="1" max="1" style="4" width="18.005" customWidth="1" bestFit="1"/>
    <col min="2" max="2" style="42" width="20.290714285714284" customWidth="1" bestFit="1"/>
    <col min="3" max="3" style="4" width="10.576428571428572" customWidth="1" bestFit="1"/>
    <col min="4" max="4" style="43" width="8.576428571428572" customWidth="1" bestFit="1"/>
    <col min="5" max="5" style="43" width="12.290714285714287" customWidth="1" bestFit="1"/>
    <col min="6" max="6" style="43" width="12.147857142857141" customWidth="1" bestFit="1"/>
    <col min="7" max="7" style="44" width="13.147857142857141" customWidth="1" bestFit="1"/>
    <col min="8" max="8" style="44" width="12.147857142857141" customWidth="1" bestFit="1"/>
    <col min="9" max="9" style="43" width="18.576428571428572" customWidth="1" bestFit="1"/>
    <col min="10" max="10" style="43" width="14.576428571428572" customWidth="1" bestFit="1"/>
    <col min="11" max="11" style="4" width="8.43357142857143" customWidth="1" bestFit="1"/>
    <col min="12" max="12" style="4" width="8.43357142857143" customWidth="1" bestFit="1"/>
    <col min="13" max="13" style="4" width="9.576428571428572" customWidth="1" bestFit="1"/>
    <col min="14" max="14" style="43" width="11.576428571428572" customWidth="1" bestFit="1"/>
    <col min="15" max="15" style="4" width="26.576428571428572" customWidth="1" bestFit="1"/>
  </cols>
  <sheetData>
    <row x14ac:dyDescent="0.25" r="1" customHeight="1" ht="20.25">
      <c r="A1" s="5" t="s">
        <v>44</v>
      </c>
      <c r="B1" s="6"/>
      <c r="C1" s="5"/>
      <c r="D1" s="7"/>
      <c r="E1" s="7"/>
      <c r="F1" s="7"/>
      <c r="G1" s="8"/>
      <c r="H1" s="8"/>
      <c r="I1" s="7"/>
      <c r="J1" s="7"/>
      <c r="K1" s="5"/>
      <c r="L1" s="5"/>
      <c r="M1" s="5"/>
      <c r="N1" s="9"/>
      <c r="O1" s="5"/>
    </row>
    <row x14ac:dyDescent="0.25" r="2" customHeight="1" ht="20.25">
      <c r="A2" s="10" t="s">
        <v>45</v>
      </c>
      <c r="B2" s="11" t="s">
        <v>46</v>
      </c>
      <c r="C2" s="10" t="s">
        <v>47</v>
      </c>
      <c r="D2" s="12" t="s">
        <v>48</v>
      </c>
      <c r="E2" s="12" t="s">
        <v>49</v>
      </c>
      <c r="F2" s="12" t="s">
        <v>50</v>
      </c>
      <c r="G2" s="13" t="s">
        <v>51</v>
      </c>
      <c r="H2" s="13" t="s">
        <v>52</v>
      </c>
      <c r="I2" s="12" t="s">
        <v>53</v>
      </c>
      <c r="J2" s="12" t="s">
        <v>54</v>
      </c>
      <c r="K2" s="10" t="s">
        <v>1</v>
      </c>
      <c r="L2" s="10" t="s">
        <v>55</v>
      </c>
      <c r="M2" s="10" t="s">
        <v>56</v>
      </c>
      <c r="N2" s="12" t="s">
        <v>57</v>
      </c>
      <c r="O2" s="10" t="s">
        <v>58</v>
      </c>
    </row>
    <row x14ac:dyDescent="0.25" r="3" customHeight="1" ht="20.25">
      <c r="A3" s="14" t="s">
        <v>59</v>
      </c>
      <c r="B3" s="15"/>
      <c r="C3" s="16"/>
      <c r="D3" s="17"/>
      <c r="E3" s="17"/>
      <c r="F3" s="17"/>
      <c r="G3" s="18"/>
      <c r="H3" s="18"/>
      <c r="I3" s="17"/>
      <c r="J3" s="19"/>
      <c r="K3" s="16"/>
      <c r="L3" s="16"/>
      <c r="M3" s="16"/>
      <c r="N3" s="17"/>
      <c r="O3" s="16"/>
    </row>
    <row x14ac:dyDescent="0.25" r="4" customHeight="1" ht="20.25">
      <c r="A4" s="16" t="s">
        <v>60</v>
      </c>
      <c r="B4" s="20" t="s">
        <v>61</v>
      </c>
      <c r="C4" s="16" t="s">
        <v>62</v>
      </c>
      <c r="D4" s="15">
        <v>2023</v>
      </c>
      <c r="E4" s="15">
        <v>160</v>
      </c>
      <c r="F4" s="15">
        <v>30</v>
      </c>
      <c r="G4" s="15">
        <v>4</v>
      </c>
      <c r="H4" s="15">
        <v>12</v>
      </c>
      <c r="I4" s="15">
        <v>20</v>
      </c>
      <c r="J4" s="19">
        <v>44961</v>
      </c>
      <c r="K4" s="14" t="s">
        <v>63</v>
      </c>
      <c r="L4" s="14" t="s">
        <v>64</v>
      </c>
      <c r="M4" s="16" t="s">
        <v>65</v>
      </c>
      <c r="N4" s="17"/>
      <c r="O4" s="16" t="s">
        <v>66</v>
      </c>
    </row>
    <row x14ac:dyDescent="0.25" r="5" customHeight="1" ht="20.25">
      <c r="A5" s="21" t="s">
        <v>67</v>
      </c>
      <c r="B5" s="22" t="s">
        <v>68</v>
      </c>
      <c r="C5" s="21" t="s">
        <v>69</v>
      </c>
      <c r="D5" s="23">
        <v>2023</v>
      </c>
      <c r="E5" s="23">
        <v>167</v>
      </c>
      <c r="F5" s="23">
        <v>60</v>
      </c>
      <c r="G5" s="24">
        <v>4.3</v>
      </c>
      <c r="H5" s="24">
        <v>4.3</v>
      </c>
      <c r="I5" s="23">
        <v>20</v>
      </c>
      <c r="J5" s="23">
        <v>5</v>
      </c>
      <c r="K5" s="25" t="s">
        <v>70</v>
      </c>
      <c r="L5" s="25" t="s">
        <v>71</v>
      </c>
      <c r="M5" s="21" t="s">
        <v>65</v>
      </c>
      <c r="N5" s="26"/>
      <c r="O5" s="21"/>
    </row>
    <row x14ac:dyDescent="0.25" r="6" customHeight="1" ht="20.25">
      <c r="A6" s="16" t="s">
        <v>67</v>
      </c>
      <c r="B6" s="20" t="s">
        <v>72</v>
      </c>
      <c r="C6" s="16" t="s">
        <v>69</v>
      </c>
      <c r="D6" s="15">
        <v>2024</v>
      </c>
      <c r="E6" s="15">
        <v>167</v>
      </c>
      <c r="F6" s="15">
        <v>70</v>
      </c>
      <c r="G6" s="18"/>
      <c r="H6" s="18"/>
      <c r="I6" s="15">
        <v>20</v>
      </c>
      <c r="J6" s="15">
        <v>5</v>
      </c>
      <c r="K6" s="14" t="s">
        <v>70</v>
      </c>
      <c r="L6" s="14" t="s">
        <v>73</v>
      </c>
      <c r="M6" s="16" t="s">
        <v>65</v>
      </c>
      <c r="N6" s="17"/>
      <c r="O6" s="16" t="s">
        <v>74</v>
      </c>
    </row>
    <row x14ac:dyDescent="0.25" r="7" customHeight="1" ht="20.25">
      <c r="A7" s="21" t="s">
        <v>75</v>
      </c>
      <c r="B7" s="22" t="s">
        <v>76</v>
      </c>
      <c r="C7" s="21" t="s">
        <v>77</v>
      </c>
      <c r="D7" s="23">
        <v>2023</v>
      </c>
      <c r="E7" s="23">
        <v>165</v>
      </c>
      <c r="F7" s="23">
        <v>55</v>
      </c>
      <c r="G7" s="23">
        <v>5</v>
      </c>
      <c r="H7" s="23">
        <v>5</v>
      </c>
      <c r="I7" s="23">
        <v>50</v>
      </c>
      <c r="J7" s="26"/>
      <c r="K7" s="25" t="s">
        <v>78</v>
      </c>
      <c r="L7" s="25" t="s">
        <v>79</v>
      </c>
      <c r="M7" s="21" t="s">
        <v>80</v>
      </c>
      <c r="N7" s="26"/>
      <c r="O7" s="21" t="s">
        <v>81</v>
      </c>
    </row>
    <row x14ac:dyDescent="0.25" r="8" customHeight="1" ht="20.25">
      <c r="A8" s="21" t="s">
        <v>82</v>
      </c>
      <c r="B8" s="22" t="s">
        <v>83</v>
      </c>
      <c r="C8" s="21" t="s">
        <v>69</v>
      </c>
      <c r="D8" s="23">
        <v>2023</v>
      </c>
      <c r="E8" s="23">
        <v>173</v>
      </c>
      <c r="F8" s="23">
        <v>57</v>
      </c>
      <c r="G8" s="23">
        <v>8</v>
      </c>
      <c r="H8" s="23">
        <v>8</v>
      </c>
      <c r="I8" s="24">
        <v>20.4</v>
      </c>
      <c r="J8" s="26"/>
      <c r="K8" s="25" t="s">
        <v>84</v>
      </c>
      <c r="L8" s="25" t="s">
        <v>85</v>
      </c>
      <c r="M8" s="21" t="s">
        <v>80</v>
      </c>
      <c r="N8" s="26"/>
      <c r="O8" s="21" t="s">
        <v>86</v>
      </c>
    </row>
    <row x14ac:dyDescent="0.25" r="9" customHeight="1" ht="20.25">
      <c r="A9" s="21" t="s">
        <v>82</v>
      </c>
      <c r="B9" s="22" t="s">
        <v>87</v>
      </c>
      <c r="C9" s="21" t="s">
        <v>69</v>
      </c>
      <c r="D9" s="23">
        <v>2023</v>
      </c>
      <c r="E9" s="23">
        <v>173</v>
      </c>
      <c r="F9" s="23">
        <v>47</v>
      </c>
      <c r="G9" s="23">
        <v>8</v>
      </c>
      <c r="H9" s="23">
        <v>8</v>
      </c>
      <c r="I9" s="24">
        <v>20.4</v>
      </c>
      <c r="J9" s="26"/>
      <c r="K9" s="25" t="s">
        <v>88</v>
      </c>
      <c r="L9" s="25" t="s">
        <v>89</v>
      </c>
      <c r="M9" s="21" t="s">
        <v>65</v>
      </c>
      <c r="N9" s="23">
        <v>20</v>
      </c>
      <c r="O9" s="21"/>
    </row>
    <row x14ac:dyDescent="0.25" r="10" customHeight="1" ht="20.25">
      <c r="A10" s="21" t="s">
        <v>90</v>
      </c>
      <c r="B10" s="22" t="s">
        <v>91</v>
      </c>
      <c r="C10" s="21" t="s">
        <v>69</v>
      </c>
      <c r="D10" s="23">
        <v>2022</v>
      </c>
      <c r="E10" s="23">
        <v>150</v>
      </c>
      <c r="F10" s="23">
        <v>89</v>
      </c>
      <c r="G10" s="23">
        <v>9</v>
      </c>
      <c r="H10" s="23">
        <v>9</v>
      </c>
      <c r="I10" s="23">
        <v>11</v>
      </c>
      <c r="J10" s="26"/>
      <c r="K10" s="25" t="s">
        <v>92</v>
      </c>
      <c r="L10" s="25" t="s">
        <v>93</v>
      </c>
      <c r="M10" s="21" t="s">
        <v>80</v>
      </c>
      <c r="N10" s="26"/>
      <c r="O10" s="21"/>
    </row>
    <row x14ac:dyDescent="0.25" r="11" customHeight="1" ht="20.25">
      <c r="A11" s="21" t="s">
        <v>94</v>
      </c>
      <c r="B11" s="22" t="s">
        <v>95</v>
      </c>
      <c r="C11" s="21" t="s">
        <v>96</v>
      </c>
      <c r="D11" s="23">
        <v>2023</v>
      </c>
      <c r="E11" s="23">
        <v>170</v>
      </c>
      <c r="F11" s="23">
        <v>70</v>
      </c>
      <c r="G11" s="23">
        <v>5</v>
      </c>
      <c r="H11" s="23">
        <v>5</v>
      </c>
      <c r="I11" s="23">
        <v>25</v>
      </c>
      <c r="J11" s="26"/>
      <c r="K11" s="25" t="s">
        <v>97</v>
      </c>
      <c r="L11" s="25" t="s">
        <v>98</v>
      </c>
      <c r="M11" s="21" t="s">
        <v>80</v>
      </c>
      <c r="N11" s="26"/>
      <c r="O11" s="21"/>
    </row>
    <row x14ac:dyDescent="0.25" r="12" customHeight="1" ht="20.25">
      <c r="A12" s="21" t="s">
        <v>99</v>
      </c>
      <c r="B12" s="22" t="s">
        <v>100</v>
      </c>
      <c r="C12" s="21" t="s">
        <v>69</v>
      </c>
      <c r="D12" s="23">
        <v>2023</v>
      </c>
      <c r="E12" s="23">
        <v>175</v>
      </c>
      <c r="F12" s="23">
        <v>64</v>
      </c>
      <c r="G12" s="24">
        <v>5.4</v>
      </c>
      <c r="H12" s="24">
        <v>5.4</v>
      </c>
      <c r="I12" s="23">
        <v>16</v>
      </c>
      <c r="J12" s="23">
        <v>3</v>
      </c>
      <c r="K12" s="25" t="s">
        <v>101</v>
      </c>
      <c r="L12" s="25" t="s">
        <v>102</v>
      </c>
      <c r="M12" s="21" t="s">
        <v>80</v>
      </c>
      <c r="N12" s="23">
        <v>250</v>
      </c>
      <c r="O12" s="21"/>
    </row>
    <row x14ac:dyDescent="0.25" r="13" customHeight="1" ht="20.25">
      <c r="A13" s="21" t="s">
        <v>103</v>
      </c>
      <c r="B13" s="22" t="s">
        <v>104</v>
      </c>
      <c r="C13" s="21" t="s">
        <v>105</v>
      </c>
      <c r="D13" s="23">
        <v>2023</v>
      </c>
      <c r="E13" s="23">
        <v>180</v>
      </c>
      <c r="F13" s="23">
        <v>47</v>
      </c>
      <c r="G13" s="24">
        <v>5.4</v>
      </c>
      <c r="H13" s="23">
        <v>18</v>
      </c>
      <c r="I13" s="26"/>
      <c r="J13" s="26"/>
      <c r="K13" s="25" t="s">
        <v>106</v>
      </c>
      <c r="L13" s="25" t="s">
        <v>107</v>
      </c>
      <c r="M13" s="21" t="s">
        <v>65</v>
      </c>
      <c r="N13" s="23">
        <v>90</v>
      </c>
      <c r="O13" s="21"/>
    </row>
    <row x14ac:dyDescent="0.25" r="14" customHeight="1" ht="20.25">
      <c r="A14" s="21" t="s">
        <v>108</v>
      </c>
      <c r="B14" s="22" t="s">
        <v>109</v>
      </c>
      <c r="C14" s="21" t="s">
        <v>69</v>
      </c>
      <c r="D14" s="23">
        <v>2023</v>
      </c>
      <c r="E14" s="23">
        <v>172</v>
      </c>
      <c r="F14" s="23">
        <v>72</v>
      </c>
      <c r="G14" s="27"/>
      <c r="H14" s="27"/>
      <c r="I14" s="23">
        <v>25</v>
      </c>
      <c r="J14" s="23">
        <v>4</v>
      </c>
      <c r="K14" s="25" t="s">
        <v>110</v>
      </c>
      <c r="L14" s="25" t="s">
        <v>111</v>
      </c>
      <c r="M14" s="21" t="s">
        <v>80</v>
      </c>
      <c r="N14" s="26"/>
      <c r="O14" s="21" t="s">
        <v>112</v>
      </c>
    </row>
    <row x14ac:dyDescent="0.25" r="15" customHeight="1" ht="20.25">
      <c r="A15" s="21" t="s">
        <v>113</v>
      </c>
      <c r="B15" s="22" t="s">
        <v>114</v>
      </c>
      <c r="C15" s="21" t="s">
        <v>105</v>
      </c>
      <c r="D15" s="23">
        <v>2024</v>
      </c>
      <c r="E15" s="23">
        <v>178</v>
      </c>
      <c r="F15" s="23">
        <v>85</v>
      </c>
      <c r="G15" s="27"/>
      <c r="H15" s="27"/>
      <c r="I15" s="26"/>
      <c r="J15" s="26"/>
      <c r="K15" s="25" t="s">
        <v>115</v>
      </c>
      <c r="L15" s="25" t="s">
        <v>116</v>
      </c>
      <c r="M15" s="21" t="s">
        <v>80</v>
      </c>
      <c r="N15" s="23">
        <v>30</v>
      </c>
      <c r="O15" s="21"/>
    </row>
    <row x14ac:dyDescent="0.25" r="16" customHeight="1" ht="20.25">
      <c r="A16" s="21" t="s">
        <v>117</v>
      </c>
      <c r="B16" s="22" t="s">
        <v>118</v>
      </c>
      <c r="C16" s="21" t="s">
        <v>105</v>
      </c>
      <c r="D16" s="23">
        <v>2024</v>
      </c>
      <c r="E16" s="26"/>
      <c r="F16" s="26"/>
      <c r="G16" s="27"/>
      <c r="H16" s="27"/>
      <c r="I16" s="26"/>
      <c r="J16" s="26"/>
      <c r="K16" s="25" t="s">
        <v>119</v>
      </c>
      <c r="L16" s="25" t="s">
        <v>120</v>
      </c>
      <c r="M16" s="21" t="s">
        <v>80</v>
      </c>
      <c r="N16" s="26"/>
      <c r="O16" s="21"/>
    </row>
    <row x14ac:dyDescent="0.25" r="17" customHeight="1" ht="20.25">
      <c r="A17" s="21" t="s">
        <v>121</v>
      </c>
      <c r="B17" s="22" t="s">
        <v>122</v>
      </c>
      <c r="C17" s="21" t="s">
        <v>123</v>
      </c>
      <c r="D17" s="23">
        <v>2024</v>
      </c>
      <c r="E17" s="23">
        <v>175</v>
      </c>
      <c r="F17" s="23">
        <v>70</v>
      </c>
      <c r="G17" s="24">
        <v>5.4</v>
      </c>
      <c r="H17" s="27"/>
      <c r="I17" s="23">
        <v>25</v>
      </c>
      <c r="J17" s="26"/>
      <c r="K17" s="25" t="s">
        <v>124</v>
      </c>
      <c r="L17" s="25" t="s">
        <v>125</v>
      </c>
      <c r="M17" s="21" t="s">
        <v>80</v>
      </c>
      <c r="N17" s="26"/>
      <c r="O17" s="21"/>
    </row>
    <row x14ac:dyDescent="0.25" r="18" customHeight="1" ht="20.25">
      <c r="A18" s="21" t="s">
        <v>126</v>
      </c>
      <c r="B18" s="22" t="s">
        <v>127</v>
      </c>
      <c r="C18" s="21" t="s">
        <v>105</v>
      </c>
      <c r="D18" s="23">
        <v>2024</v>
      </c>
      <c r="E18" s="23">
        <v>185</v>
      </c>
      <c r="F18" s="23">
        <v>80</v>
      </c>
      <c r="G18" s="27"/>
      <c r="H18" s="27"/>
      <c r="I18" s="26"/>
      <c r="J18" s="26"/>
      <c r="K18" s="25" t="s">
        <v>128</v>
      </c>
      <c r="L18" s="25" t="s">
        <v>129</v>
      </c>
      <c r="M18" s="21" t="s">
        <v>80</v>
      </c>
      <c r="N18" s="26"/>
      <c r="O18" s="21"/>
    </row>
    <row x14ac:dyDescent="0.25" r="19" customHeight="1" ht="20.25">
      <c r="A19" s="21" t="s">
        <v>130</v>
      </c>
      <c r="B19" s="22" t="s">
        <v>131</v>
      </c>
      <c r="C19" s="21" t="s">
        <v>105</v>
      </c>
      <c r="D19" s="23">
        <v>2024</v>
      </c>
      <c r="E19" s="26"/>
      <c r="F19" s="26"/>
      <c r="G19" s="27"/>
      <c r="H19" s="23">
        <v>36</v>
      </c>
      <c r="I19" s="23">
        <v>10</v>
      </c>
      <c r="J19" s="26"/>
      <c r="K19" s="25" t="s">
        <v>132</v>
      </c>
      <c r="L19" s="25" t="s">
        <v>133</v>
      </c>
      <c r="M19" s="21" t="s">
        <v>80</v>
      </c>
      <c r="N19" s="26"/>
      <c r="O19" s="21"/>
    </row>
    <row x14ac:dyDescent="0.25" r="20" customHeight="1" ht="20.25">
      <c r="A20" s="16" t="s">
        <v>134</v>
      </c>
      <c r="B20" s="20" t="s">
        <v>135</v>
      </c>
      <c r="C20" s="16" t="s">
        <v>105</v>
      </c>
      <c r="D20" s="15">
        <v>2024</v>
      </c>
      <c r="E20" s="15">
        <v>165</v>
      </c>
      <c r="F20" s="15">
        <v>45</v>
      </c>
      <c r="G20" s="28">
        <v>7.2</v>
      </c>
      <c r="H20" s="28">
        <v>7.2</v>
      </c>
      <c r="I20" s="15">
        <v>10</v>
      </c>
      <c r="J20" s="15">
        <v>8</v>
      </c>
      <c r="K20" s="14" t="s">
        <v>136</v>
      </c>
      <c r="L20" s="14" t="s">
        <v>137</v>
      </c>
      <c r="M20" s="16" t="s">
        <v>80</v>
      </c>
      <c r="N20" s="17"/>
      <c r="O20" s="16" t="s">
        <v>138</v>
      </c>
    </row>
    <row x14ac:dyDescent="0.25" r="21" customHeight="1" ht="20.25">
      <c r="A21" s="29"/>
      <c r="B21" s="23"/>
      <c r="C21" s="21"/>
      <c r="D21" s="26"/>
      <c r="E21" s="26"/>
      <c r="F21" s="26"/>
      <c r="G21" s="27"/>
      <c r="H21" s="27"/>
      <c r="I21" s="26"/>
      <c r="J21" s="26"/>
      <c r="K21" s="21"/>
      <c r="L21" s="21"/>
      <c r="M21" s="21"/>
      <c r="N21" s="26"/>
      <c r="O21" s="21"/>
    </row>
    <row x14ac:dyDescent="0.25" r="22" customHeight="1" ht="20.25">
      <c r="A22" s="30"/>
      <c r="B22" s="30"/>
      <c r="C22" s="31" t="s">
        <v>139</v>
      </c>
      <c r="D22" s="30"/>
      <c r="E22" s="30"/>
      <c r="F22" s="30"/>
      <c r="G22" s="32"/>
      <c r="H22" s="32"/>
      <c r="I22" s="30"/>
      <c r="J22" s="30"/>
      <c r="K22" s="16"/>
      <c r="L22" s="16"/>
      <c r="M22" s="16"/>
      <c r="N22" s="17"/>
      <c r="O22" s="16"/>
    </row>
    <row x14ac:dyDescent="0.25" r="23" customHeight="1" ht="20.25">
      <c r="A23" s="33"/>
      <c r="B23" s="34"/>
      <c r="C23" s="33" t="s">
        <v>140</v>
      </c>
      <c r="D23" s="35"/>
      <c r="E23" s="35" t="s">
        <v>141</v>
      </c>
      <c r="F23" s="36"/>
      <c r="G23" s="37"/>
      <c r="H23" s="38" t="s">
        <v>142</v>
      </c>
      <c r="I23" s="39"/>
      <c r="J23" s="35"/>
      <c r="K23" s="33"/>
      <c r="L23" s="33"/>
      <c r="M23" s="33"/>
      <c r="N23" s="35"/>
      <c r="O23" s="33"/>
    </row>
    <row x14ac:dyDescent="0.25" r="24" customHeight="1" ht="20.25">
      <c r="A24" s="33"/>
      <c r="B24" s="34"/>
      <c r="C24" s="33"/>
      <c r="D24" s="35"/>
      <c r="E24" s="35" t="s">
        <v>143</v>
      </c>
      <c r="F24" s="36"/>
      <c r="G24" s="40"/>
      <c r="H24" s="38" t="s">
        <v>144</v>
      </c>
      <c r="I24" s="39"/>
      <c r="J24" s="35"/>
      <c r="K24" s="33"/>
      <c r="L24" s="33"/>
      <c r="M24" s="33"/>
      <c r="N24" s="35"/>
      <c r="O24" s="33"/>
    </row>
    <row x14ac:dyDescent="0.25" r="25" customHeight="1" ht="20.25">
      <c r="A25" s="33"/>
      <c r="B25" s="34"/>
      <c r="C25" s="33"/>
      <c r="D25" s="35"/>
      <c r="E25" s="35" t="s">
        <v>145</v>
      </c>
      <c r="F25" s="36"/>
      <c r="G25" s="40"/>
      <c r="H25" s="38" t="s">
        <v>146</v>
      </c>
      <c r="I25" s="39"/>
      <c r="J25" s="35"/>
      <c r="K25" s="33"/>
      <c r="L25" s="33"/>
      <c r="M25" s="33"/>
      <c r="N25" s="35"/>
      <c r="O25" s="33"/>
    </row>
    <row x14ac:dyDescent="0.25" r="26" customHeight="1" ht="20.25">
      <c r="A26" s="21"/>
      <c r="B26" s="23"/>
      <c r="C26" s="21"/>
      <c r="D26" s="26"/>
      <c r="E26" s="39"/>
      <c r="F26" s="39"/>
      <c r="G26" s="41"/>
      <c r="H26" s="41"/>
      <c r="I26" s="26"/>
      <c r="J26" s="26"/>
      <c r="K26" s="21"/>
      <c r="L26" s="21"/>
      <c r="M26" s="21"/>
      <c r="N26" s="26"/>
      <c r="O26" s="21"/>
    </row>
    <row x14ac:dyDescent="0.25" r="27" customHeight="1" ht="20.25">
      <c r="A27" s="21"/>
      <c r="B27" s="23"/>
      <c r="C27" s="21"/>
      <c r="D27" s="26"/>
      <c r="E27" s="26"/>
      <c r="F27" s="26"/>
      <c r="G27" s="27"/>
      <c r="H27" s="27"/>
      <c r="I27" s="26"/>
      <c r="J27" s="26"/>
      <c r="K27" s="21"/>
      <c r="L27" s="21"/>
      <c r="M27" s="21"/>
      <c r="N27" s="26"/>
      <c r="O27" s="21"/>
    </row>
    <row x14ac:dyDescent="0.25" r="28" customHeight="1" ht="20.25">
      <c r="A28" s="21"/>
      <c r="B28" s="23"/>
      <c r="C28" s="21"/>
      <c r="D28" s="26"/>
      <c r="E28" s="26"/>
      <c r="F28" s="26"/>
      <c r="G28" s="27"/>
      <c r="H28" s="27"/>
      <c r="I28" s="26"/>
      <c r="J28" s="26"/>
      <c r="K28" s="21"/>
      <c r="L28" s="21"/>
      <c r="M28" s="21"/>
      <c r="N28" s="26"/>
      <c r="O28" s="21"/>
    </row>
    <row x14ac:dyDescent="0.25" r="29" customHeight="1" ht="20.25">
      <c r="A29" s="21"/>
      <c r="B29" s="23"/>
      <c r="C29" s="21"/>
      <c r="D29" s="26"/>
      <c r="E29" s="26"/>
      <c r="F29" s="26"/>
      <c r="G29" s="27"/>
      <c r="H29" s="27"/>
      <c r="I29" s="26"/>
      <c r="J29" s="26"/>
      <c r="K29" s="21"/>
      <c r="L29" s="21"/>
      <c r="M29" s="21"/>
      <c r="N29" s="26"/>
      <c r="O29" s="21"/>
    </row>
    <row x14ac:dyDescent="0.25" r="30" customHeight="1" ht="20.25">
      <c r="A30" s="21"/>
      <c r="B30" s="23"/>
      <c r="C30" s="21"/>
      <c r="D30" s="26"/>
      <c r="E30" s="26"/>
      <c r="F30" s="26"/>
      <c r="G30" s="27"/>
      <c r="H30" s="27"/>
      <c r="I30" s="26"/>
      <c r="J30" s="26"/>
      <c r="K30" s="21"/>
      <c r="L30" s="21"/>
      <c r="M30" s="21"/>
      <c r="N30" s="26"/>
      <c r="O30" s="21"/>
    </row>
    <row x14ac:dyDescent="0.25" r="31" customHeight="1" ht="20.25">
      <c r="A31" s="21"/>
      <c r="B31" s="23"/>
      <c r="C31" s="21"/>
      <c r="D31" s="26"/>
      <c r="E31" s="26"/>
      <c r="F31" s="26"/>
      <c r="G31" s="27"/>
      <c r="H31" s="27"/>
      <c r="I31" s="26"/>
      <c r="J31" s="26"/>
      <c r="K31" s="21"/>
      <c r="L31" s="21"/>
      <c r="M31" s="21"/>
      <c r="N31" s="26"/>
      <c r="O31" s="21"/>
    </row>
    <row x14ac:dyDescent="0.25" r="32" customHeight="1" ht="20.25">
      <c r="A32" s="25" t="s">
        <v>147</v>
      </c>
      <c r="B32" s="23"/>
      <c r="C32" s="21" t="s">
        <v>148</v>
      </c>
      <c r="D32" s="26"/>
      <c r="E32" s="26"/>
      <c r="F32" s="26"/>
      <c r="G32" s="27"/>
      <c r="H32" s="27"/>
      <c r="I32" s="26"/>
      <c r="J32" s="26"/>
      <c r="K32" s="21"/>
      <c r="L32" s="21"/>
      <c r="M32" s="21"/>
      <c r="N32" s="26"/>
      <c r="O32" s="21"/>
    </row>
    <row x14ac:dyDescent="0.25" r="33" customHeight="1" ht="20.25">
      <c r="A33" s="21"/>
      <c r="B33" s="23"/>
      <c r="C33" s="21"/>
      <c r="D33" s="26"/>
      <c r="E33" s="26"/>
      <c r="F33" s="26"/>
      <c r="G33" s="27"/>
      <c r="H33" s="27"/>
      <c r="I33" s="26"/>
      <c r="J33" s="26"/>
      <c r="K33" s="21"/>
      <c r="L33" s="21"/>
      <c r="M33" s="21"/>
      <c r="N33" s="26"/>
      <c r="O33" s="2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4" width="52.71928571428572" customWidth="1" bestFit="1"/>
    <col min="2" max="2" style="4" width="98.57642857142856"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 min="13" max="13" style="4" width="12.43357142857143" customWidth="1" bestFit="1"/>
    <col min="14" max="14" style="4" width="12.43357142857143" customWidth="1" bestFit="1"/>
    <col min="15" max="15" style="4" width="12.43357142857143" customWidth="1" bestFit="1"/>
    <col min="16" max="16" style="4" width="12.43357142857143" customWidth="1" bestFit="1"/>
    <col min="17" max="17" style="4" width="12.43357142857143" customWidth="1" bestFit="1"/>
    <col min="18" max="18" style="4" width="12.43357142857143" customWidth="1" bestFit="1"/>
    <col min="19" max="19" style="4" width="12.43357142857143" customWidth="1" bestFit="1"/>
    <col min="20" max="20" style="4" width="12.43357142857143" customWidth="1" bestFit="1"/>
    <col min="21" max="21" style="4" width="12.43357142857143" customWidth="1" bestFit="1"/>
    <col min="22" max="22" style="4" width="12.43357142857143" customWidth="1" bestFit="1"/>
    <col min="23" max="23" style="4" width="12.43357142857143" customWidth="1" bestFit="1"/>
    <col min="24" max="24" style="4" width="12.43357142857143" customWidth="1" bestFit="1"/>
    <col min="25" max="25" style="4" width="12.43357142857143" customWidth="1" bestFit="1"/>
    <col min="26" max="26" style="4" width="12.43357142857143" customWidth="1" bestFit="1"/>
  </cols>
  <sheetData>
    <row x14ac:dyDescent="0.25" r="1" customHeight="1" ht="23.25">
      <c r="A1" s="1" t="s">
        <v>0</v>
      </c>
      <c r="B1" s="1" t="s">
        <v>1</v>
      </c>
      <c r="C1" s="1"/>
      <c r="D1" s="1"/>
      <c r="E1" s="1"/>
      <c r="F1" s="1"/>
      <c r="G1" s="1"/>
      <c r="H1" s="1"/>
      <c r="I1" s="1"/>
      <c r="J1" s="1"/>
      <c r="K1" s="1"/>
      <c r="L1" s="1"/>
      <c r="M1" s="1"/>
      <c r="N1" s="1"/>
      <c r="O1" s="1"/>
      <c r="P1" s="1"/>
      <c r="Q1" s="1"/>
      <c r="R1" s="1"/>
      <c r="S1" s="1"/>
      <c r="T1" s="1"/>
      <c r="U1" s="1"/>
      <c r="V1" s="1"/>
      <c r="W1" s="1"/>
      <c r="X1" s="1"/>
      <c r="Y1" s="1"/>
      <c r="Z1" s="1"/>
    </row>
    <row x14ac:dyDescent="0.25" r="2" customHeight="1" ht="23.25">
      <c r="A2" s="2" t="s">
        <v>2</v>
      </c>
      <c r="B2" s="3" t="s">
        <v>3</v>
      </c>
      <c r="C2" s="2"/>
      <c r="D2" s="2"/>
      <c r="E2" s="2"/>
      <c r="F2" s="2"/>
      <c r="G2" s="2"/>
      <c r="H2" s="2"/>
      <c r="I2" s="2"/>
      <c r="J2" s="2"/>
      <c r="K2" s="2"/>
      <c r="L2" s="2"/>
      <c r="M2" s="2"/>
      <c r="N2" s="2"/>
      <c r="O2" s="2"/>
      <c r="P2" s="2"/>
      <c r="Q2" s="2"/>
      <c r="R2" s="2"/>
      <c r="S2" s="2"/>
      <c r="T2" s="2"/>
      <c r="U2" s="2"/>
      <c r="V2" s="2"/>
      <c r="W2" s="2"/>
      <c r="X2" s="2"/>
      <c r="Y2" s="2"/>
      <c r="Z2" s="2"/>
    </row>
    <row x14ac:dyDescent="0.25" r="3" customHeight="1" ht="23.25">
      <c r="A3" s="2" t="s">
        <v>4</v>
      </c>
      <c r="B3" s="3" t="s">
        <v>5</v>
      </c>
      <c r="C3" s="2"/>
      <c r="D3" s="2"/>
      <c r="E3" s="2"/>
      <c r="F3" s="2"/>
      <c r="G3" s="2"/>
      <c r="H3" s="2"/>
      <c r="I3" s="2"/>
      <c r="J3" s="2"/>
      <c r="K3" s="2"/>
      <c r="L3" s="2"/>
      <c r="M3" s="2"/>
      <c r="N3" s="2"/>
      <c r="O3" s="2"/>
      <c r="P3" s="2"/>
      <c r="Q3" s="2"/>
      <c r="R3" s="2"/>
      <c r="S3" s="2"/>
      <c r="T3" s="2"/>
      <c r="U3" s="2"/>
      <c r="V3" s="2"/>
      <c r="W3" s="2"/>
      <c r="X3" s="2"/>
      <c r="Y3" s="2"/>
      <c r="Z3" s="2"/>
    </row>
    <row x14ac:dyDescent="0.25" r="4" customHeight="1" ht="23.25">
      <c r="A4" s="2" t="s">
        <v>6</v>
      </c>
      <c r="B4" s="3" t="s">
        <v>7</v>
      </c>
      <c r="C4" s="2"/>
      <c r="D4" s="2"/>
      <c r="E4" s="2"/>
      <c r="F4" s="2"/>
      <c r="G4" s="2"/>
      <c r="H4" s="2"/>
      <c r="I4" s="2"/>
      <c r="J4" s="2"/>
      <c r="K4" s="2"/>
      <c r="L4" s="2"/>
      <c r="M4" s="2"/>
      <c r="N4" s="2"/>
      <c r="O4" s="2"/>
      <c r="P4" s="2"/>
      <c r="Q4" s="2"/>
      <c r="R4" s="2"/>
      <c r="S4" s="2"/>
      <c r="T4" s="2"/>
      <c r="U4" s="2"/>
      <c r="V4" s="2"/>
      <c r="W4" s="2"/>
      <c r="X4" s="2"/>
      <c r="Y4" s="2"/>
      <c r="Z4" s="2"/>
    </row>
    <row x14ac:dyDescent="0.25" r="5" customHeight="1" ht="23.25">
      <c r="A5" s="2" t="s">
        <v>8</v>
      </c>
      <c r="B5" s="3" t="s">
        <v>9</v>
      </c>
      <c r="C5" s="2"/>
      <c r="D5" s="2"/>
      <c r="E5" s="2"/>
      <c r="F5" s="2"/>
      <c r="G5" s="2"/>
      <c r="H5" s="2"/>
      <c r="I5" s="2"/>
      <c r="J5" s="2"/>
      <c r="K5" s="2"/>
      <c r="L5" s="2"/>
      <c r="M5" s="2"/>
      <c r="N5" s="2"/>
      <c r="O5" s="2"/>
      <c r="P5" s="2"/>
      <c r="Q5" s="2"/>
      <c r="R5" s="2"/>
      <c r="S5" s="2"/>
      <c r="T5" s="2"/>
      <c r="U5" s="2"/>
      <c r="V5" s="2"/>
      <c r="W5" s="2"/>
      <c r="X5" s="2"/>
      <c r="Y5" s="2"/>
      <c r="Z5" s="2"/>
    </row>
    <row x14ac:dyDescent="0.25" r="6" customHeight="1" ht="23.25">
      <c r="A6" s="2" t="s">
        <v>10</v>
      </c>
      <c r="B6" s="3" t="s">
        <v>11</v>
      </c>
      <c r="C6" s="2"/>
      <c r="D6" s="2"/>
      <c r="E6" s="2"/>
      <c r="F6" s="2"/>
      <c r="G6" s="2"/>
      <c r="H6" s="2"/>
      <c r="I6" s="2"/>
      <c r="J6" s="2"/>
      <c r="K6" s="2"/>
      <c r="L6" s="2"/>
      <c r="M6" s="2"/>
      <c r="N6" s="2"/>
      <c r="O6" s="2"/>
      <c r="P6" s="2"/>
      <c r="Q6" s="2"/>
      <c r="R6" s="2"/>
      <c r="S6" s="2"/>
      <c r="T6" s="2"/>
      <c r="U6" s="2"/>
      <c r="V6" s="2"/>
      <c r="W6" s="2"/>
      <c r="X6" s="2"/>
      <c r="Y6" s="2"/>
      <c r="Z6" s="2"/>
    </row>
    <row x14ac:dyDescent="0.25" r="7" customHeight="1" ht="23.25">
      <c r="A7" s="2" t="s">
        <v>12</v>
      </c>
      <c r="B7" s="3" t="s">
        <v>13</v>
      </c>
      <c r="C7" s="2"/>
      <c r="D7" s="2"/>
      <c r="E7" s="2"/>
      <c r="F7" s="2"/>
      <c r="G7" s="2"/>
      <c r="H7" s="2"/>
      <c r="I7" s="2"/>
      <c r="J7" s="2"/>
      <c r="K7" s="2"/>
      <c r="L7" s="2"/>
      <c r="M7" s="2"/>
      <c r="N7" s="2"/>
      <c r="O7" s="2"/>
      <c r="P7" s="2"/>
      <c r="Q7" s="2"/>
      <c r="R7" s="2"/>
      <c r="S7" s="2"/>
      <c r="T7" s="2"/>
      <c r="U7" s="2"/>
      <c r="V7" s="2"/>
      <c r="W7" s="2"/>
      <c r="X7" s="2"/>
      <c r="Y7" s="2"/>
      <c r="Z7" s="2"/>
    </row>
    <row x14ac:dyDescent="0.25" r="8" customHeight="1" ht="23.25">
      <c r="A8" s="2" t="s">
        <v>14</v>
      </c>
      <c r="B8" s="3" t="s">
        <v>15</v>
      </c>
      <c r="C8" s="2"/>
      <c r="D8" s="2"/>
      <c r="E8" s="2"/>
      <c r="F8" s="2"/>
      <c r="G8" s="2"/>
      <c r="H8" s="2"/>
      <c r="I8" s="2"/>
      <c r="J8" s="2"/>
      <c r="K8" s="2"/>
      <c r="L8" s="2"/>
      <c r="M8" s="2"/>
      <c r="N8" s="2"/>
      <c r="O8" s="2"/>
      <c r="P8" s="2"/>
      <c r="Q8" s="2"/>
      <c r="R8" s="2"/>
      <c r="S8" s="2"/>
      <c r="T8" s="2"/>
      <c r="U8" s="2"/>
      <c r="V8" s="2"/>
      <c r="W8" s="2"/>
      <c r="X8" s="2"/>
      <c r="Y8" s="2"/>
      <c r="Z8" s="2"/>
    </row>
    <row x14ac:dyDescent="0.25" r="9" customHeight="1" ht="23.25">
      <c r="A9" s="2" t="s">
        <v>16</v>
      </c>
      <c r="B9" s="3" t="s">
        <v>17</v>
      </c>
      <c r="C9" s="2"/>
      <c r="D9" s="2"/>
      <c r="E9" s="2"/>
      <c r="F9" s="2"/>
      <c r="G9" s="2"/>
      <c r="H9" s="2"/>
      <c r="I9" s="2"/>
      <c r="J9" s="2"/>
      <c r="K9" s="2"/>
      <c r="L9" s="2"/>
      <c r="M9" s="2"/>
      <c r="N9" s="2"/>
      <c r="O9" s="2"/>
      <c r="P9" s="2"/>
      <c r="Q9" s="2"/>
      <c r="R9" s="2"/>
      <c r="S9" s="2"/>
      <c r="T9" s="2"/>
      <c r="U9" s="2"/>
      <c r="V9" s="2"/>
      <c r="W9" s="2"/>
      <c r="X9" s="2"/>
      <c r="Y9" s="2"/>
      <c r="Z9" s="2"/>
    </row>
    <row x14ac:dyDescent="0.25" r="10" customHeight="1" ht="23.25">
      <c r="A10" s="2" t="s">
        <v>18</v>
      </c>
      <c r="B10" s="3" t="s">
        <v>19</v>
      </c>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23.25">
      <c r="A11" s="2" t="s">
        <v>20</v>
      </c>
      <c r="B11" s="3" t="s">
        <v>21</v>
      </c>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23.25">
      <c r="A12" s="2" t="s">
        <v>22</v>
      </c>
      <c r="B12" s="3" t="s">
        <v>23</v>
      </c>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23.25">
      <c r="A13" s="2" t="s">
        <v>24</v>
      </c>
      <c r="B13" s="3" t="s">
        <v>25</v>
      </c>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23.25">
      <c r="A14" s="2" t="s">
        <v>26</v>
      </c>
      <c r="B14" s="3" t="s">
        <v>27</v>
      </c>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23.25">
      <c r="A15" s="2" t="s">
        <v>28</v>
      </c>
      <c r="B15" s="3" t="s">
        <v>29</v>
      </c>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23.25">
      <c r="A16" s="2" t="s">
        <v>30</v>
      </c>
      <c r="B16" s="3" t="s">
        <v>31</v>
      </c>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23.25">
      <c r="A17" s="2" t="s">
        <v>32</v>
      </c>
      <c r="B17" s="3" t="s">
        <v>33</v>
      </c>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23.25">
      <c r="A18" s="2" t="s">
        <v>34</v>
      </c>
      <c r="B18" s="3" t="s">
        <v>35</v>
      </c>
      <c r="C18" s="2"/>
      <c r="D18" s="2"/>
      <c r="E18" s="2"/>
      <c r="F18" s="2"/>
      <c r="G18" s="2"/>
      <c r="H18" s="2"/>
      <c r="I18" s="2"/>
      <c r="J18" s="2"/>
      <c r="K18" s="2"/>
      <c r="L18" s="2"/>
      <c r="M18" s="2"/>
      <c r="N18" s="2"/>
      <c r="O18" s="2"/>
      <c r="P18" s="2"/>
      <c r="Q18" s="2"/>
      <c r="R18" s="2"/>
      <c r="S18" s="2"/>
      <c r="T18" s="2"/>
      <c r="U18" s="2"/>
      <c r="V18" s="2"/>
      <c r="W18" s="2"/>
      <c r="X18" s="2"/>
      <c r="Y18" s="2"/>
      <c r="Z18" s="2"/>
    </row>
    <row x14ac:dyDescent="0.25" r="19" customHeight="1" ht="23.25">
      <c r="A19" s="2" t="s">
        <v>36</v>
      </c>
      <c r="B19" s="3" t="s">
        <v>37</v>
      </c>
      <c r="C19" s="2"/>
      <c r="D19" s="2"/>
      <c r="E19" s="2"/>
      <c r="F19" s="2"/>
      <c r="G19" s="2"/>
      <c r="H19" s="2"/>
      <c r="I19" s="2"/>
      <c r="J19" s="2"/>
      <c r="K19" s="2"/>
      <c r="L19" s="2"/>
      <c r="M19" s="2"/>
      <c r="N19" s="2"/>
      <c r="O19" s="2"/>
      <c r="P19" s="2"/>
      <c r="Q19" s="2"/>
      <c r="R19" s="2"/>
      <c r="S19" s="2"/>
      <c r="T19" s="2"/>
      <c r="U19" s="2"/>
      <c r="V19" s="2"/>
      <c r="W19" s="2"/>
      <c r="X19" s="2"/>
      <c r="Y19" s="2"/>
      <c r="Z19" s="2"/>
    </row>
    <row x14ac:dyDescent="0.25" r="20" customHeight="1" ht="23.25">
      <c r="A20" s="2" t="s">
        <v>38</v>
      </c>
      <c r="B20" s="3" t="s">
        <v>39</v>
      </c>
      <c r="C20" s="2"/>
      <c r="D20" s="2"/>
      <c r="E20" s="2"/>
      <c r="F20" s="2"/>
      <c r="G20" s="2"/>
      <c r="H20" s="2"/>
      <c r="I20" s="2"/>
      <c r="J20" s="2"/>
      <c r="K20" s="2"/>
      <c r="L20" s="2"/>
      <c r="M20" s="2"/>
      <c r="N20" s="2"/>
      <c r="O20" s="2"/>
      <c r="P20" s="2"/>
      <c r="Q20" s="2"/>
      <c r="R20" s="2"/>
      <c r="S20" s="2"/>
      <c r="T20" s="2"/>
      <c r="U20" s="2"/>
      <c r="V20" s="2"/>
      <c r="W20" s="2"/>
      <c r="X20" s="2"/>
      <c r="Y20" s="2"/>
      <c r="Z20" s="2"/>
    </row>
    <row x14ac:dyDescent="0.25" r="21" customHeight="1" ht="23.25">
      <c r="A21" s="2" t="s">
        <v>40</v>
      </c>
      <c r="B21" s="3" t="s">
        <v>41</v>
      </c>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23.25">
      <c r="A22" s="2" t="s">
        <v>42</v>
      </c>
      <c r="B22" s="3" t="s">
        <v>43</v>
      </c>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23.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23.25">
      <c r="A24" s="2"/>
      <c r="B24" s="2"/>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23.25">
      <c r="A25" s="2"/>
      <c r="B25" s="2"/>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23.25">
      <c r="A26" s="2"/>
      <c r="B26" s="2"/>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23.25">
      <c r="A27" s="2"/>
      <c r="B27" s="2"/>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23.25">
      <c r="A28" s="2"/>
      <c r="B28" s="2"/>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23.25">
      <c r="A29" s="2"/>
      <c r="B29" s="2"/>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23.25">
      <c r="A30" s="2"/>
      <c r="B30" s="2"/>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23.25">
      <c r="A31" s="2"/>
      <c r="B31" s="2"/>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23.25">
      <c r="A32" s="2"/>
      <c r="B32" s="2"/>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23.25">
      <c r="A33" s="2"/>
      <c r="B33" s="2"/>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23.25">
      <c r="A34" s="2"/>
      <c r="B34" s="2"/>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23.25">
      <c r="A35" s="2"/>
      <c r="B35" s="2"/>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23.25">
      <c r="A36" s="2"/>
      <c r="B36" s="2"/>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23.25">
      <c r="A37" s="2"/>
      <c r="B37" s="2"/>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23.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23.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23.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23.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23.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23.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23.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23.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23.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23.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23.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23.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23.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23.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23.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23.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23.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23.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23.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23.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23.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23.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23.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23.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23.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23.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23.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23.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23.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23.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23.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23.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23.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23.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23.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23.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23.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23.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23.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23.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23.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23.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23.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23.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23.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23.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23.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23.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23.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23.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23.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23.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23.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23.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23.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23.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23.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23.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23.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23.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23.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23.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23.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23.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23.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23.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23.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23.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23.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23.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23.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23.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23.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23.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23.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23.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23.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23.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23.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23.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23.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23.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23.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23.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23.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23.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23.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23.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23.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23.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23.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23.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23.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23.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23.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23.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23.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23.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23.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23.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23.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23.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23.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23.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23.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23.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23.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23.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23.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23.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23.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23.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23.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23.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23.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23.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23.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23.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23.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23.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23.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23.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23.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23.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23.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23.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23.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23.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23.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23.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23.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23.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23.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23.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23.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23.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23.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23.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23.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23.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23.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23.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23.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23.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23.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23.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23.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23.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23.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23.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23.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23.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23.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23.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23.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23.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23.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23.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23.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23.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23.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23.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23.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23.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23.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23.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23.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23.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23.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23.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23.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23.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23.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23.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23.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23.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23.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23.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23.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23.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23.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23.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23.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23.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23.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23.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23.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23.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23.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23.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23.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23.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23.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23.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23.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23.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23.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23.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23.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23.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23.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23.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23.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23.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23.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23.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23.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23.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23.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23.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23.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23.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23.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23.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23.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23.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23.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23.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23.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23.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23.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23.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23.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23.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23.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23.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23.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23.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23.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23.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23.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23.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23.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23.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23.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23.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23.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23.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23.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23.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23.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23.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23.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23.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23.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23.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23.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23.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23.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23.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23.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23.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23.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23.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23.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23.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23.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23.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23.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23.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23.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23.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23.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23.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23.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23.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23.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23.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23.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23.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23.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23.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23.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23.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23.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23.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23.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23.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23.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23.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23.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23.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23.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23.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23.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23.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23.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2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23.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23.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23.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23.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23.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23.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23.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23.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23.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23.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23.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23.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23.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23.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23.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23.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23.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23.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23.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23.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23.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23.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23.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23.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23.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23.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23.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23.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23.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23.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23.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23.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23.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23.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23.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23.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23.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23.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23.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23.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23.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23.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23.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23.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23.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23.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23.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23.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23.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23.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23.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23.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23.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23.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23.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23.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23.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23.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23.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23.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23.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23.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23.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23.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23.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23.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23.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23.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23.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23.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23.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23.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23.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23.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23.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23.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23.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23.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23.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23.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23.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23.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23.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23.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23.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23.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23.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23.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23.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23.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23.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23.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23.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23.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23.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23.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23.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23.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23.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23.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23.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23.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23.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23.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23.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23.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23.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23.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23.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23.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23.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23.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23.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23.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23.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23.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23.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23.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23.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23.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23.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23.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23.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23.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23.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23.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23.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23.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23.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23.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23.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23.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23.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23.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23.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23.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23.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23.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23.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23.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23.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23.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23.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23.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23.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23.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23.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23.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23.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23.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23.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23.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23.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23.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23.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23.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23.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23.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23.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23.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23.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23.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23.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23.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23.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23.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23.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23.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23.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23.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23.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23.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23.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23.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23.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23.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23.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23.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23.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23.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23.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23.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23.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23.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23.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23.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23.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23.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23.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23.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23.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23.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23.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23.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23.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23.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23.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23.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23.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23.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23.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23.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23.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23.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23.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23.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23.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23.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23.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23.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23.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23.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23.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23.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23.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23.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23.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23.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23.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23.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23.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23.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23.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23.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23.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23.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23.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23.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23.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23.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23.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23.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23.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23.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23.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23.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23.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23.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23.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23.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23.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23.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23.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23.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23.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23.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23.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23.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23.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23.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23.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23.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23.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23.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23.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23.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23.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23.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23.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23.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23.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23.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23.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23.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23.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23.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23.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23.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23.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23.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23.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23.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23.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23.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23.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23.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23.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23.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23.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23.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23.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23.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23.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23.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23.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23.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23.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23.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23.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23.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23.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23.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23.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23.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23.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23.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23.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23.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23.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23.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23.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23.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23.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23.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23.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23.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23.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23.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23.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23.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23.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23.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23.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23.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23.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23.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23.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23.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23.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23.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23.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23.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23.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23.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23.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23.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23.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23.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23.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23.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23.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23.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23.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23.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23.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23.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23.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23.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23.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23.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23.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23.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23.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23.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23.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23.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23.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23.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23.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23.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23.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23.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23.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23.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23.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23.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23.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23.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23.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23.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23.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23.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23.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23.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23.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23.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23.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23.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23.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23.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23.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23.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23.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23.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23.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23.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23.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23.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23.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23.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23.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23.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23.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23.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23.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23.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23.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23.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23.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23.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23.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23.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23.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23.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23.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23.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23.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23.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23.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23.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23.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23.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23.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23.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23.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23.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23.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23.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23.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23.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23.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23.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23.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23.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23.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23.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23.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23.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23.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23.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23.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23.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23.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23.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23.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23.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23.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23.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23.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23.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23.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23.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23.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23.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23.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23.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23.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23.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23.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23.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23.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23.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23.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23.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23.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23.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23.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23.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23.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23.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23.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23.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23.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23.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23.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23.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23.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23.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23.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23.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23.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23.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23.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23.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23.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23.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23.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23.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23.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23.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23.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23.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23.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23.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23.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23.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23.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23.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23.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23.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23.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23.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23.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23.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23.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23.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23.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23.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23.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23.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23.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23.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23.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23.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23.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23.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23.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23.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23.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23.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23.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23.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23.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23.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23.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23.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23.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23.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23.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23.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23.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23.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23.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23.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23.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23.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23.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23.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23.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23.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23.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23.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23.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23.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23.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23.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23.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23.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23.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23.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23.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23.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23.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23.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23.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23.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23.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23.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23.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23.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23.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23.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23.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23.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23.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23.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23.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23.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23.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23.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23.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23.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23.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23.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23.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23.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23.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23.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23.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23.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23.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23.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23.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23.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23.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23.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23.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23.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23.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23.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23.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23.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23.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23.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23.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23.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23.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23.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23.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23.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23.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23.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23.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23.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23.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23.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23.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23.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23.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23.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23.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23.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23.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23.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23.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23.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23.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23.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23.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23.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23.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23.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23.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23.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23.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23.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23.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23.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23.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23.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23.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23.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23.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23.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23.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23.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23.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23.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23.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23.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23.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23.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23.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23.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23.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23.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23.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23.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23.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23.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23.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23.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23.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23.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23.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23.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23.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23.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23.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23.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23.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23.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23.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23.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23.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23.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23.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23.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23.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23.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23.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23.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23.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23.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23.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23.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23.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23.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23.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23.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23.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23.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23.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23.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23.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23.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23.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23.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23.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23.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23.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23.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23.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23.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23.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Models Table</vt:lpstr>
      <vt:lpstr>Rankings</vt:lpstr>
      <vt:lpstr>About</vt:lpstr>
      <vt:lpstr>Datasets Table</vt:lpstr>
      <vt:lpstr>GPT achievements</vt:lpstr>
      <vt:lpstr>Compute Table (2024)</vt:lpstr>
      <vt:lpstr>Humanoids (2024)</vt:lpstr>
      <vt:lpstr>Aux</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2026-01-13T23:37:52.049Z</dcterms:created>
  <dcterms:modified xsi:type="dcterms:W3CDTF">2026-01-13T23:37:52.049Z</dcterms:modified>
</cp:coreProperties>
</file>